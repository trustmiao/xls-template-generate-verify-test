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laude\claude_hk\ref_doc\大元邨文件样本\"/>
    </mc:Choice>
  </mc:AlternateContent>
  <xr:revisionPtr revIDLastSave="0" documentId="13_ncr:1_{6901493E-E346-4688-80BF-31EEC830F63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早" sheetId="2" r:id="rId1"/>
    <sheet name="中" sheetId="3" r:id="rId2"/>
    <sheet name="夜" sheetId="4" r:id="rId3"/>
  </sheets>
  <definedNames>
    <definedName name="_xlnm._FilterDatabase" localSheetId="2" hidden="1">夜!$B$7:$AN$7</definedName>
    <definedName name="_xlnm._FilterDatabase" localSheetId="0" hidden="1">早!$B$7:$AN$7</definedName>
    <definedName name="_xlnm._FilterDatabase" localSheetId="1" hidden="1">中!$B$7:$AM$7</definedName>
    <definedName name="_xlnm.Print_Area" localSheetId="2">夜!$B$1:$AO$63</definedName>
    <definedName name="_xlnm.Print_Area" localSheetId="0">早!$A$1:$AO$73</definedName>
    <definedName name="_xlnm.Print_Area" localSheetId="1">中!$B$1:$AN$74</definedName>
    <definedName name="_xlnm.Print_Titles" localSheetId="2">夜!$1:$7</definedName>
    <definedName name="_xlnm.Print_Titles" localSheetId="0">早!$1:$7</definedName>
    <definedName name="_xlnm.Print_Titles" localSheetId="1">中!$1:$7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59" i="2" l="1"/>
  <c r="AN59" i="2"/>
  <c r="AO12" i="2"/>
  <c r="AN12" i="2"/>
  <c r="I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59" i="2"/>
  <c r="AO15" i="2"/>
  <c r="AN16" i="2"/>
  <c r="AN15" i="2"/>
  <c r="I49" i="4"/>
  <c r="B3" i="4"/>
  <c r="B3" i="2"/>
  <c r="AM59" i="4" l="1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AM69" i="3" l="1"/>
  <c r="AN69" i="3" s="1"/>
  <c r="AN59" i="4"/>
  <c r="AO59" i="4" s="1"/>
  <c r="AM69" i="2" l="1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AM68" i="2"/>
  <c r="AM70" i="2" s="1"/>
  <c r="AJ68" i="2"/>
  <c r="AE68" i="2"/>
  <c r="AD68" i="2"/>
  <c r="AC68" i="2"/>
  <c r="AB68" i="2"/>
  <c r="AA68" i="2"/>
  <c r="AA70" i="2" s="1"/>
  <c r="Z68" i="2"/>
  <c r="Z70" i="2" s="1"/>
  <c r="Y68" i="2"/>
  <c r="Y70" i="2" s="1"/>
  <c r="X68" i="2"/>
  <c r="X70" i="2" s="1"/>
  <c r="W68" i="2"/>
  <c r="V68" i="2"/>
  <c r="V70" i="2" s="1"/>
  <c r="U68" i="2"/>
  <c r="U70" i="2" s="1"/>
  <c r="T68" i="2"/>
  <c r="T70" i="2" s="1"/>
  <c r="S68" i="2"/>
  <c r="R68" i="2"/>
  <c r="R70" i="2" s="1"/>
  <c r="Q68" i="2"/>
  <c r="P68" i="2"/>
  <c r="P70" i="2" s="1"/>
  <c r="O68" i="2"/>
  <c r="N68" i="2"/>
  <c r="M68" i="2"/>
  <c r="L68" i="2"/>
  <c r="K68" i="2"/>
  <c r="K70" i="2" s="1"/>
  <c r="J68" i="2"/>
  <c r="J70" i="2" s="1"/>
  <c r="I69" i="2"/>
  <c r="L70" i="2" l="1"/>
  <c r="AB70" i="2"/>
  <c r="AN69" i="2"/>
  <c r="AO69" i="2" s="1"/>
  <c r="M70" i="2"/>
  <c r="N70" i="2"/>
  <c r="AE70" i="2"/>
  <c r="W70" i="2"/>
  <c r="AC70" i="2"/>
  <c r="AD70" i="2"/>
  <c r="O70" i="2"/>
  <c r="AJ70" i="2"/>
  <c r="Q70" i="2"/>
  <c r="S70" i="2"/>
  <c r="AU22" i="4"/>
  <c r="AU23" i="4" s="1"/>
  <c r="AU24" i="4" s="1"/>
  <c r="AU25" i="4" s="1"/>
  <c r="AU26" i="4" s="1"/>
  <c r="AU27" i="4" s="1"/>
  <c r="AU28" i="4" s="1"/>
  <c r="AU29" i="4" s="1"/>
  <c r="AU30" i="4" s="1"/>
  <c r="AU31" i="4" s="1"/>
  <c r="AU32" i="4" s="1"/>
  <c r="AU35" i="4" s="1"/>
  <c r="AU36" i="4" s="1"/>
  <c r="AU37" i="4" s="1"/>
  <c r="AU38" i="4" s="1"/>
  <c r="AU39" i="4" s="1"/>
  <c r="AU40" i="4" s="1"/>
  <c r="AU41" i="4" s="1"/>
  <c r="AU42" i="4" s="1"/>
  <c r="AU43" i="4" s="1"/>
  <c r="AU44" i="4" s="1"/>
  <c r="AU45" i="4" s="1"/>
  <c r="AU46" i="4" s="1"/>
  <c r="AU47" i="4" s="1"/>
  <c r="AU48" i="4" s="1"/>
  <c r="AU21" i="4"/>
  <c r="AS46" i="3"/>
  <c r="AR46" i="3"/>
  <c r="AQ46" i="3"/>
  <c r="AQ45" i="3"/>
  <c r="AS20" i="3"/>
  <c r="AR20" i="3"/>
  <c r="AQ21" i="3"/>
  <c r="AQ20" i="3"/>
  <c r="AP20" i="3"/>
  <c r="AO20" i="3"/>
  <c r="AP21" i="3"/>
  <c r="AW20" i="3"/>
  <c r="AU20" i="3"/>
  <c r="AV20" i="3" s="1"/>
  <c r="AU21" i="3"/>
  <c r="AV21" i="3" s="1"/>
  <c r="AU38" i="3"/>
  <c r="AU46" i="3"/>
  <c r="AU21" i="2"/>
  <c r="AU22" i="2" s="1"/>
  <c r="AU23" i="2" s="1"/>
  <c r="AU24" i="2" s="1"/>
  <c r="AU25" i="2" s="1"/>
  <c r="AU26" i="2" s="1"/>
  <c r="AU27" i="2" s="1"/>
  <c r="AU28" i="2" s="1"/>
  <c r="AU29" i="2" s="1"/>
  <c r="AU30" i="2" s="1"/>
  <c r="AU31" i="2" s="1"/>
  <c r="AU32" i="2" s="1"/>
  <c r="AU33" i="2" s="1"/>
  <c r="AU34" i="2" s="1"/>
  <c r="AU35" i="2" s="1"/>
  <c r="AU36" i="2" s="1"/>
  <c r="AU37" i="2" s="1"/>
  <c r="AU38" i="2" s="1"/>
  <c r="AU39" i="2" s="1"/>
  <c r="AU40" i="2" s="1"/>
  <c r="AU41" i="2" s="1"/>
  <c r="AU42" i="2" s="1"/>
  <c r="AU43" i="2" s="1"/>
  <c r="AU44" i="2" s="1"/>
  <c r="AU45" i="2" s="1"/>
  <c r="AU46" i="2" s="1"/>
  <c r="AU47" i="2" s="1"/>
  <c r="AU48" i="2" s="1"/>
  <c r="AU49" i="2" s="1"/>
  <c r="AU50" i="2" s="1"/>
  <c r="AU51" i="2" s="1"/>
  <c r="AU52" i="2" s="1"/>
  <c r="AU53" i="2" s="1"/>
  <c r="AU54" i="2" s="1"/>
  <c r="AU55" i="2" s="1"/>
  <c r="AU56" i="2" s="1"/>
  <c r="AU57" i="2" s="1"/>
  <c r="AU58" i="2" s="1"/>
  <c r="AV10" i="2"/>
  <c r="AV11" i="2"/>
  <c r="AU9" i="2"/>
  <c r="AU10" i="2" s="1"/>
  <c r="AU11" i="2" s="1"/>
  <c r="AW11" i="2" s="1"/>
  <c r="BA51" i="3"/>
  <c r="AZ51" i="3"/>
  <c r="AY51" i="3"/>
  <c r="AX51" i="3"/>
  <c r="AW51" i="3"/>
  <c r="AU51" i="3"/>
  <c r="AS51" i="3"/>
  <c r="AR51" i="3"/>
  <c r="AQ51" i="3"/>
  <c r="AP51" i="3"/>
  <c r="AO51" i="3"/>
  <c r="AN51" i="3"/>
  <c r="AM51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O52" i="4"/>
  <c r="Q52" i="4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J65" i="3" s="1"/>
  <c r="AK59" i="3"/>
  <c r="AL59" i="3"/>
  <c r="H59" i="3"/>
  <c r="BA20" i="3"/>
  <c r="AZ20" i="3"/>
  <c r="AY20" i="3"/>
  <c r="AN20" i="3"/>
  <c r="AM20" i="3"/>
  <c r="J62" i="3"/>
  <c r="J64" i="3" s="1"/>
  <c r="L62" i="3"/>
  <c r="L64" i="3" s="1"/>
  <c r="R62" i="3"/>
  <c r="R64" i="3" s="1"/>
  <c r="T62" i="3"/>
  <c r="T64" i="3" s="1"/>
  <c r="H15" i="3"/>
  <c r="AT23" i="3"/>
  <c r="AT24" i="3" s="1"/>
  <c r="AT25" i="3" s="1"/>
  <c r="AT26" i="3" s="1"/>
  <c r="AT27" i="3" s="1"/>
  <c r="AT28" i="3" s="1"/>
  <c r="AT29" i="3" s="1"/>
  <c r="AT30" i="3" s="1"/>
  <c r="AT31" i="3" s="1"/>
  <c r="AT32" i="3" s="1"/>
  <c r="AT33" i="3" s="1"/>
  <c r="AT34" i="3" s="1"/>
  <c r="AT35" i="3" s="1"/>
  <c r="AT36" i="3" s="1"/>
  <c r="AT37" i="3" s="1"/>
  <c r="AT38" i="3" s="1"/>
  <c r="M62" i="3"/>
  <c r="M64" i="3" s="1"/>
  <c r="Z62" i="3"/>
  <c r="Z64" i="3" s="1"/>
  <c r="AB62" i="3"/>
  <c r="AB64" i="3" s="1"/>
  <c r="AC62" i="3"/>
  <c r="AC64" i="3" s="1"/>
  <c r="AD62" i="3"/>
  <c r="AD64" i="3" s="1"/>
  <c r="AE17" i="3"/>
  <c r="AH62" i="3"/>
  <c r="AH64" i="3" s="1"/>
  <c r="AJ62" i="3"/>
  <c r="AJ64" i="3" s="1"/>
  <c r="BA11" i="3"/>
  <c r="AZ11" i="3"/>
  <c r="AY11" i="3"/>
  <c r="AN11" i="3"/>
  <c r="AM11" i="3"/>
  <c r="J59" i="2"/>
  <c r="J67" i="2" s="1"/>
  <c r="K59" i="2"/>
  <c r="K67" i="2" s="1"/>
  <c r="L59" i="2"/>
  <c r="L67" i="2" s="1"/>
  <c r="M59" i="2"/>
  <c r="M67" i="2" s="1"/>
  <c r="N59" i="2"/>
  <c r="N67" i="2" s="1"/>
  <c r="O59" i="2"/>
  <c r="O67" i="2" s="1"/>
  <c r="P59" i="2"/>
  <c r="Q59" i="2"/>
  <c r="Q67" i="2" s="1"/>
  <c r="R59" i="2"/>
  <c r="R67" i="2" s="1"/>
  <c r="S59" i="2"/>
  <c r="S67" i="2" s="1"/>
  <c r="T59" i="2"/>
  <c r="T67" i="2" s="1"/>
  <c r="U59" i="2"/>
  <c r="U67" i="2" s="1"/>
  <c r="V59" i="2"/>
  <c r="V67" i="2" s="1"/>
  <c r="W59" i="2"/>
  <c r="W67" i="2" s="1"/>
  <c r="X59" i="2"/>
  <c r="Y59" i="2"/>
  <c r="Y67" i="2" s="1"/>
  <c r="Z59" i="2"/>
  <c r="Z67" i="2" s="1"/>
  <c r="AA59" i="2"/>
  <c r="AA67" i="2" s="1"/>
  <c r="AB59" i="2"/>
  <c r="AB67" i="2" s="1"/>
  <c r="AC59" i="2"/>
  <c r="AC67" i="2" s="1"/>
  <c r="AD59" i="2"/>
  <c r="AD67" i="2" s="1"/>
  <c r="AE59" i="2"/>
  <c r="AE67" i="2" s="1"/>
  <c r="AF59" i="2"/>
  <c r="AG59" i="2"/>
  <c r="AG67" i="2" s="1"/>
  <c r="AH59" i="2"/>
  <c r="AI59" i="2"/>
  <c r="AJ59" i="2"/>
  <c r="AJ67" i="2" s="1"/>
  <c r="AK59" i="2"/>
  <c r="AL59" i="2"/>
  <c r="AM59" i="2"/>
  <c r="AM67" i="2" s="1"/>
  <c r="BB58" i="2"/>
  <c r="BA58" i="2"/>
  <c r="AZ58" i="2"/>
  <c r="AY58" i="2"/>
  <c r="AX58" i="2"/>
  <c r="AV58" i="2"/>
  <c r="AT58" i="2"/>
  <c r="AS58" i="2"/>
  <c r="AR58" i="2"/>
  <c r="AQ58" i="2"/>
  <c r="AP58" i="2"/>
  <c r="AO58" i="2"/>
  <c r="AN58" i="2"/>
  <c r="BB46" i="2"/>
  <c r="BA46" i="2"/>
  <c r="AZ46" i="2"/>
  <c r="AY46" i="2"/>
  <c r="AX46" i="2"/>
  <c r="AV46" i="2"/>
  <c r="AT46" i="2"/>
  <c r="AS46" i="2"/>
  <c r="AR46" i="2"/>
  <c r="AQ46" i="2"/>
  <c r="AP46" i="2"/>
  <c r="AO46" i="2"/>
  <c r="AN46" i="2"/>
  <c r="J15" i="2"/>
  <c r="J64" i="2" s="1"/>
  <c r="K15" i="2"/>
  <c r="K64" i="2" s="1"/>
  <c r="L15" i="2"/>
  <c r="L17" i="2" s="1"/>
  <c r="M15" i="2"/>
  <c r="M64" i="2" s="1"/>
  <c r="N15" i="2"/>
  <c r="N17" i="2" s="1"/>
  <c r="O15" i="2"/>
  <c r="O64" i="2" s="1"/>
  <c r="P15" i="2"/>
  <c r="P64" i="2" s="1"/>
  <c r="Q15" i="2"/>
  <c r="Q64" i="2" s="1"/>
  <c r="R15" i="2"/>
  <c r="R64" i="2" s="1"/>
  <c r="S15" i="2"/>
  <c r="S17" i="2" s="1"/>
  <c r="T15" i="2"/>
  <c r="T64" i="2" s="1"/>
  <c r="U15" i="2"/>
  <c r="U64" i="2" s="1"/>
  <c r="V15" i="2"/>
  <c r="V64" i="2" s="1"/>
  <c r="W15" i="2"/>
  <c r="W64" i="2" s="1"/>
  <c r="X15" i="2"/>
  <c r="X17" i="2" s="1"/>
  <c r="Y15" i="2"/>
  <c r="Y64" i="2" s="1"/>
  <c r="Z15" i="2"/>
  <c r="Z64" i="2" s="1"/>
  <c r="AA15" i="2"/>
  <c r="AA64" i="2" s="1"/>
  <c r="AB15" i="2"/>
  <c r="AB64" i="2" s="1"/>
  <c r="AC15" i="2"/>
  <c r="AC64" i="2" s="1"/>
  <c r="AD15" i="2"/>
  <c r="AD17" i="2" s="1"/>
  <c r="AE15" i="2"/>
  <c r="AE64" i="2" s="1"/>
  <c r="AF15" i="2"/>
  <c r="AF64" i="2" s="1"/>
  <c r="AG15" i="2"/>
  <c r="AH15" i="2"/>
  <c r="AH64" i="2" s="1"/>
  <c r="AI15" i="2"/>
  <c r="AI64" i="2" s="1"/>
  <c r="AJ15" i="2"/>
  <c r="AJ64" i="2" s="1"/>
  <c r="AK15" i="2"/>
  <c r="AK17" i="2" s="1"/>
  <c r="AL15" i="2"/>
  <c r="AL17" i="2" s="1"/>
  <c r="AM15" i="2"/>
  <c r="AM17" i="2" s="1"/>
  <c r="I15" i="2"/>
  <c r="BB11" i="2"/>
  <c r="BA11" i="2"/>
  <c r="AZ11" i="2"/>
  <c r="AY11" i="2"/>
  <c r="AX11" i="2"/>
  <c r="AT11" i="2"/>
  <c r="AS11" i="2"/>
  <c r="AR11" i="2"/>
  <c r="AQ11" i="2"/>
  <c r="AP11" i="2"/>
  <c r="AO11" i="2"/>
  <c r="AN11" i="2"/>
  <c r="AN49" i="2"/>
  <c r="AN50" i="2"/>
  <c r="AN51" i="2"/>
  <c r="AN52" i="2"/>
  <c r="AN53" i="2"/>
  <c r="AN54" i="2"/>
  <c r="AQ9" i="2"/>
  <c r="AQ10" i="2"/>
  <c r="AQ8" i="2"/>
  <c r="AQ20" i="2"/>
  <c r="AQ21" i="2"/>
  <c r="AO23" i="4"/>
  <c r="AO22" i="4"/>
  <c r="AO21" i="4"/>
  <c r="AO20" i="4"/>
  <c r="AN21" i="4"/>
  <c r="AN20" i="4"/>
  <c r="AI49" i="4"/>
  <c r="AH15" i="4"/>
  <c r="AH52" i="4" s="1"/>
  <c r="AM63" i="3"/>
  <c r="AN63" i="3" s="1"/>
  <c r="AM66" i="3"/>
  <c r="AN66" i="3" s="1"/>
  <c r="AN56" i="4"/>
  <c r="AO56" i="4" s="1"/>
  <c r="O54" i="4"/>
  <c r="AN53" i="4"/>
  <c r="AO53" i="4" s="1"/>
  <c r="AM49" i="4"/>
  <c r="AL49" i="4"/>
  <c r="AK49" i="4"/>
  <c r="AJ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Q55" i="4" s="1"/>
  <c r="Q58" i="4" s="1"/>
  <c r="Q60" i="4" s="1"/>
  <c r="P49" i="4"/>
  <c r="O49" i="4"/>
  <c r="O55" i="4" s="1"/>
  <c r="N49" i="4"/>
  <c r="M49" i="4"/>
  <c r="L49" i="4"/>
  <c r="K49" i="4"/>
  <c r="J49" i="4"/>
  <c r="BB48" i="4"/>
  <c r="BA48" i="4"/>
  <c r="AZ48" i="4"/>
  <c r="AY48" i="4"/>
  <c r="AX48" i="4"/>
  <c r="AV48" i="4"/>
  <c r="AT48" i="4"/>
  <c r="AS48" i="4"/>
  <c r="AR48" i="4"/>
  <c r="AQ48" i="4"/>
  <c r="AP48" i="4"/>
  <c r="AO48" i="4"/>
  <c r="AN48" i="4"/>
  <c r="BB47" i="4"/>
  <c r="BA47" i="4"/>
  <c r="AZ47" i="4"/>
  <c r="AY47" i="4"/>
  <c r="AX47" i="4"/>
  <c r="AV47" i="4"/>
  <c r="AT47" i="4"/>
  <c r="AS47" i="4"/>
  <c r="AR47" i="4"/>
  <c r="AQ47" i="4"/>
  <c r="AP47" i="4"/>
  <c r="AO47" i="4"/>
  <c r="AN47" i="4"/>
  <c r="BB46" i="4"/>
  <c r="BA46" i="4"/>
  <c r="AZ46" i="4"/>
  <c r="AY46" i="4"/>
  <c r="AX46" i="4"/>
  <c r="AV46" i="4"/>
  <c r="AT46" i="4"/>
  <c r="AS46" i="4"/>
  <c r="AR46" i="4"/>
  <c r="AQ46" i="4"/>
  <c r="AP46" i="4"/>
  <c r="AO46" i="4"/>
  <c r="AN46" i="4"/>
  <c r="BB45" i="4"/>
  <c r="BA45" i="4"/>
  <c r="AZ45" i="4"/>
  <c r="AY45" i="4"/>
  <c r="AX45" i="4"/>
  <c r="AV45" i="4"/>
  <c r="AT45" i="4"/>
  <c r="AS45" i="4"/>
  <c r="AR45" i="4"/>
  <c r="AQ45" i="4"/>
  <c r="AP45" i="4"/>
  <c r="AO45" i="4"/>
  <c r="AN45" i="4"/>
  <c r="BB44" i="4"/>
  <c r="BA44" i="4"/>
  <c r="AZ44" i="4"/>
  <c r="AY44" i="4"/>
  <c r="AX44" i="4"/>
  <c r="AV44" i="4"/>
  <c r="AT44" i="4"/>
  <c r="AS44" i="4"/>
  <c r="AR44" i="4"/>
  <c r="AQ44" i="4"/>
  <c r="AP44" i="4"/>
  <c r="AO44" i="4"/>
  <c r="AN44" i="4"/>
  <c r="BB43" i="4"/>
  <c r="BA43" i="4"/>
  <c r="AZ43" i="4"/>
  <c r="AY43" i="4"/>
  <c r="AX43" i="4"/>
  <c r="AV43" i="4"/>
  <c r="AT43" i="4"/>
  <c r="AS43" i="4"/>
  <c r="AR43" i="4"/>
  <c r="AQ43" i="4"/>
  <c r="AP43" i="4"/>
  <c r="AO43" i="4"/>
  <c r="AN43" i="4"/>
  <c r="BB42" i="4"/>
  <c r="BA42" i="4"/>
  <c r="AZ42" i="4"/>
  <c r="AY42" i="4"/>
  <c r="AX42" i="4"/>
  <c r="AV42" i="4"/>
  <c r="AT42" i="4"/>
  <c r="AS42" i="4"/>
  <c r="AR42" i="4"/>
  <c r="AQ42" i="4"/>
  <c r="AP42" i="4"/>
  <c r="AO42" i="4"/>
  <c r="AN42" i="4"/>
  <c r="BB41" i="4"/>
  <c r="BA41" i="4"/>
  <c r="AZ41" i="4"/>
  <c r="AY41" i="4"/>
  <c r="AX41" i="4"/>
  <c r="AV41" i="4"/>
  <c r="AT41" i="4"/>
  <c r="AS41" i="4"/>
  <c r="AR41" i="4"/>
  <c r="AQ41" i="4"/>
  <c r="AP41" i="4"/>
  <c r="AO41" i="4"/>
  <c r="AN41" i="4"/>
  <c r="BB40" i="4"/>
  <c r="BA40" i="4"/>
  <c r="AZ40" i="4"/>
  <c r="AY40" i="4"/>
  <c r="AX40" i="4"/>
  <c r="AV40" i="4"/>
  <c r="AT40" i="4"/>
  <c r="AS40" i="4"/>
  <c r="AR40" i="4"/>
  <c r="AQ40" i="4"/>
  <c r="AP40" i="4"/>
  <c r="AO40" i="4"/>
  <c r="AN40" i="4"/>
  <c r="BB39" i="4"/>
  <c r="BA39" i="4"/>
  <c r="AZ39" i="4"/>
  <c r="AY39" i="4"/>
  <c r="AX39" i="4"/>
  <c r="AV39" i="4"/>
  <c r="AT39" i="4"/>
  <c r="AS39" i="4"/>
  <c r="AR39" i="4"/>
  <c r="AQ39" i="4"/>
  <c r="AP39" i="4"/>
  <c r="AO39" i="4"/>
  <c r="AN39" i="4"/>
  <c r="BB38" i="4"/>
  <c r="BA38" i="4"/>
  <c r="AZ38" i="4"/>
  <c r="AY38" i="4"/>
  <c r="AX38" i="4"/>
  <c r="AV38" i="4"/>
  <c r="AT38" i="4"/>
  <c r="AS38" i="4"/>
  <c r="AR38" i="4"/>
  <c r="AQ38" i="4"/>
  <c r="AP38" i="4"/>
  <c r="AO38" i="4"/>
  <c r="AN38" i="4"/>
  <c r="BB37" i="4"/>
  <c r="BA37" i="4"/>
  <c r="AZ37" i="4"/>
  <c r="AY37" i="4"/>
  <c r="AX37" i="4"/>
  <c r="AV37" i="4"/>
  <c r="AT37" i="4"/>
  <c r="AS37" i="4"/>
  <c r="AR37" i="4"/>
  <c r="AQ37" i="4"/>
  <c r="AP37" i="4"/>
  <c r="AO37" i="4"/>
  <c r="AN37" i="4"/>
  <c r="BB36" i="4"/>
  <c r="BA36" i="4"/>
  <c r="AZ36" i="4"/>
  <c r="AY36" i="4"/>
  <c r="AX36" i="4"/>
  <c r="AV36" i="4"/>
  <c r="AT36" i="4"/>
  <c r="AS36" i="4"/>
  <c r="AR36" i="4"/>
  <c r="AQ36" i="4"/>
  <c r="AP36" i="4"/>
  <c r="AO36" i="4"/>
  <c r="AN36" i="4"/>
  <c r="BB35" i="4"/>
  <c r="BA35" i="4"/>
  <c r="AZ35" i="4"/>
  <c r="AY35" i="4"/>
  <c r="AX35" i="4"/>
  <c r="AV35" i="4"/>
  <c r="AT35" i="4"/>
  <c r="AS35" i="4"/>
  <c r="AR35" i="4"/>
  <c r="AQ35" i="4"/>
  <c r="AP35" i="4"/>
  <c r="AO35" i="4"/>
  <c r="AN35" i="4"/>
  <c r="BB34" i="4"/>
  <c r="BA34" i="4"/>
  <c r="AZ34" i="4"/>
  <c r="AY34" i="4"/>
  <c r="AX34" i="4"/>
  <c r="AV34" i="4"/>
  <c r="AT34" i="4"/>
  <c r="AS34" i="4"/>
  <c r="AR34" i="4"/>
  <c r="AQ34" i="4"/>
  <c r="AP34" i="4"/>
  <c r="AO34" i="4"/>
  <c r="AN34" i="4"/>
  <c r="BB33" i="4"/>
  <c r="BA33" i="4"/>
  <c r="AZ33" i="4"/>
  <c r="AY33" i="4"/>
  <c r="AX33" i="4"/>
  <c r="AV33" i="4"/>
  <c r="AT33" i="4"/>
  <c r="AS33" i="4"/>
  <c r="AR33" i="4"/>
  <c r="AQ33" i="4"/>
  <c r="AP33" i="4"/>
  <c r="AO33" i="4"/>
  <c r="AN33" i="4"/>
  <c r="BB32" i="4"/>
  <c r="BA32" i="4"/>
  <c r="AZ32" i="4"/>
  <c r="AY32" i="4"/>
  <c r="AX32" i="4"/>
  <c r="AV32" i="4"/>
  <c r="AT32" i="4"/>
  <c r="AS32" i="4"/>
  <c r="AR32" i="4"/>
  <c r="AQ32" i="4"/>
  <c r="AP32" i="4"/>
  <c r="AO32" i="4"/>
  <c r="AN32" i="4"/>
  <c r="BB31" i="4"/>
  <c r="BA31" i="4"/>
  <c r="AZ31" i="4"/>
  <c r="AY31" i="4"/>
  <c r="AX31" i="4"/>
  <c r="AV31" i="4"/>
  <c r="AT31" i="4"/>
  <c r="AS31" i="4"/>
  <c r="AR31" i="4"/>
  <c r="AQ31" i="4"/>
  <c r="AP31" i="4"/>
  <c r="AO31" i="4"/>
  <c r="AN31" i="4"/>
  <c r="BB30" i="4"/>
  <c r="BA30" i="4"/>
  <c r="AZ30" i="4"/>
  <c r="AY30" i="4"/>
  <c r="AX30" i="4"/>
  <c r="AV30" i="4"/>
  <c r="AT30" i="4"/>
  <c r="AS30" i="4"/>
  <c r="AR30" i="4"/>
  <c r="AQ30" i="4"/>
  <c r="AP30" i="4"/>
  <c r="AO30" i="4"/>
  <c r="AN30" i="4"/>
  <c r="BB29" i="4"/>
  <c r="BA29" i="4"/>
  <c r="AZ29" i="4"/>
  <c r="AY29" i="4"/>
  <c r="AX29" i="4"/>
  <c r="AV29" i="4"/>
  <c r="AT29" i="4"/>
  <c r="AS29" i="4"/>
  <c r="AR29" i="4"/>
  <c r="AQ29" i="4"/>
  <c r="AP29" i="4"/>
  <c r="AO29" i="4"/>
  <c r="AN29" i="4"/>
  <c r="BB28" i="4"/>
  <c r="BA28" i="4"/>
  <c r="AZ28" i="4"/>
  <c r="AY28" i="4"/>
  <c r="AX28" i="4"/>
  <c r="AV28" i="4"/>
  <c r="AT28" i="4"/>
  <c r="AS28" i="4"/>
  <c r="AR28" i="4"/>
  <c r="AQ28" i="4"/>
  <c r="AP28" i="4"/>
  <c r="AO28" i="4"/>
  <c r="AN28" i="4"/>
  <c r="BB27" i="4"/>
  <c r="BA27" i="4"/>
  <c r="AZ27" i="4"/>
  <c r="AY27" i="4"/>
  <c r="AX27" i="4"/>
  <c r="AV27" i="4"/>
  <c r="AT27" i="4"/>
  <c r="AS27" i="4"/>
  <c r="AR27" i="4"/>
  <c r="AQ27" i="4"/>
  <c r="AP27" i="4"/>
  <c r="AO27" i="4"/>
  <c r="AN27" i="4"/>
  <c r="BB26" i="4"/>
  <c r="BA26" i="4"/>
  <c r="AZ26" i="4"/>
  <c r="AY26" i="4"/>
  <c r="AX26" i="4"/>
  <c r="AV26" i="4"/>
  <c r="AT26" i="4"/>
  <c r="AS26" i="4"/>
  <c r="AR26" i="4"/>
  <c r="AQ26" i="4"/>
  <c r="AP26" i="4"/>
  <c r="AO26" i="4"/>
  <c r="AN26" i="4"/>
  <c r="BB25" i="4"/>
  <c r="BA25" i="4"/>
  <c r="AZ25" i="4"/>
  <c r="AY25" i="4"/>
  <c r="AX25" i="4"/>
  <c r="AV25" i="4"/>
  <c r="AT25" i="4"/>
  <c r="AS25" i="4"/>
  <c r="AR25" i="4"/>
  <c r="AQ25" i="4"/>
  <c r="AP25" i="4"/>
  <c r="AO25" i="4"/>
  <c r="AN25" i="4"/>
  <c r="BB24" i="4"/>
  <c r="BA24" i="4"/>
  <c r="AZ24" i="4"/>
  <c r="AY24" i="4"/>
  <c r="AX24" i="4"/>
  <c r="AV24" i="4"/>
  <c r="AT24" i="4"/>
  <c r="AS24" i="4"/>
  <c r="AR24" i="4"/>
  <c r="AQ24" i="4"/>
  <c r="AP24" i="4"/>
  <c r="AO24" i="4"/>
  <c r="AN24" i="4"/>
  <c r="BB23" i="4"/>
  <c r="BA23" i="4"/>
  <c r="AZ23" i="4"/>
  <c r="AY23" i="4"/>
  <c r="AX23" i="4"/>
  <c r="AV23" i="4"/>
  <c r="AT23" i="4"/>
  <c r="AS23" i="4"/>
  <c r="AR23" i="4"/>
  <c r="AQ23" i="4"/>
  <c r="AP23" i="4"/>
  <c r="AN23" i="4"/>
  <c r="BB22" i="4"/>
  <c r="BA22" i="4"/>
  <c r="AZ22" i="4"/>
  <c r="AY22" i="4"/>
  <c r="AX22" i="4"/>
  <c r="AV22" i="4"/>
  <c r="AW22" i="4" s="1"/>
  <c r="AT22" i="4"/>
  <c r="AS22" i="4"/>
  <c r="AR22" i="4"/>
  <c r="AQ22" i="4"/>
  <c r="AP22" i="4"/>
  <c r="AN22" i="4"/>
  <c r="BB21" i="4"/>
  <c r="BA21" i="4"/>
  <c r="AZ21" i="4"/>
  <c r="AY21" i="4"/>
  <c r="AX21" i="4"/>
  <c r="AV21" i="4"/>
  <c r="AW21" i="4" s="1"/>
  <c r="AT21" i="4"/>
  <c r="AS21" i="4"/>
  <c r="AR21" i="4"/>
  <c r="AQ21" i="4"/>
  <c r="AP21" i="4"/>
  <c r="BB20" i="4"/>
  <c r="BA20" i="4"/>
  <c r="AZ20" i="4"/>
  <c r="AY20" i="4"/>
  <c r="AX20" i="4"/>
  <c r="AV20" i="4"/>
  <c r="AW20" i="4" s="1"/>
  <c r="AT20" i="4"/>
  <c r="AS20" i="4"/>
  <c r="AR20" i="4"/>
  <c r="AQ20" i="4"/>
  <c r="AP20" i="4"/>
  <c r="AN16" i="4"/>
  <c r="AO16" i="4" s="1"/>
  <c r="AM15" i="4"/>
  <c r="AM52" i="4" s="1"/>
  <c r="AL15" i="4"/>
  <c r="AL52" i="4" s="1"/>
  <c r="AL54" i="4" s="1"/>
  <c r="AK15" i="4"/>
  <c r="AK52" i="4" s="1"/>
  <c r="AJ15" i="4"/>
  <c r="AI15" i="4"/>
  <c r="AG15" i="4"/>
  <c r="AF15" i="4"/>
  <c r="AF52" i="4" s="1"/>
  <c r="AE15" i="4"/>
  <c r="AE52" i="4" s="1"/>
  <c r="AE54" i="4" s="1"/>
  <c r="AD15" i="4"/>
  <c r="AD52" i="4" s="1"/>
  <c r="AC15" i="4"/>
  <c r="AC52" i="4" s="1"/>
  <c r="AB15" i="4"/>
  <c r="AB52" i="4" s="1"/>
  <c r="AB54" i="4" s="1"/>
  <c r="AA15" i="4"/>
  <c r="Z15" i="4"/>
  <c r="Y15" i="4"/>
  <c r="X15" i="4"/>
  <c r="W15" i="4"/>
  <c r="W52" i="4" s="1"/>
  <c r="V15" i="4"/>
  <c r="V52" i="4" s="1"/>
  <c r="U15" i="4"/>
  <c r="U52" i="4" s="1"/>
  <c r="T15" i="4"/>
  <c r="S15" i="4"/>
  <c r="R15" i="4"/>
  <c r="Q15" i="4"/>
  <c r="Q17" i="4" s="1"/>
  <c r="P15" i="4"/>
  <c r="P52" i="4" s="1"/>
  <c r="P54" i="4" s="1"/>
  <c r="O15" i="4"/>
  <c r="N15" i="4"/>
  <c r="N52" i="4" s="1"/>
  <c r="N54" i="4" s="1"/>
  <c r="M15" i="4"/>
  <c r="M52" i="4" s="1"/>
  <c r="L15" i="4"/>
  <c r="L52" i="4" s="1"/>
  <c r="K15" i="4"/>
  <c r="J15" i="4"/>
  <c r="I15" i="4"/>
  <c r="I52" i="4" s="1"/>
  <c r="AO11" i="4"/>
  <c r="AN11" i="4"/>
  <c r="AO10" i="4"/>
  <c r="AN10" i="4"/>
  <c r="BB9" i="4"/>
  <c r="BA9" i="4"/>
  <c r="AZ9" i="4"/>
  <c r="AY9" i="4"/>
  <c r="AX9" i="4"/>
  <c r="AV9" i="4"/>
  <c r="AW9" i="4" s="1"/>
  <c r="AT9" i="4"/>
  <c r="AS9" i="4"/>
  <c r="AR9" i="4"/>
  <c r="AQ9" i="4"/>
  <c r="AP9" i="4"/>
  <c r="AO9" i="4"/>
  <c r="AN9" i="4"/>
  <c r="BB8" i="4"/>
  <c r="BA8" i="4"/>
  <c r="AZ8" i="4"/>
  <c r="AY8" i="4"/>
  <c r="AX8" i="4"/>
  <c r="AV8" i="4"/>
  <c r="AW8" i="4" s="1"/>
  <c r="AT8" i="4"/>
  <c r="AS8" i="4"/>
  <c r="AR8" i="4"/>
  <c r="AQ8" i="4"/>
  <c r="AP8" i="4"/>
  <c r="AO8" i="4"/>
  <c r="AN8" i="4"/>
  <c r="I6" i="4"/>
  <c r="BA58" i="3"/>
  <c r="AZ58" i="3"/>
  <c r="AY58" i="3"/>
  <c r="AX58" i="3"/>
  <c r="AW58" i="3"/>
  <c r="AU58" i="3"/>
  <c r="AS58" i="3"/>
  <c r="AR58" i="3"/>
  <c r="AQ58" i="3"/>
  <c r="AP58" i="3"/>
  <c r="AO58" i="3"/>
  <c r="AN58" i="3"/>
  <c r="AM58" i="3"/>
  <c r="BA57" i="3"/>
  <c r="AZ57" i="3"/>
  <c r="AY57" i="3"/>
  <c r="AX57" i="3"/>
  <c r="AW57" i="3"/>
  <c r="AU57" i="3"/>
  <c r="AS57" i="3"/>
  <c r="AR57" i="3"/>
  <c r="AQ57" i="3"/>
  <c r="AP57" i="3"/>
  <c r="AO57" i="3"/>
  <c r="AN57" i="3"/>
  <c r="AM57" i="3"/>
  <c r="BA22" i="3"/>
  <c r="AZ22" i="3"/>
  <c r="AY22" i="3"/>
  <c r="AX22" i="3"/>
  <c r="AW22" i="3"/>
  <c r="AU22" i="3"/>
  <c r="AS22" i="3"/>
  <c r="AR22" i="3"/>
  <c r="AQ22" i="3"/>
  <c r="AP22" i="3"/>
  <c r="AO22" i="3"/>
  <c r="AN22" i="3"/>
  <c r="AM22" i="3"/>
  <c r="BA23" i="3"/>
  <c r="AZ23" i="3"/>
  <c r="AY23" i="3"/>
  <c r="AX23" i="3"/>
  <c r="AW23" i="3"/>
  <c r="AU23" i="3"/>
  <c r="AS23" i="3"/>
  <c r="AR23" i="3"/>
  <c r="AQ23" i="3"/>
  <c r="AP23" i="3"/>
  <c r="AO23" i="3"/>
  <c r="AN23" i="3"/>
  <c r="AM23" i="3"/>
  <c r="BA54" i="3"/>
  <c r="AZ54" i="3"/>
  <c r="AY54" i="3"/>
  <c r="AX54" i="3"/>
  <c r="AW54" i="3"/>
  <c r="AU54" i="3"/>
  <c r="AS54" i="3"/>
  <c r="AR54" i="3"/>
  <c r="AQ54" i="3"/>
  <c r="AP54" i="3"/>
  <c r="AO54" i="3"/>
  <c r="AN54" i="3"/>
  <c r="AM54" i="3"/>
  <c r="BA35" i="3"/>
  <c r="AZ35" i="3"/>
  <c r="AY35" i="3"/>
  <c r="AX35" i="3"/>
  <c r="AW35" i="3"/>
  <c r="AU35" i="3"/>
  <c r="AS35" i="3"/>
  <c r="AR35" i="3"/>
  <c r="AQ35" i="3"/>
  <c r="AP35" i="3"/>
  <c r="AO35" i="3"/>
  <c r="AN35" i="3"/>
  <c r="AM35" i="3"/>
  <c r="BA56" i="3"/>
  <c r="AZ56" i="3"/>
  <c r="AY56" i="3"/>
  <c r="AX56" i="3"/>
  <c r="AW56" i="3"/>
  <c r="AU56" i="3"/>
  <c r="AS56" i="3"/>
  <c r="AR56" i="3"/>
  <c r="AQ56" i="3"/>
  <c r="AP56" i="3"/>
  <c r="AO56" i="3"/>
  <c r="AN56" i="3"/>
  <c r="AM56" i="3"/>
  <c r="BA45" i="3"/>
  <c r="AZ45" i="3"/>
  <c r="AY45" i="3"/>
  <c r="AX45" i="3"/>
  <c r="AW45" i="3"/>
  <c r="AU45" i="3"/>
  <c r="AS45" i="3"/>
  <c r="AR45" i="3"/>
  <c r="AP45" i="3"/>
  <c r="AO45" i="3"/>
  <c r="AN45" i="3"/>
  <c r="AM45" i="3"/>
  <c r="BA34" i="3"/>
  <c r="AZ34" i="3"/>
  <c r="AY34" i="3"/>
  <c r="AX34" i="3"/>
  <c r="AW34" i="3"/>
  <c r="AU34" i="3"/>
  <c r="AS34" i="3"/>
  <c r="AR34" i="3"/>
  <c r="AQ34" i="3"/>
  <c r="AP34" i="3"/>
  <c r="AO34" i="3"/>
  <c r="AN34" i="3"/>
  <c r="AM34" i="3"/>
  <c r="BA48" i="3"/>
  <c r="AZ48" i="3"/>
  <c r="AY48" i="3"/>
  <c r="AX48" i="3"/>
  <c r="AW48" i="3"/>
  <c r="AU48" i="3"/>
  <c r="AS48" i="3"/>
  <c r="AR48" i="3"/>
  <c r="AQ48" i="3"/>
  <c r="AP48" i="3"/>
  <c r="AO48" i="3"/>
  <c r="AN48" i="3"/>
  <c r="AM48" i="3"/>
  <c r="BA50" i="3"/>
  <c r="AZ50" i="3"/>
  <c r="AY50" i="3"/>
  <c r="AX50" i="3"/>
  <c r="AW50" i="3"/>
  <c r="AU50" i="3"/>
  <c r="AS50" i="3"/>
  <c r="AR50" i="3"/>
  <c r="AQ50" i="3"/>
  <c r="AP50" i="3"/>
  <c r="AO50" i="3"/>
  <c r="AN50" i="3"/>
  <c r="AM50" i="3"/>
  <c r="BA24" i="3"/>
  <c r="AZ24" i="3"/>
  <c r="AY24" i="3"/>
  <c r="AX24" i="3"/>
  <c r="AW24" i="3"/>
  <c r="AU24" i="3"/>
  <c r="AS24" i="3"/>
  <c r="AR24" i="3"/>
  <c r="AQ24" i="3"/>
  <c r="AP24" i="3"/>
  <c r="AO24" i="3"/>
  <c r="AN24" i="3"/>
  <c r="AM24" i="3"/>
  <c r="BA46" i="3"/>
  <c r="AZ46" i="3"/>
  <c r="AY46" i="3"/>
  <c r="AX46" i="3"/>
  <c r="AW46" i="3"/>
  <c r="AP46" i="3"/>
  <c r="AO46" i="3"/>
  <c r="AN46" i="3"/>
  <c r="AM46" i="3"/>
  <c r="BA42" i="3"/>
  <c r="AZ42" i="3"/>
  <c r="AY42" i="3"/>
  <c r="AX42" i="3"/>
  <c r="AW42" i="3"/>
  <c r="AU42" i="3"/>
  <c r="AS42" i="3"/>
  <c r="AR42" i="3"/>
  <c r="AQ42" i="3"/>
  <c r="AP42" i="3"/>
  <c r="AO42" i="3"/>
  <c r="AN42" i="3"/>
  <c r="AM42" i="3"/>
  <c r="BA27" i="3"/>
  <c r="AZ27" i="3"/>
  <c r="AY27" i="3"/>
  <c r="AX27" i="3"/>
  <c r="AW27" i="3"/>
  <c r="AU27" i="3"/>
  <c r="AS27" i="3"/>
  <c r="AR27" i="3"/>
  <c r="AQ27" i="3"/>
  <c r="AP27" i="3"/>
  <c r="AO27" i="3"/>
  <c r="AN27" i="3"/>
  <c r="AM27" i="3"/>
  <c r="BA29" i="3"/>
  <c r="AZ29" i="3"/>
  <c r="AY29" i="3"/>
  <c r="AX29" i="3"/>
  <c r="AW29" i="3"/>
  <c r="AU29" i="3"/>
  <c r="AS29" i="3"/>
  <c r="AR29" i="3"/>
  <c r="AQ29" i="3"/>
  <c r="AP29" i="3"/>
  <c r="AO29" i="3"/>
  <c r="AN29" i="3"/>
  <c r="AM29" i="3"/>
  <c r="BA49" i="3"/>
  <c r="AZ49" i="3"/>
  <c r="AY49" i="3"/>
  <c r="AX49" i="3"/>
  <c r="AW49" i="3"/>
  <c r="AU49" i="3"/>
  <c r="AS49" i="3"/>
  <c r="AR49" i="3"/>
  <c r="AQ49" i="3"/>
  <c r="AP49" i="3"/>
  <c r="AO49" i="3"/>
  <c r="AN49" i="3"/>
  <c r="AM49" i="3"/>
  <c r="BA41" i="3"/>
  <c r="AZ41" i="3"/>
  <c r="AY41" i="3"/>
  <c r="AX41" i="3"/>
  <c r="AW41" i="3"/>
  <c r="AU41" i="3"/>
  <c r="AS41" i="3"/>
  <c r="AR41" i="3"/>
  <c r="AQ41" i="3"/>
  <c r="AP41" i="3"/>
  <c r="AO41" i="3"/>
  <c r="AN41" i="3"/>
  <c r="AM41" i="3"/>
  <c r="BA31" i="3"/>
  <c r="AZ31" i="3"/>
  <c r="AY31" i="3"/>
  <c r="AX31" i="3"/>
  <c r="AW31" i="3"/>
  <c r="AU31" i="3"/>
  <c r="AS31" i="3"/>
  <c r="AR31" i="3"/>
  <c r="AQ31" i="3"/>
  <c r="AP31" i="3"/>
  <c r="AO31" i="3"/>
  <c r="AN31" i="3"/>
  <c r="AM31" i="3"/>
  <c r="BA30" i="3"/>
  <c r="AZ30" i="3"/>
  <c r="AY30" i="3"/>
  <c r="AX30" i="3"/>
  <c r="AW30" i="3"/>
  <c r="AU30" i="3"/>
  <c r="AS30" i="3"/>
  <c r="AR30" i="3"/>
  <c r="AQ30" i="3"/>
  <c r="AP30" i="3"/>
  <c r="AO30" i="3"/>
  <c r="AN30" i="3"/>
  <c r="AM30" i="3"/>
  <c r="BA53" i="3"/>
  <c r="AZ53" i="3"/>
  <c r="AY53" i="3"/>
  <c r="AX53" i="3"/>
  <c r="AW53" i="3"/>
  <c r="AU53" i="3"/>
  <c r="AS53" i="3"/>
  <c r="AR53" i="3"/>
  <c r="AQ53" i="3"/>
  <c r="AP53" i="3"/>
  <c r="AO53" i="3"/>
  <c r="AN53" i="3"/>
  <c r="AM53" i="3"/>
  <c r="BA52" i="3"/>
  <c r="AZ52" i="3"/>
  <c r="AY52" i="3"/>
  <c r="AX52" i="3"/>
  <c r="AW52" i="3"/>
  <c r="AU52" i="3"/>
  <c r="AS52" i="3"/>
  <c r="AR52" i="3"/>
  <c r="AQ52" i="3"/>
  <c r="AP52" i="3"/>
  <c r="AO52" i="3"/>
  <c r="AN52" i="3"/>
  <c r="AM52" i="3"/>
  <c r="BA37" i="3"/>
  <c r="AZ37" i="3"/>
  <c r="AY37" i="3"/>
  <c r="AX37" i="3"/>
  <c r="AW37" i="3"/>
  <c r="AU37" i="3"/>
  <c r="AS37" i="3"/>
  <c r="AR37" i="3"/>
  <c r="AQ37" i="3"/>
  <c r="AP37" i="3"/>
  <c r="AO37" i="3"/>
  <c r="AN37" i="3"/>
  <c r="AM37" i="3"/>
  <c r="BA39" i="3"/>
  <c r="AZ39" i="3"/>
  <c r="AY39" i="3"/>
  <c r="AX39" i="3"/>
  <c r="AW39" i="3"/>
  <c r="AU39" i="3"/>
  <c r="AS39" i="3"/>
  <c r="AR39" i="3"/>
  <c r="AQ39" i="3"/>
  <c r="AP39" i="3"/>
  <c r="AO39" i="3"/>
  <c r="AN39" i="3"/>
  <c r="AM39" i="3"/>
  <c r="BA40" i="3"/>
  <c r="AZ40" i="3"/>
  <c r="AY40" i="3"/>
  <c r="AX40" i="3"/>
  <c r="AW40" i="3"/>
  <c r="AU40" i="3"/>
  <c r="AS40" i="3"/>
  <c r="AR40" i="3"/>
  <c r="AQ40" i="3"/>
  <c r="AP40" i="3"/>
  <c r="AO40" i="3"/>
  <c r="AN40" i="3"/>
  <c r="AM40" i="3"/>
  <c r="BA43" i="3"/>
  <c r="AZ43" i="3"/>
  <c r="AY43" i="3"/>
  <c r="AX43" i="3"/>
  <c r="AW43" i="3"/>
  <c r="AU43" i="3"/>
  <c r="AS43" i="3"/>
  <c r="AR43" i="3"/>
  <c r="AQ43" i="3"/>
  <c r="AP43" i="3"/>
  <c r="AO43" i="3"/>
  <c r="AN43" i="3"/>
  <c r="AM43" i="3"/>
  <c r="BA38" i="3"/>
  <c r="AZ38" i="3"/>
  <c r="AY38" i="3"/>
  <c r="AX38" i="3"/>
  <c r="AW38" i="3"/>
  <c r="AS38" i="3"/>
  <c r="AR38" i="3"/>
  <c r="AQ38" i="3"/>
  <c r="AP38" i="3"/>
  <c r="AO38" i="3"/>
  <c r="AN38" i="3"/>
  <c r="AM38" i="3"/>
  <c r="BA36" i="3"/>
  <c r="AZ36" i="3"/>
  <c r="AY36" i="3"/>
  <c r="AX36" i="3"/>
  <c r="AW36" i="3"/>
  <c r="AU36" i="3"/>
  <c r="AS36" i="3"/>
  <c r="AR36" i="3"/>
  <c r="AQ36" i="3"/>
  <c r="AP36" i="3"/>
  <c r="AO36" i="3"/>
  <c r="AN36" i="3"/>
  <c r="AM36" i="3"/>
  <c r="BA47" i="3"/>
  <c r="AZ47" i="3"/>
  <c r="AY47" i="3"/>
  <c r="AX47" i="3"/>
  <c r="AW47" i="3"/>
  <c r="AU47" i="3"/>
  <c r="AS47" i="3"/>
  <c r="AR47" i="3"/>
  <c r="AQ47" i="3"/>
  <c r="AP47" i="3"/>
  <c r="AO47" i="3"/>
  <c r="AN47" i="3"/>
  <c r="AM47" i="3"/>
  <c r="BA32" i="3"/>
  <c r="AZ32" i="3"/>
  <c r="AY32" i="3"/>
  <c r="AX32" i="3"/>
  <c r="AW32" i="3"/>
  <c r="AU32" i="3"/>
  <c r="AS32" i="3"/>
  <c r="AR32" i="3"/>
  <c r="AQ32" i="3"/>
  <c r="AP32" i="3"/>
  <c r="AO32" i="3"/>
  <c r="AN32" i="3"/>
  <c r="AM32" i="3"/>
  <c r="BA25" i="3"/>
  <c r="AZ25" i="3"/>
  <c r="AY25" i="3"/>
  <c r="AX25" i="3"/>
  <c r="AW25" i="3"/>
  <c r="AU25" i="3"/>
  <c r="AS25" i="3"/>
  <c r="AR25" i="3"/>
  <c r="AQ25" i="3"/>
  <c r="AP25" i="3"/>
  <c r="AO25" i="3"/>
  <c r="AN25" i="3"/>
  <c r="AM25" i="3"/>
  <c r="BA44" i="3"/>
  <c r="AZ44" i="3"/>
  <c r="AY44" i="3"/>
  <c r="AX44" i="3"/>
  <c r="AW44" i="3"/>
  <c r="AU44" i="3"/>
  <c r="AS44" i="3"/>
  <c r="AR44" i="3"/>
  <c r="AQ44" i="3"/>
  <c r="AP44" i="3"/>
  <c r="AO44" i="3"/>
  <c r="AN44" i="3"/>
  <c r="AM44" i="3"/>
  <c r="BA28" i="3"/>
  <c r="AZ28" i="3"/>
  <c r="AY28" i="3"/>
  <c r="AX28" i="3"/>
  <c r="AW28" i="3"/>
  <c r="AU28" i="3"/>
  <c r="AS28" i="3"/>
  <c r="AR28" i="3"/>
  <c r="AQ28" i="3"/>
  <c r="AP28" i="3"/>
  <c r="AO28" i="3"/>
  <c r="AN28" i="3"/>
  <c r="AM28" i="3"/>
  <c r="BA26" i="3"/>
  <c r="AZ26" i="3"/>
  <c r="AY26" i="3"/>
  <c r="AX26" i="3"/>
  <c r="AW26" i="3"/>
  <c r="AU26" i="3"/>
  <c r="AS26" i="3"/>
  <c r="AR26" i="3"/>
  <c r="AQ26" i="3"/>
  <c r="AP26" i="3"/>
  <c r="AO26" i="3"/>
  <c r="AN26" i="3"/>
  <c r="AM26" i="3"/>
  <c r="BA33" i="3"/>
  <c r="AZ33" i="3"/>
  <c r="AY33" i="3"/>
  <c r="AX33" i="3"/>
  <c r="AW33" i="3"/>
  <c r="AU33" i="3"/>
  <c r="AS33" i="3"/>
  <c r="AR33" i="3"/>
  <c r="AQ33" i="3"/>
  <c r="AP33" i="3"/>
  <c r="AO33" i="3"/>
  <c r="AN33" i="3"/>
  <c r="AM33" i="3"/>
  <c r="BA55" i="3"/>
  <c r="AZ55" i="3"/>
  <c r="AY55" i="3"/>
  <c r="AX55" i="3"/>
  <c r="AW55" i="3"/>
  <c r="AU55" i="3"/>
  <c r="AS55" i="3"/>
  <c r="AR55" i="3"/>
  <c r="AQ55" i="3"/>
  <c r="AP55" i="3"/>
  <c r="AO55" i="3"/>
  <c r="AN55" i="3"/>
  <c r="AM55" i="3"/>
  <c r="BA21" i="3"/>
  <c r="AZ21" i="3"/>
  <c r="AY21" i="3"/>
  <c r="AX21" i="3"/>
  <c r="AW21" i="3"/>
  <c r="AS21" i="3"/>
  <c r="AR21" i="3"/>
  <c r="AO21" i="3"/>
  <c r="AN21" i="3"/>
  <c r="AM21" i="3"/>
  <c r="AM16" i="3"/>
  <c r="AN16" i="3" s="1"/>
  <c r="AL17" i="3"/>
  <c r="AK17" i="3"/>
  <c r="AC17" i="3"/>
  <c r="Z17" i="3"/>
  <c r="U17" i="3"/>
  <c r="S17" i="3"/>
  <c r="N17" i="3"/>
  <c r="BA10" i="3"/>
  <c r="AZ10" i="3"/>
  <c r="AY10" i="3"/>
  <c r="AN10" i="3"/>
  <c r="AM10" i="3"/>
  <c r="BA9" i="3"/>
  <c r="AZ9" i="3"/>
  <c r="AY9" i="3"/>
  <c r="AX9" i="3"/>
  <c r="AW9" i="3"/>
  <c r="AU9" i="3"/>
  <c r="AV9" i="3" s="1"/>
  <c r="AS9" i="3"/>
  <c r="AR9" i="3"/>
  <c r="AQ9" i="3"/>
  <c r="AP9" i="3"/>
  <c r="AO9" i="3"/>
  <c r="AN9" i="3"/>
  <c r="AM9" i="3"/>
  <c r="BA8" i="3"/>
  <c r="AZ8" i="3"/>
  <c r="AY8" i="3"/>
  <c r="AX8" i="3"/>
  <c r="AW8" i="3"/>
  <c r="AU8" i="3"/>
  <c r="AV8" i="3" s="1"/>
  <c r="AS8" i="3"/>
  <c r="AR8" i="3"/>
  <c r="AQ8" i="3"/>
  <c r="AP8" i="3"/>
  <c r="AO8" i="3"/>
  <c r="AN8" i="3"/>
  <c r="AM8" i="3"/>
  <c r="H6" i="3"/>
  <c r="AN66" i="2"/>
  <c r="AO66" i="2" s="1"/>
  <c r="AN63" i="2"/>
  <c r="AO63" i="2" s="1"/>
  <c r="BB57" i="2"/>
  <c r="BA57" i="2"/>
  <c r="AZ57" i="2"/>
  <c r="AY57" i="2"/>
  <c r="AX57" i="2"/>
  <c r="AV57" i="2"/>
  <c r="AT57" i="2"/>
  <c r="AS57" i="2"/>
  <c r="AR57" i="2"/>
  <c r="AQ57" i="2"/>
  <c r="AP57" i="2"/>
  <c r="AO57" i="2"/>
  <c r="AN57" i="2"/>
  <c r="BB56" i="2"/>
  <c r="BA56" i="2"/>
  <c r="AZ56" i="2"/>
  <c r="AY56" i="2"/>
  <c r="AX56" i="2"/>
  <c r="AV56" i="2"/>
  <c r="AT56" i="2"/>
  <c r="AS56" i="2"/>
  <c r="AR56" i="2"/>
  <c r="AQ56" i="2"/>
  <c r="AP56" i="2"/>
  <c r="AO56" i="2"/>
  <c r="AN56" i="2"/>
  <c r="BB55" i="2"/>
  <c r="BA55" i="2"/>
  <c r="AZ55" i="2"/>
  <c r="AY55" i="2"/>
  <c r="AX55" i="2"/>
  <c r="AV55" i="2"/>
  <c r="AT55" i="2"/>
  <c r="AS55" i="2"/>
  <c r="AR55" i="2"/>
  <c r="AQ55" i="2"/>
  <c r="AP55" i="2"/>
  <c r="AO55" i="2"/>
  <c r="AN55" i="2"/>
  <c r="BB54" i="2"/>
  <c r="BA54" i="2"/>
  <c r="AZ54" i="2"/>
  <c r="AY54" i="2"/>
  <c r="AX54" i="2"/>
  <c r="AV54" i="2"/>
  <c r="AT54" i="2"/>
  <c r="AS54" i="2"/>
  <c r="AR54" i="2"/>
  <c r="AQ54" i="2"/>
  <c r="AP54" i="2"/>
  <c r="AO54" i="2"/>
  <c r="BB53" i="2"/>
  <c r="BA53" i="2"/>
  <c r="AZ53" i="2"/>
  <c r="AY53" i="2"/>
  <c r="AX53" i="2"/>
  <c r="AV53" i="2"/>
  <c r="AT53" i="2"/>
  <c r="AS53" i="2"/>
  <c r="AR53" i="2"/>
  <c r="AQ53" i="2"/>
  <c r="AP53" i="2"/>
  <c r="AO53" i="2"/>
  <c r="BB52" i="2"/>
  <c r="BA52" i="2"/>
  <c r="AZ52" i="2"/>
  <c r="AY52" i="2"/>
  <c r="AX52" i="2"/>
  <c r="AV52" i="2"/>
  <c r="AT52" i="2"/>
  <c r="AS52" i="2"/>
  <c r="AR52" i="2"/>
  <c r="AQ52" i="2"/>
  <c r="AP52" i="2"/>
  <c r="AO52" i="2"/>
  <c r="BB51" i="2"/>
  <c r="BA51" i="2"/>
  <c r="AZ51" i="2"/>
  <c r="AY51" i="2"/>
  <c r="AX51" i="2"/>
  <c r="AV51" i="2"/>
  <c r="AT51" i="2"/>
  <c r="AS51" i="2"/>
  <c r="AR51" i="2"/>
  <c r="AQ51" i="2"/>
  <c r="AP51" i="2"/>
  <c r="AO51" i="2"/>
  <c r="BB50" i="2"/>
  <c r="BA50" i="2"/>
  <c r="AZ50" i="2"/>
  <c r="AY50" i="2"/>
  <c r="AX50" i="2"/>
  <c r="AV50" i="2"/>
  <c r="AT50" i="2"/>
  <c r="AS50" i="2"/>
  <c r="AR50" i="2"/>
  <c r="AQ50" i="2"/>
  <c r="AP50" i="2"/>
  <c r="AO50" i="2"/>
  <c r="BB49" i="2"/>
  <c r="BA49" i="2"/>
  <c r="AZ49" i="2"/>
  <c r="AY49" i="2"/>
  <c r="AX49" i="2"/>
  <c r="AV49" i="2"/>
  <c r="AT49" i="2"/>
  <c r="AS49" i="2"/>
  <c r="AR49" i="2"/>
  <c r="AQ49" i="2"/>
  <c r="AP49" i="2"/>
  <c r="AO49" i="2"/>
  <c r="BB48" i="2"/>
  <c r="BA48" i="2"/>
  <c r="AZ48" i="2"/>
  <c r="AY48" i="2"/>
  <c r="AX48" i="2"/>
  <c r="AV48" i="2"/>
  <c r="AT48" i="2"/>
  <c r="AS48" i="2"/>
  <c r="AR48" i="2"/>
  <c r="AQ48" i="2"/>
  <c r="AP48" i="2"/>
  <c r="AO48" i="2"/>
  <c r="AN48" i="2"/>
  <c r="BB47" i="2"/>
  <c r="BA47" i="2"/>
  <c r="AZ47" i="2"/>
  <c r="AY47" i="2"/>
  <c r="AX47" i="2"/>
  <c r="AV47" i="2"/>
  <c r="AT47" i="2"/>
  <c r="AS47" i="2"/>
  <c r="AR47" i="2"/>
  <c r="AQ47" i="2"/>
  <c r="AP47" i="2"/>
  <c r="AO47" i="2"/>
  <c r="AN47" i="2"/>
  <c r="BB45" i="2"/>
  <c r="BA45" i="2"/>
  <c r="AZ45" i="2"/>
  <c r="AY45" i="2"/>
  <c r="AX45" i="2"/>
  <c r="AV45" i="2"/>
  <c r="AT45" i="2"/>
  <c r="AS45" i="2"/>
  <c r="AR45" i="2"/>
  <c r="AQ45" i="2"/>
  <c r="AP45" i="2"/>
  <c r="AO45" i="2"/>
  <c r="AN45" i="2"/>
  <c r="BB44" i="2"/>
  <c r="BA44" i="2"/>
  <c r="AZ44" i="2"/>
  <c r="AY44" i="2"/>
  <c r="AX44" i="2"/>
  <c r="AV44" i="2"/>
  <c r="AT44" i="2"/>
  <c r="AS44" i="2"/>
  <c r="AR44" i="2"/>
  <c r="AQ44" i="2"/>
  <c r="AP44" i="2"/>
  <c r="AO44" i="2"/>
  <c r="AN44" i="2"/>
  <c r="BB43" i="2"/>
  <c r="BA43" i="2"/>
  <c r="AZ43" i="2"/>
  <c r="AY43" i="2"/>
  <c r="AX43" i="2"/>
  <c r="AV43" i="2"/>
  <c r="AT43" i="2"/>
  <c r="AS43" i="2"/>
  <c r="AR43" i="2"/>
  <c r="AQ43" i="2"/>
  <c r="AP43" i="2"/>
  <c r="AO43" i="2"/>
  <c r="AN43" i="2"/>
  <c r="BB42" i="2"/>
  <c r="BA42" i="2"/>
  <c r="AZ42" i="2"/>
  <c r="AY42" i="2"/>
  <c r="AX42" i="2"/>
  <c r="AV42" i="2"/>
  <c r="AT42" i="2"/>
  <c r="AS42" i="2"/>
  <c r="AR42" i="2"/>
  <c r="AQ42" i="2"/>
  <c r="AP42" i="2"/>
  <c r="AO42" i="2"/>
  <c r="AN42" i="2"/>
  <c r="BB41" i="2"/>
  <c r="BA41" i="2"/>
  <c r="AZ41" i="2"/>
  <c r="AY41" i="2"/>
  <c r="AX41" i="2"/>
  <c r="AV41" i="2"/>
  <c r="AT41" i="2"/>
  <c r="AS41" i="2"/>
  <c r="AR41" i="2"/>
  <c r="AQ41" i="2"/>
  <c r="AP41" i="2"/>
  <c r="AO41" i="2"/>
  <c r="AN41" i="2"/>
  <c r="BB40" i="2"/>
  <c r="BA40" i="2"/>
  <c r="AZ40" i="2"/>
  <c r="AY40" i="2"/>
  <c r="AX40" i="2"/>
  <c r="AV40" i="2"/>
  <c r="AT40" i="2"/>
  <c r="AS40" i="2"/>
  <c r="AR40" i="2"/>
  <c r="AQ40" i="2"/>
  <c r="AP40" i="2"/>
  <c r="AO40" i="2"/>
  <c r="AN40" i="2"/>
  <c r="BB39" i="2"/>
  <c r="BA39" i="2"/>
  <c r="AZ39" i="2"/>
  <c r="AY39" i="2"/>
  <c r="AX39" i="2"/>
  <c r="AV39" i="2"/>
  <c r="AT39" i="2"/>
  <c r="AS39" i="2"/>
  <c r="AR39" i="2"/>
  <c r="AQ39" i="2"/>
  <c r="AP39" i="2"/>
  <c r="AO39" i="2"/>
  <c r="AN39" i="2"/>
  <c r="BB38" i="2"/>
  <c r="BA38" i="2"/>
  <c r="AZ38" i="2"/>
  <c r="AY38" i="2"/>
  <c r="AX38" i="2"/>
  <c r="AV38" i="2"/>
  <c r="AT38" i="2"/>
  <c r="AS38" i="2"/>
  <c r="AR38" i="2"/>
  <c r="AQ38" i="2"/>
  <c r="AP38" i="2"/>
  <c r="AO38" i="2"/>
  <c r="AN38" i="2"/>
  <c r="BB37" i="2"/>
  <c r="BA37" i="2"/>
  <c r="AZ37" i="2"/>
  <c r="AY37" i="2"/>
  <c r="AX37" i="2"/>
  <c r="AV37" i="2"/>
  <c r="AT37" i="2"/>
  <c r="AS37" i="2"/>
  <c r="AR37" i="2"/>
  <c r="AQ37" i="2"/>
  <c r="AP37" i="2"/>
  <c r="AO37" i="2"/>
  <c r="AN37" i="2"/>
  <c r="BB36" i="2"/>
  <c r="BA36" i="2"/>
  <c r="AZ36" i="2"/>
  <c r="AY36" i="2"/>
  <c r="AX36" i="2"/>
  <c r="AV36" i="2"/>
  <c r="AT36" i="2"/>
  <c r="AS36" i="2"/>
  <c r="AR36" i="2"/>
  <c r="AQ36" i="2"/>
  <c r="AP36" i="2"/>
  <c r="AO36" i="2"/>
  <c r="AN36" i="2"/>
  <c r="BB35" i="2"/>
  <c r="BA35" i="2"/>
  <c r="AZ35" i="2"/>
  <c r="AY35" i="2"/>
  <c r="AX35" i="2"/>
  <c r="AV35" i="2"/>
  <c r="AT35" i="2"/>
  <c r="AS35" i="2"/>
  <c r="AR35" i="2"/>
  <c r="AQ35" i="2"/>
  <c r="AP35" i="2"/>
  <c r="AO35" i="2"/>
  <c r="AN35" i="2"/>
  <c r="BB34" i="2"/>
  <c r="BA34" i="2"/>
  <c r="AZ34" i="2"/>
  <c r="AY34" i="2"/>
  <c r="AX34" i="2"/>
  <c r="AV34" i="2"/>
  <c r="AT34" i="2"/>
  <c r="AS34" i="2"/>
  <c r="AR34" i="2"/>
  <c r="AQ34" i="2"/>
  <c r="AP34" i="2"/>
  <c r="AO34" i="2"/>
  <c r="AN34" i="2"/>
  <c r="BB33" i="2"/>
  <c r="BA33" i="2"/>
  <c r="AZ33" i="2"/>
  <c r="AY33" i="2"/>
  <c r="AX33" i="2"/>
  <c r="AV33" i="2"/>
  <c r="AT33" i="2"/>
  <c r="AS33" i="2"/>
  <c r="AR33" i="2"/>
  <c r="AQ33" i="2"/>
  <c r="AP33" i="2"/>
  <c r="AO33" i="2"/>
  <c r="AN33" i="2"/>
  <c r="BB32" i="2"/>
  <c r="BA32" i="2"/>
  <c r="AZ32" i="2"/>
  <c r="AY32" i="2"/>
  <c r="AX32" i="2"/>
  <c r="AV32" i="2"/>
  <c r="AT32" i="2"/>
  <c r="AS32" i="2"/>
  <c r="AR32" i="2"/>
  <c r="AQ32" i="2"/>
  <c r="AP32" i="2"/>
  <c r="AO32" i="2"/>
  <c r="AN32" i="2"/>
  <c r="BB31" i="2"/>
  <c r="BA31" i="2"/>
  <c r="AZ31" i="2"/>
  <c r="AY31" i="2"/>
  <c r="AX31" i="2"/>
  <c r="AV31" i="2"/>
  <c r="AT31" i="2"/>
  <c r="AS31" i="2"/>
  <c r="AR31" i="2"/>
  <c r="AQ31" i="2"/>
  <c r="AP31" i="2"/>
  <c r="AO31" i="2"/>
  <c r="AN31" i="2"/>
  <c r="BB30" i="2"/>
  <c r="BA30" i="2"/>
  <c r="AZ30" i="2"/>
  <c r="AY30" i="2"/>
  <c r="AX30" i="2"/>
  <c r="AV30" i="2"/>
  <c r="AT30" i="2"/>
  <c r="AS30" i="2"/>
  <c r="AR30" i="2"/>
  <c r="AQ30" i="2"/>
  <c r="AP30" i="2"/>
  <c r="AO30" i="2"/>
  <c r="AN30" i="2"/>
  <c r="BB29" i="2"/>
  <c r="BA29" i="2"/>
  <c r="AZ29" i="2"/>
  <c r="AY29" i="2"/>
  <c r="AX29" i="2"/>
  <c r="AV29" i="2"/>
  <c r="AT29" i="2"/>
  <c r="AS29" i="2"/>
  <c r="AR29" i="2"/>
  <c r="AQ29" i="2"/>
  <c r="AP29" i="2"/>
  <c r="AO29" i="2"/>
  <c r="AN29" i="2"/>
  <c r="BB28" i="2"/>
  <c r="BA28" i="2"/>
  <c r="AZ28" i="2"/>
  <c r="AY28" i="2"/>
  <c r="AX28" i="2"/>
  <c r="AV28" i="2"/>
  <c r="AT28" i="2"/>
  <c r="AS28" i="2"/>
  <c r="AR28" i="2"/>
  <c r="AQ28" i="2"/>
  <c r="AP28" i="2"/>
  <c r="AO28" i="2"/>
  <c r="AN28" i="2"/>
  <c r="BB27" i="2"/>
  <c r="BA27" i="2"/>
  <c r="AZ27" i="2"/>
  <c r="AY27" i="2"/>
  <c r="AX27" i="2"/>
  <c r="AV27" i="2"/>
  <c r="AT27" i="2"/>
  <c r="AS27" i="2"/>
  <c r="AR27" i="2"/>
  <c r="AQ27" i="2"/>
  <c r="AP27" i="2"/>
  <c r="AO27" i="2"/>
  <c r="AN27" i="2"/>
  <c r="BB26" i="2"/>
  <c r="BA26" i="2"/>
  <c r="AZ26" i="2"/>
  <c r="AY26" i="2"/>
  <c r="AX26" i="2"/>
  <c r="AV26" i="2"/>
  <c r="AT26" i="2"/>
  <c r="AS26" i="2"/>
  <c r="AR26" i="2"/>
  <c r="AQ26" i="2"/>
  <c r="AP26" i="2"/>
  <c r="AO26" i="2"/>
  <c r="AN26" i="2"/>
  <c r="BB25" i="2"/>
  <c r="BA25" i="2"/>
  <c r="AZ25" i="2"/>
  <c r="AY25" i="2"/>
  <c r="AX25" i="2"/>
  <c r="AV25" i="2"/>
  <c r="AT25" i="2"/>
  <c r="AS25" i="2"/>
  <c r="AR25" i="2"/>
  <c r="AQ25" i="2"/>
  <c r="AP25" i="2"/>
  <c r="AO25" i="2"/>
  <c r="AN25" i="2"/>
  <c r="BB24" i="2"/>
  <c r="BA24" i="2"/>
  <c r="AZ24" i="2"/>
  <c r="AY24" i="2"/>
  <c r="AX24" i="2"/>
  <c r="AV24" i="2"/>
  <c r="AT24" i="2"/>
  <c r="AS24" i="2"/>
  <c r="AR24" i="2"/>
  <c r="AQ24" i="2"/>
  <c r="AP24" i="2"/>
  <c r="AO24" i="2"/>
  <c r="AN24" i="2"/>
  <c r="BB23" i="2"/>
  <c r="BA23" i="2"/>
  <c r="AZ23" i="2"/>
  <c r="AY23" i="2"/>
  <c r="AX23" i="2"/>
  <c r="AV23" i="2"/>
  <c r="AT23" i="2"/>
  <c r="AS23" i="2"/>
  <c r="AR23" i="2"/>
  <c r="AQ23" i="2"/>
  <c r="AP23" i="2"/>
  <c r="AO23" i="2"/>
  <c r="AN23" i="2"/>
  <c r="BB22" i="2"/>
  <c r="BA22" i="2"/>
  <c r="AZ22" i="2"/>
  <c r="AY22" i="2"/>
  <c r="AX22" i="2"/>
  <c r="AV22" i="2"/>
  <c r="AT22" i="2"/>
  <c r="AS22" i="2"/>
  <c r="AR22" i="2"/>
  <c r="AQ22" i="2"/>
  <c r="AP22" i="2"/>
  <c r="AO22" i="2"/>
  <c r="AN22" i="2"/>
  <c r="BB21" i="2"/>
  <c r="BA21" i="2"/>
  <c r="AZ21" i="2"/>
  <c r="AY21" i="2"/>
  <c r="AX21" i="2"/>
  <c r="AV21" i="2"/>
  <c r="AT21" i="2"/>
  <c r="AS21" i="2"/>
  <c r="AR21" i="2"/>
  <c r="AP21" i="2"/>
  <c r="AO21" i="2"/>
  <c r="AN21" i="2"/>
  <c r="BB20" i="2"/>
  <c r="BA20" i="2"/>
  <c r="AZ20" i="2"/>
  <c r="AY20" i="2"/>
  <c r="AX20" i="2"/>
  <c r="AV20" i="2"/>
  <c r="AW20" i="2" s="1"/>
  <c r="AT20" i="2"/>
  <c r="AS20" i="2"/>
  <c r="AR20" i="2"/>
  <c r="AP20" i="2"/>
  <c r="AO20" i="2"/>
  <c r="AN20" i="2"/>
  <c r="AO16" i="2"/>
  <c r="AG17" i="2"/>
  <c r="AC17" i="2"/>
  <c r="Y17" i="2"/>
  <c r="M17" i="2"/>
  <c r="BB10" i="2"/>
  <c r="BA10" i="2"/>
  <c r="AZ10" i="2"/>
  <c r="AY10" i="2"/>
  <c r="AX10" i="2"/>
  <c r="AT10" i="2"/>
  <c r="AS10" i="2"/>
  <c r="AR10" i="2"/>
  <c r="AP10" i="2"/>
  <c r="AO10" i="2"/>
  <c r="AN10" i="2"/>
  <c r="BB9" i="2"/>
  <c r="BA9" i="2"/>
  <c r="AZ9" i="2"/>
  <c r="AY9" i="2"/>
  <c r="AX9" i="2"/>
  <c r="AV9" i="2"/>
  <c r="AW9" i="2" s="1"/>
  <c r="AT9" i="2"/>
  <c r="AS9" i="2"/>
  <c r="AR9" i="2"/>
  <c r="AP9" i="2"/>
  <c r="AO9" i="2"/>
  <c r="AN9" i="2"/>
  <c r="BB8" i="2"/>
  <c r="BA8" i="2"/>
  <c r="AZ8" i="2"/>
  <c r="AY8" i="2"/>
  <c r="AX8" i="2"/>
  <c r="AV8" i="2"/>
  <c r="AW8" i="2" s="1"/>
  <c r="AT8" i="2"/>
  <c r="AS8" i="2"/>
  <c r="AR8" i="2"/>
  <c r="AP8" i="2"/>
  <c r="AO8" i="2"/>
  <c r="AN8" i="2"/>
  <c r="I7" i="2"/>
  <c r="J6" i="2"/>
  <c r="J7" i="2" s="1"/>
  <c r="O65" i="3" l="1"/>
  <c r="W62" i="3"/>
  <c r="W65" i="3" s="1"/>
  <c r="W68" i="3" s="1"/>
  <c r="W70" i="3" s="1"/>
  <c r="O62" i="3"/>
  <c r="O68" i="3" s="1"/>
  <c r="O70" i="3" s="1"/>
  <c r="AL65" i="3"/>
  <c r="AL67" i="3" s="1"/>
  <c r="AD65" i="3"/>
  <c r="AD67" i="3" s="1"/>
  <c r="AL62" i="3"/>
  <c r="AL64" i="3" s="1"/>
  <c r="AL68" i="3"/>
  <c r="AL70" i="3" s="1"/>
  <c r="AD17" i="3"/>
  <c r="AD68" i="3"/>
  <c r="AD70" i="3" s="1"/>
  <c r="N62" i="3"/>
  <c r="AK65" i="3"/>
  <c r="AK67" i="3" s="1"/>
  <c r="AC67" i="3"/>
  <c r="AC65" i="3"/>
  <c r="U65" i="3"/>
  <c r="U67" i="3" s="1"/>
  <c r="M67" i="3"/>
  <c r="M65" i="3"/>
  <c r="AK62" i="3"/>
  <c r="AK64" i="3" s="1"/>
  <c r="AK68" i="3"/>
  <c r="AK70" i="3" s="1"/>
  <c r="AC68" i="3"/>
  <c r="AC70" i="3" s="1"/>
  <c r="U62" i="3"/>
  <c r="U64" i="3" s="1"/>
  <c r="U68" i="3"/>
  <c r="U70" i="3" s="1"/>
  <c r="M68" i="3"/>
  <c r="M70" i="3" s="1"/>
  <c r="AM59" i="3"/>
  <c r="AB65" i="3"/>
  <c r="T65" i="3"/>
  <c r="T67" i="3" s="1"/>
  <c r="L65" i="3"/>
  <c r="L67" i="3" s="1"/>
  <c r="AJ68" i="3"/>
  <c r="AJ70" i="3" s="1"/>
  <c r="AB68" i="3"/>
  <c r="AB70" i="3" s="1"/>
  <c r="T68" i="3"/>
  <c r="T70" i="3" s="1"/>
  <c r="L68" i="3"/>
  <c r="L70" i="3" s="1"/>
  <c r="AN59" i="3"/>
  <c r="AI65" i="3"/>
  <c r="AI67" i="3" s="1"/>
  <c r="AA67" i="3"/>
  <c r="AA65" i="3"/>
  <c r="S65" i="3"/>
  <c r="S67" i="3" s="1"/>
  <c r="K65" i="3"/>
  <c r="K67" i="3" s="1"/>
  <c r="AI62" i="3"/>
  <c r="AI64" i="3" s="1"/>
  <c r="AA62" i="3"/>
  <c r="AA64" i="3" s="1"/>
  <c r="AA68" i="3"/>
  <c r="AA70" i="3" s="1"/>
  <c r="S62" i="3"/>
  <c r="S64" i="3" s="1"/>
  <c r="S68" i="3"/>
  <c r="S70" i="3" s="1"/>
  <c r="K62" i="3"/>
  <c r="K64" i="3" s="1"/>
  <c r="K68" i="3"/>
  <c r="K70" i="3" s="1"/>
  <c r="AH67" i="3"/>
  <c r="AH65" i="3"/>
  <c r="Z65" i="3"/>
  <c r="R65" i="3"/>
  <c r="R67" i="3" s="1"/>
  <c r="J65" i="3"/>
  <c r="J67" i="3" s="1"/>
  <c r="AH68" i="3"/>
  <c r="AH70" i="3" s="1"/>
  <c r="Z68" i="3"/>
  <c r="Z70" i="3" s="1"/>
  <c r="R68" i="3"/>
  <c r="R70" i="3" s="1"/>
  <c r="AX20" i="3"/>
  <c r="H62" i="3"/>
  <c r="H64" i="3" s="1"/>
  <c r="AG65" i="3"/>
  <c r="AG68" i="3" s="1"/>
  <c r="AG70" i="3" s="1"/>
  <c r="Y67" i="3"/>
  <c r="Y65" i="3"/>
  <c r="Q65" i="3"/>
  <c r="Q67" i="3" s="1"/>
  <c r="AG62" i="3"/>
  <c r="AG64" i="3" s="1"/>
  <c r="Y62" i="3"/>
  <c r="Y64" i="3" s="1"/>
  <c r="Q62" i="3"/>
  <c r="Q64" i="3" s="1"/>
  <c r="I62" i="3"/>
  <c r="I64" i="3" s="1"/>
  <c r="X65" i="3"/>
  <c r="X67" i="3" s="1"/>
  <c r="P65" i="3"/>
  <c r="P68" i="3" s="1"/>
  <c r="P70" i="3" s="1"/>
  <c r="AF62" i="3"/>
  <c r="AF64" i="3" s="1"/>
  <c r="X62" i="3"/>
  <c r="X64" i="3" s="1"/>
  <c r="P62" i="3"/>
  <c r="P64" i="3" s="1"/>
  <c r="AH17" i="4"/>
  <c r="AK55" i="4"/>
  <c r="AK57" i="4" s="1"/>
  <c r="AK54" i="4"/>
  <c r="U55" i="4"/>
  <c r="U57" i="4" s="1"/>
  <c r="U54" i="4"/>
  <c r="V55" i="4"/>
  <c r="V57" i="4" s="1"/>
  <c r="V54" i="4"/>
  <c r="AM55" i="4"/>
  <c r="AM57" i="4" s="1"/>
  <c r="AM54" i="4"/>
  <c r="W55" i="4"/>
  <c r="W57" i="4" s="1"/>
  <c r="W54" i="4"/>
  <c r="I55" i="4"/>
  <c r="I58" i="4" s="1"/>
  <c r="I60" i="4" s="1"/>
  <c r="I54" i="4"/>
  <c r="L55" i="4"/>
  <c r="L57" i="4" s="1"/>
  <c r="L54" i="4"/>
  <c r="M55" i="4"/>
  <c r="M57" i="4" s="1"/>
  <c r="M54" i="4"/>
  <c r="AC55" i="4"/>
  <c r="AC57" i="4" s="1"/>
  <c r="AC54" i="4"/>
  <c r="AD55" i="4"/>
  <c r="AD57" i="4" s="1"/>
  <c r="AD54" i="4"/>
  <c r="AF55" i="4"/>
  <c r="AF57" i="4" s="1"/>
  <c r="AF54" i="4"/>
  <c r="AH55" i="4"/>
  <c r="AH57" i="4" s="1"/>
  <c r="AH54" i="4"/>
  <c r="AE55" i="4"/>
  <c r="AE57" i="4" s="1"/>
  <c r="R17" i="4"/>
  <c r="AI17" i="4"/>
  <c r="P55" i="4"/>
  <c r="P57" i="4" s="1"/>
  <c r="AJ17" i="4"/>
  <c r="AK17" i="4"/>
  <c r="AJ52" i="4"/>
  <c r="T52" i="4"/>
  <c r="AI52" i="4"/>
  <c r="R52" i="4"/>
  <c r="V17" i="4"/>
  <c r="AL55" i="4"/>
  <c r="AL57" i="4" s="1"/>
  <c r="AG52" i="4"/>
  <c r="X17" i="4"/>
  <c r="W17" i="4"/>
  <c r="J17" i="4"/>
  <c r="Z17" i="4"/>
  <c r="K17" i="4"/>
  <c r="AA17" i="4"/>
  <c r="K52" i="4"/>
  <c r="L17" i="4"/>
  <c r="M58" i="4"/>
  <c r="M60" i="4" s="1"/>
  <c r="AA52" i="4"/>
  <c r="J52" i="4"/>
  <c r="J54" i="4" s="1"/>
  <c r="AB55" i="4"/>
  <c r="AB57" i="4" s="1"/>
  <c r="Z52" i="4"/>
  <c r="Y52" i="4"/>
  <c r="AF17" i="4"/>
  <c r="N55" i="4"/>
  <c r="N57" i="4" s="1"/>
  <c r="X52" i="4"/>
  <c r="X54" i="4" s="1"/>
  <c r="I67" i="2"/>
  <c r="I68" i="2"/>
  <c r="O57" i="4"/>
  <c r="O58" i="4"/>
  <c r="O60" i="4" s="1"/>
  <c r="S17" i="4"/>
  <c r="AL67" i="2"/>
  <c r="AL68" i="2"/>
  <c r="AL70" i="2" s="1"/>
  <c r="AK67" i="2"/>
  <c r="AK68" i="2"/>
  <c r="AK70" i="2" s="1"/>
  <c r="AI67" i="2"/>
  <c r="AI68" i="2"/>
  <c r="AI70" i="2" s="1"/>
  <c r="AH67" i="2"/>
  <c r="AH68" i="2"/>
  <c r="AH70" i="2" s="1"/>
  <c r="AN65" i="2"/>
  <c r="AO65" i="2" s="1"/>
  <c r="AF68" i="2"/>
  <c r="AG64" i="2"/>
  <c r="AG68" i="2"/>
  <c r="AG70" i="2" s="1"/>
  <c r="AW22" i="2"/>
  <c r="AM64" i="2"/>
  <c r="AW10" i="2"/>
  <c r="I64" i="2"/>
  <c r="S52" i="4"/>
  <c r="Z67" i="3"/>
  <c r="AG67" i="3"/>
  <c r="AW25" i="4"/>
  <c r="AW33" i="4"/>
  <c r="AW41" i="4"/>
  <c r="AW28" i="4"/>
  <c r="AW36" i="4"/>
  <c r="AW30" i="4"/>
  <c r="AW38" i="4"/>
  <c r="AW46" i="4"/>
  <c r="AW27" i="4"/>
  <c r="AW35" i="4"/>
  <c r="AW43" i="4"/>
  <c r="AW24" i="4"/>
  <c r="AW32" i="4"/>
  <c r="AW40" i="4"/>
  <c r="AW48" i="4"/>
  <c r="AW29" i="4"/>
  <c r="AW37" i="4"/>
  <c r="AW45" i="4"/>
  <c r="AW26" i="4"/>
  <c r="AW34" i="4"/>
  <c r="AW42" i="4"/>
  <c r="AW44" i="4"/>
  <c r="AW23" i="4"/>
  <c r="AW31" i="4"/>
  <c r="AW39" i="4"/>
  <c r="AW47" i="4"/>
  <c r="AW29" i="2"/>
  <c r="AW37" i="2"/>
  <c r="AW46" i="2"/>
  <c r="AW26" i="2"/>
  <c r="AW34" i="2"/>
  <c r="AW42" i="2"/>
  <c r="AW57" i="2"/>
  <c r="AW23" i="2"/>
  <c r="AW31" i="2"/>
  <c r="AW39" i="2"/>
  <c r="AW48" i="2"/>
  <c r="AW50" i="2"/>
  <c r="AW52" i="2"/>
  <c r="AW54" i="2"/>
  <c r="AW28" i="2"/>
  <c r="AW36" i="2"/>
  <c r="AW44" i="2"/>
  <c r="AW25" i="2"/>
  <c r="AW33" i="2"/>
  <c r="AW41" i="2"/>
  <c r="AW56" i="2"/>
  <c r="AW45" i="2"/>
  <c r="AW30" i="2"/>
  <c r="AW38" i="2"/>
  <c r="AW47" i="2"/>
  <c r="AW58" i="2"/>
  <c r="AW27" i="2"/>
  <c r="AW35" i="2"/>
  <c r="AW43" i="2"/>
  <c r="AW49" i="2"/>
  <c r="AW51" i="2"/>
  <c r="AW53" i="2"/>
  <c r="AW24" i="2"/>
  <c r="AW32" i="2"/>
  <c r="AW40" i="2"/>
  <c r="AW55" i="2"/>
  <c r="AW21" i="2"/>
  <c r="AD64" i="2"/>
  <c r="N64" i="2"/>
  <c r="AL64" i="2"/>
  <c r="AK64" i="2"/>
  <c r="L64" i="2"/>
  <c r="S64" i="2"/>
  <c r="X64" i="2"/>
  <c r="AJ67" i="3"/>
  <c r="AB67" i="3"/>
  <c r="V62" i="3"/>
  <c r="V64" i="3" s="1"/>
  <c r="Q57" i="4"/>
  <c r="Q54" i="4"/>
  <c r="AG17" i="4"/>
  <c r="AE62" i="3"/>
  <c r="AE65" i="3" s="1"/>
  <c r="AE67" i="3" s="1"/>
  <c r="O67" i="3"/>
  <c r="W64" i="3"/>
  <c r="O64" i="3"/>
  <c r="N64" i="3"/>
  <c r="AV22" i="3"/>
  <c r="AT39" i="3"/>
  <c r="AT40" i="3" s="1"/>
  <c r="AT41" i="3" s="1"/>
  <c r="AT42" i="3" s="1"/>
  <c r="AT43" i="3" s="1"/>
  <c r="AT45" i="3" s="1"/>
  <c r="AT46" i="3" s="1"/>
  <c r="AV38" i="3"/>
  <c r="AV36" i="3"/>
  <c r="AV30" i="3"/>
  <c r="AV28" i="3"/>
  <c r="AV25" i="3"/>
  <c r="AV37" i="3"/>
  <c r="AV27" i="3"/>
  <c r="AV26" i="3"/>
  <c r="AV35" i="3"/>
  <c r="AV29" i="3"/>
  <c r="AV34" i="3"/>
  <c r="AV33" i="3"/>
  <c r="AV31" i="3"/>
  <c r="AV24" i="3"/>
  <c r="AV23" i="3"/>
  <c r="AV32" i="3"/>
  <c r="AH17" i="3"/>
  <c r="V17" i="3"/>
  <c r="AG17" i="3"/>
  <c r="P67" i="2"/>
  <c r="X67" i="2"/>
  <c r="AF67" i="2"/>
  <c r="AM17" i="4"/>
  <c r="I17" i="3"/>
  <c r="O17" i="3"/>
  <c r="Q17" i="3"/>
  <c r="T17" i="4"/>
  <c r="AO49" i="4"/>
  <c r="AD17" i="4"/>
  <c r="AE17" i="4"/>
  <c r="AB17" i="2"/>
  <c r="I6" i="3"/>
  <c r="H7" i="3"/>
  <c r="AA17" i="2"/>
  <c r="T17" i="2"/>
  <c r="U17" i="2"/>
  <c r="V17" i="2"/>
  <c r="AE17" i="2"/>
  <c r="K6" i="2"/>
  <c r="L6" i="2" s="1"/>
  <c r="M6" i="2" s="1"/>
  <c r="M7" i="2" s="1"/>
  <c r="AJ17" i="2"/>
  <c r="AM12" i="3"/>
  <c r="AN49" i="4"/>
  <c r="AN12" i="3"/>
  <c r="AF17" i="3"/>
  <c r="K17" i="2"/>
  <c r="AF17" i="2"/>
  <c r="O17" i="2"/>
  <c r="Z17" i="2"/>
  <c r="W17" i="3"/>
  <c r="AM15" i="3"/>
  <c r="AN15" i="3" s="1"/>
  <c r="P17" i="3"/>
  <c r="AB17" i="3"/>
  <c r="AO12" i="4"/>
  <c r="I17" i="2"/>
  <c r="Q17" i="2"/>
  <c r="R17" i="2"/>
  <c r="R17" i="3"/>
  <c r="AB17" i="4"/>
  <c r="P17" i="2"/>
  <c r="J17" i="2"/>
  <c r="AH17" i="2"/>
  <c r="J17" i="3"/>
  <c r="T17" i="3"/>
  <c r="M17" i="4"/>
  <c r="AC17" i="4"/>
  <c r="K17" i="3"/>
  <c r="AA17" i="3"/>
  <c r="AI17" i="3"/>
  <c r="H17" i="3"/>
  <c r="L17" i="3"/>
  <c r="X17" i="3"/>
  <c r="AJ17" i="3"/>
  <c r="I7" i="4"/>
  <c r="J6" i="4"/>
  <c r="W17" i="2"/>
  <c r="AI17" i="2"/>
  <c r="Y17" i="3"/>
  <c r="U17" i="4"/>
  <c r="AN12" i="4"/>
  <c r="I17" i="4"/>
  <c r="AN15" i="4"/>
  <c r="AO15" i="4" s="1"/>
  <c r="Y17" i="4"/>
  <c r="M17" i="3"/>
  <c r="P17" i="4"/>
  <c r="O17" i="4"/>
  <c r="AL17" i="4"/>
  <c r="N17" i="4"/>
  <c r="V65" i="3" l="1"/>
  <c r="V67" i="3" s="1"/>
  <c r="Q68" i="3"/>
  <c r="Q70" i="3" s="1"/>
  <c r="V68" i="3"/>
  <c r="V70" i="3" s="1"/>
  <c r="AE68" i="3"/>
  <c r="AE70" i="3" s="1"/>
  <c r="P67" i="3"/>
  <c r="Y68" i="3"/>
  <c r="Y70" i="3" s="1"/>
  <c r="AF65" i="3"/>
  <c r="X68" i="3"/>
  <c r="X70" i="3" s="1"/>
  <c r="AI68" i="3"/>
  <c r="AI70" i="3" s="1"/>
  <c r="N65" i="3"/>
  <c r="N67" i="3" s="1"/>
  <c r="H65" i="3"/>
  <c r="I7" i="3"/>
  <c r="B3" i="3"/>
  <c r="AM62" i="3"/>
  <c r="AN62" i="3" s="1"/>
  <c r="I68" i="3"/>
  <c r="I70" i="3" s="1"/>
  <c r="I65" i="3"/>
  <c r="I67" i="3" s="1"/>
  <c r="J68" i="3"/>
  <c r="J70" i="3" s="1"/>
  <c r="AN64" i="2"/>
  <c r="AO64" i="2" s="1"/>
  <c r="AC58" i="4"/>
  <c r="AC60" i="4" s="1"/>
  <c r="W58" i="4"/>
  <c r="W60" i="4" s="1"/>
  <c r="AE58" i="4"/>
  <c r="AE60" i="4" s="1"/>
  <c r="U58" i="4"/>
  <c r="U60" i="4" s="1"/>
  <c r="L58" i="4"/>
  <c r="L60" i="4" s="1"/>
  <c r="AK58" i="4"/>
  <c r="AK60" i="4" s="1"/>
  <c r="I57" i="4"/>
  <c r="AB58" i="4"/>
  <c r="AB60" i="4" s="1"/>
  <c r="P58" i="4"/>
  <c r="P60" i="4" s="1"/>
  <c r="T55" i="4"/>
  <c r="T57" i="4" s="1"/>
  <c r="T54" i="4"/>
  <c r="J55" i="4"/>
  <c r="J58" i="4" s="1"/>
  <c r="J60" i="4" s="1"/>
  <c r="AG54" i="4"/>
  <c r="AG55" i="4"/>
  <c r="AN52" i="4"/>
  <c r="AO52" i="4" s="1"/>
  <c r="Y54" i="4"/>
  <c r="Y55" i="4"/>
  <c r="AM58" i="4"/>
  <c r="AM60" i="4" s="1"/>
  <c r="AJ55" i="4"/>
  <c r="AJ57" i="4" s="1"/>
  <c r="AJ54" i="4"/>
  <c r="N58" i="4"/>
  <c r="N60" i="4" s="1"/>
  <c r="AF58" i="4"/>
  <c r="AF60" i="4" s="1"/>
  <c r="S55" i="4"/>
  <c r="S57" i="4" s="1"/>
  <c r="AH58" i="4"/>
  <c r="AH60" i="4" s="1"/>
  <c r="V58" i="4"/>
  <c r="V60" i="4" s="1"/>
  <c r="K55" i="4"/>
  <c r="K57" i="4" s="1"/>
  <c r="K54" i="4"/>
  <c r="AD58" i="4"/>
  <c r="AD60" i="4" s="1"/>
  <c r="K58" i="4"/>
  <c r="K60" i="4" s="1"/>
  <c r="R55" i="4"/>
  <c r="R57" i="4" s="1"/>
  <c r="R54" i="4"/>
  <c r="X55" i="4"/>
  <c r="X57" i="4" s="1"/>
  <c r="AI55" i="4"/>
  <c r="AI57" i="4" s="1"/>
  <c r="AI54" i="4"/>
  <c r="Z55" i="4"/>
  <c r="Z57" i="4" s="1"/>
  <c r="Z54" i="4"/>
  <c r="AL58" i="4"/>
  <c r="AL60" i="4" s="1"/>
  <c r="AA55" i="4"/>
  <c r="AA57" i="4" s="1"/>
  <c r="AA54" i="4"/>
  <c r="AN68" i="2"/>
  <c r="AO68" i="2" s="1"/>
  <c r="I70" i="2"/>
  <c r="AN67" i="2"/>
  <c r="AO67" i="2" s="1"/>
  <c r="AF70" i="2"/>
  <c r="S54" i="4"/>
  <c r="AN62" i="2"/>
  <c r="AO62" i="2" s="1"/>
  <c r="AV41" i="3"/>
  <c r="AE64" i="3"/>
  <c r="AV43" i="3"/>
  <c r="AV45" i="3"/>
  <c r="AV42" i="3"/>
  <c r="AV44" i="3"/>
  <c r="AV40" i="3"/>
  <c r="AM64" i="3"/>
  <c r="AN64" i="3" s="1"/>
  <c r="W67" i="3"/>
  <c r="AV39" i="3"/>
  <c r="AT47" i="3"/>
  <c r="AV46" i="3"/>
  <c r="K7" i="2"/>
  <c r="L7" i="2"/>
  <c r="N6" i="2"/>
  <c r="J6" i="3"/>
  <c r="AN17" i="4"/>
  <c r="AO17" i="4" s="1"/>
  <c r="AO70" i="2"/>
  <c r="K6" i="4"/>
  <c r="J7" i="4"/>
  <c r="AN17" i="2"/>
  <c r="AO17" i="2" s="1"/>
  <c r="AM17" i="3"/>
  <c r="AN17" i="3" s="1"/>
  <c r="N7" i="2"/>
  <c r="O6" i="2"/>
  <c r="AF67" i="3" l="1"/>
  <c r="AF68" i="3"/>
  <c r="AF70" i="3" s="1"/>
  <c r="H67" i="3"/>
  <c r="AM65" i="3"/>
  <c r="AN65" i="3" s="1"/>
  <c r="H68" i="3"/>
  <c r="AM67" i="3"/>
  <c r="AN67" i="3" s="1"/>
  <c r="N68" i="3"/>
  <c r="N70" i="3" s="1"/>
  <c r="R58" i="4"/>
  <c r="R60" i="4" s="1"/>
  <c r="X58" i="4"/>
  <c r="X60" i="4" s="1"/>
  <c r="AA58" i="4"/>
  <c r="AA60" i="4" s="1"/>
  <c r="AN54" i="4"/>
  <c r="AO54" i="4" s="1"/>
  <c r="Y57" i="4"/>
  <c r="Y58" i="4"/>
  <c r="Y60" i="4" s="1"/>
  <c r="AG58" i="4"/>
  <c r="AG60" i="4" s="1"/>
  <c r="AG57" i="4"/>
  <c r="J57" i="4"/>
  <c r="AN55" i="4"/>
  <c r="AO55" i="4" s="1"/>
  <c r="T58" i="4"/>
  <c r="T60" i="4" s="1"/>
  <c r="Z58" i="4"/>
  <c r="Z60" i="4" s="1"/>
  <c r="S58" i="4"/>
  <c r="AJ58" i="4"/>
  <c r="AJ60" i="4" s="1"/>
  <c r="AI58" i="4"/>
  <c r="AI60" i="4" s="1"/>
  <c r="AN70" i="2"/>
  <c r="AT48" i="3"/>
  <c r="AV47" i="3"/>
  <c r="K6" i="3"/>
  <c r="J7" i="3"/>
  <c r="P6" i="2"/>
  <c r="O7" i="2"/>
  <c r="L6" i="4"/>
  <c r="K7" i="4"/>
  <c r="H70" i="3" l="1"/>
  <c r="AM70" i="3" s="1"/>
  <c r="AM68" i="3"/>
  <c r="AN68" i="3" s="1"/>
  <c r="AN70" i="3" s="1"/>
  <c r="AN58" i="4"/>
  <c r="AO58" i="4" s="1"/>
  <c r="S60" i="4"/>
  <c r="AN60" i="4" s="1"/>
  <c r="AO60" i="4" s="1"/>
  <c r="AN57" i="4"/>
  <c r="AO57" i="4" s="1"/>
  <c r="AT49" i="3"/>
  <c r="AV48" i="3"/>
  <c r="L6" i="3"/>
  <c r="K7" i="3"/>
  <c r="M6" i="4"/>
  <c r="L7" i="4"/>
  <c r="Q6" i="2"/>
  <c r="P7" i="2"/>
  <c r="AT50" i="3" l="1"/>
  <c r="AT51" i="3" s="1"/>
  <c r="AV51" i="3" s="1"/>
  <c r="AV49" i="3"/>
  <c r="M6" i="3"/>
  <c r="L7" i="3"/>
  <c r="Q7" i="2"/>
  <c r="R6" i="2"/>
  <c r="M7" i="4"/>
  <c r="N6" i="4"/>
  <c r="AT52" i="3" l="1"/>
  <c r="AV50" i="3"/>
  <c r="M7" i="3"/>
  <c r="N6" i="3"/>
  <c r="N7" i="4"/>
  <c r="O6" i="4"/>
  <c r="R7" i="2"/>
  <c r="S6" i="2"/>
  <c r="AT53" i="3" l="1"/>
  <c r="AV52" i="3"/>
  <c r="O6" i="3"/>
  <c r="N7" i="3"/>
  <c r="T6" i="2"/>
  <c r="S7" i="2"/>
  <c r="P6" i="4"/>
  <c r="O7" i="4"/>
  <c r="AT54" i="3" l="1"/>
  <c r="AV53" i="3"/>
  <c r="O7" i="3"/>
  <c r="P6" i="3"/>
  <c r="P7" i="4"/>
  <c r="Q6" i="4"/>
  <c r="U6" i="2"/>
  <c r="T7" i="2"/>
  <c r="AT55" i="3" l="1"/>
  <c r="AV54" i="3"/>
  <c r="P7" i="3"/>
  <c r="Q6" i="3"/>
  <c r="U7" i="2"/>
  <c r="V6" i="2"/>
  <c r="Q7" i="4"/>
  <c r="R6" i="4"/>
  <c r="AT56" i="3" l="1"/>
  <c r="AV55" i="3"/>
  <c r="Q7" i="3"/>
  <c r="R6" i="3"/>
  <c r="R7" i="4"/>
  <c r="S6" i="4"/>
  <c r="W6" i="2"/>
  <c r="V7" i="2"/>
  <c r="AT57" i="3" l="1"/>
  <c r="AV56" i="3"/>
  <c r="S6" i="3"/>
  <c r="R7" i="3"/>
  <c r="X6" i="2"/>
  <c r="W7" i="2"/>
  <c r="S7" i="4"/>
  <c r="T6" i="4"/>
  <c r="AV58" i="3" l="1"/>
  <c r="AV57" i="3"/>
  <c r="T6" i="3"/>
  <c r="S7" i="3"/>
  <c r="U6" i="4"/>
  <c r="T7" i="4"/>
  <c r="X7" i="2"/>
  <c r="Y6" i="2"/>
  <c r="U6" i="3" l="1"/>
  <c r="T7" i="3"/>
  <c r="Y7" i="2"/>
  <c r="Z6" i="2"/>
  <c r="V6" i="4"/>
  <c r="U7" i="4"/>
  <c r="V6" i="3" l="1"/>
  <c r="U7" i="3"/>
  <c r="V7" i="4"/>
  <c r="W6" i="4"/>
  <c r="AA6" i="2"/>
  <c r="Z7" i="2"/>
  <c r="V7" i="3" l="1"/>
  <c r="W6" i="3"/>
  <c r="AB6" i="2"/>
  <c r="AA7" i="2"/>
  <c r="X6" i="4"/>
  <c r="W7" i="4"/>
  <c r="W7" i="3" l="1"/>
  <c r="X6" i="3"/>
  <c r="X7" i="4"/>
  <c r="Y6" i="4"/>
  <c r="AB7" i="2"/>
  <c r="AC6" i="2"/>
  <c r="Y6" i="3" l="1"/>
  <c r="X7" i="3"/>
  <c r="AC7" i="2"/>
  <c r="AD6" i="2"/>
  <c r="Z6" i="4"/>
  <c r="Y7" i="4"/>
  <c r="Y7" i="3" l="1"/>
  <c r="Z6" i="3"/>
  <c r="AA6" i="4"/>
  <c r="Z7" i="4"/>
  <c r="AE6" i="2"/>
  <c r="AD7" i="2"/>
  <c r="Z7" i="3" l="1"/>
  <c r="AA6" i="3"/>
  <c r="AF6" i="2"/>
  <c r="AE7" i="2"/>
  <c r="AA7" i="4"/>
  <c r="AB6" i="4"/>
  <c r="AB6" i="3" l="1"/>
  <c r="AA7" i="3"/>
  <c r="AC6" i="4"/>
  <c r="AB7" i="4"/>
  <c r="AG6" i="2"/>
  <c r="AF7" i="2"/>
  <c r="AC6" i="3" l="1"/>
  <c r="AB7" i="3"/>
  <c r="AH6" i="2"/>
  <c r="AG7" i="2"/>
  <c r="AC7" i="4"/>
  <c r="AD6" i="4"/>
  <c r="AC7" i="3" l="1"/>
  <c r="AD6" i="3"/>
  <c r="AD7" i="4"/>
  <c r="AE6" i="4"/>
  <c r="AI6" i="2"/>
  <c r="AH7" i="2"/>
  <c r="AE6" i="3" l="1"/>
  <c r="AD7" i="3"/>
  <c r="AJ6" i="2"/>
  <c r="AI7" i="2"/>
  <c r="AE7" i="4"/>
  <c r="AF6" i="4"/>
  <c r="AF6" i="3" l="1"/>
  <c r="AE7" i="3"/>
  <c r="AG6" i="4"/>
  <c r="AF7" i="4"/>
  <c r="AJ7" i="2"/>
  <c r="AK6" i="2"/>
  <c r="AF7" i="3" l="1"/>
  <c r="AG6" i="3"/>
  <c r="AK7" i="2"/>
  <c r="AL6" i="2"/>
  <c r="AH6" i="4"/>
  <c r="AG7" i="4"/>
  <c r="AG7" i="3" l="1"/>
  <c r="AH6" i="3"/>
  <c r="AL7" i="2"/>
  <c r="AM6" i="2"/>
  <c r="AM7" i="2" s="1"/>
  <c r="AH7" i="4"/>
  <c r="AI6" i="4"/>
  <c r="AH7" i="3" l="1"/>
  <c r="AI6" i="3"/>
  <c r="AJ6" i="4"/>
  <c r="AI7" i="4"/>
  <c r="AI7" i="3" l="1"/>
  <c r="AJ6" i="3"/>
  <c r="AK6" i="4"/>
  <c r="AJ7" i="4"/>
  <c r="AJ7" i="3" l="1"/>
  <c r="AK6" i="3"/>
  <c r="AL6" i="4"/>
  <c r="AK7" i="4"/>
  <c r="AK7" i="3" l="1"/>
  <c r="AL6" i="3"/>
  <c r="AL7" i="3" s="1"/>
  <c r="AL7" i="4"/>
  <c r="AM6" i="4"/>
  <c r="AM7" i="4" s="1"/>
</calcChain>
</file>

<file path=xl/sharedStrings.xml><?xml version="1.0" encoding="utf-8"?>
<sst xmlns="http://schemas.openxmlformats.org/spreadsheetml/2006/main" count="1762" uniqueCount="421">
  <si>
    <t>SH</t>
  </si>
  <si>
    <t>GS</t>
  </si>
  <si>
    <t>SG</t>
  </si>
  <si>
    <t>G</t>
  </si>
  <si>
    <t>泓 建 物 業 管 理 有 限 公 司</t>
  </si>
  <si>
    <t>Pacific Extend Properties Management Limited</t>
  </si>
  <si>
    <t>1. 保安主管出勤時數</t>
  </si>
  <si>
    <t>工作總
日數</t>
  </si>
  <si>
    <t>工作總
時數</t>
  </si>
  <si>
    <t>RD</t>
  </si>
  <si>
    <t>NP</t>
  </si>
  <si>
    <t>SL</t>
  </si>
  <si>
    <t>AL</t>
  </si>
  <si>
    <t>OT</t>
  </si>
  <si>
    <t>NC</t>
  </si>
  <si>
    <t>已放年假</t>
  </si>
  <si>
    <t>排位</t>
  </si>
  <si>
    <t>員工編號</t>
  </si>
  <si>
    <t>姓名</t>
  </si>
  <si>
    <t>Rank</t>
  </si>
  <si>
    <t>職銜</t>
  </si>
  <si>
    <t>工作時數</t>
  </si>
  <si>
    <t>更份</t>
  </si>
  <si>
    <t>法定假期</t>
  </si>
  <si>
    <t>例假</t>
  </si>
  <si>
    <t>無薪假</t>
  </si>
  <si>
    <t>病假</t>
  </si>
  <si>
    <t>年假</t>
  </si>
  <si>
    <t>享有</t>
  </si>
  <si>
    <t>已放</t>
  </si>
  <si>
    <t>M01</t>
  </si>
  <si>
    <t>0004688</t>
  </si>
  <si>
    <t>SECU_SUPR</t>
  </si>
  <si>
    <t>早</t>
  </si>
  <si>
    <t>M02</t>
  </si>
  <si>
    <t>0004693</t>
  </si>
  <si>
    <t>黃碧卿</t>
  </si>
  <si>
    <t>M03</t>
  </si>
  <si>
    <t>0004697</t>
  </si>
  <si>
    <t>劉鑑香</t>
  </si>
  <si>
    <t>SG/G</t>
  </si>
  <si>
    <t>SECU_G(D)</t>
  </si>
  <si>
    <t>M04</t>
  </si>
  <si>
    <t>0004690</t>
  </si>
  <si>
    <t>陳鳳連</t>
  </si>
  <si>
    <t>總日數</t>
  </si>
  <si>
    <t>總時數</t>
  </si>
  <si>
    <t>保安主任每日工作(實際)總人數</t>
  </si>
  <si>
    <t>保安主任每日工作(要求)總人數</t>
  </si>
  <si>
    <t>保安主任每日工作(缺勤)總人數</t>
  </si>
  <si>
    <t>2. 特別保安員/普通保安員出勤時數</t>
  </si>
  <si>
    <t>M05</t>
  </si>
  <si>
    <t>0004691</t>
  </si>
  <si>
    <t>資园秀</t>
  </si>
  <si>
    <t xml:space="preserve"> </t>
  </si>
  <si>
    <t>M06</t>
  </si>
  <si>
    <t>0004662</t>
  </si>
  <si>
    <t>梁彩娟</t>
  </si>
  <si>
    <t>M07</t>
  </si>
  <si>
    <t>0004667</t>
  </si>
  <si>
    <t>方潔梅</t>
  </si>
  <si>
    <t>M08</t>
  </si>
  <si>
    <t>0004666</t>
  </si>
  <si>
    <t>李小紅</t>
  </si>
  <si>
    <t>M09</t>
  </si>
  <si>
    <t>0004687</t>
  </si>
  <si>
    <t>黎詠甄</t>
  </si>
  <si>
    <t>M10</t>
  </si>
  <si>
    <t>0004696</t>
  </si>
  <si>
    <t>賀玉蓮</t>
  </si>
  <si>
    <t>M11</t>
  </si>
  <si>
    <t>0004685</t>
  </si>
  <si>
    <t>錢水英</t>
  </si>
  <si>
    <t>M12</t>
  </si>
  <si>
    <t>0004661</t>
  </si>
  <si>
    <t>林翠姬</t>
  </si>
  <si>
    <t>M13</t>
  </si>
  <si>
    <t>0004668</t>
  </si>
  <si>
    <t>何萬莉</t>
  </si>
  <si>
    <t>M14</t>
  </si>
  <si>
    <t>0004683</t>
  </si>
  <si>
    <t>鍾麗芳</t>
  </si>
  <si>
    <t>M15</t>
  </si>
  <si>
    <t>0004676</t>
  </si>
  <si>
    <t>黎玉艷</t>
  </si>
  <si>
    <t>M16</t>
  </si>
  <si>
    <t>0004694</t>
  </si>
  <si>
    <t>楊小紅</t>
  </si>
  <si>
    <t>M17</t>
  </si>
  <si>
    <t>0004675</t>
  </si>
  <si>
    <t>李鳳蘭</t>
  </si>
  <si>
    <t>M18</t>
  </si>
  <si>
    <t>0004695</t>
  </si>
  <si>
    <t>M19</t>
  </si>
  <si>
    <t>0004689</t>
  </si>
  <si>
    <t>曾東紅</t>
  </si>
  <si>
    <t>M20</t>
  </si>
  <si>
    <t>0004672</t>
  </si>
  <si>
    <t>盧偉然</t>
  </si>
  <si>
    <t>M21</t>
  </si>
  <si>
    <t>0004698</t>
  </si>
  <si>
    <t>梁錦輝</t>
  </si>
  <si>
    <t>M22</t>
  </si>
  <si>
    <t>0004665</t>
  </si>
  <si>
    <t>黃仕明</t>
  </si>
  <si>
    <t>M23</t>
  </si>
  <si>
    <t>0004677</t>
  </si>
  <si>
    <t>周就勝</t>
  </si>
  <si>
    <t>M24</t>
  </si>
  <si>
    <t>0004670</t>
  </si>
  <si>
    <t>林寶玉</t>
  </si>
  <si>
    <t>M25</t>
  </si>
  <si>
    <t>0004663</t>
  </si>
  <si>
    <t>徐華妹</t>
  </si>
  <si>
    <t>M26</t>
  </si>
  <si>
    <t>0004699</t>
  </si>
  <si>
    <t>譚貴丹</t>
  </si>
  <si>
    <t>M27</t>
  </si>
  <si>
    <t>0004664</t>
  </si>
  <si>
    <t>朱保英</t>
  </si>
  <si>
    <t>M28</t>
  </si>
  <si>
    <t>0004686</t>
  </si>
  <si>
    <t>唐紅</t>
  </si>
  <si>
    <t>M29</t>
  </si>
  <si>
    <t>0004674</t>
  </si>
  <si>
    <t>雷蓮英</t>
  </si>
  <si>
    <t>M30</t>
  </si>
  <si>
    <t>0004684</t>
  </si>
  <si>
    <t>任富萍</t>
  </si>
  <si>
    <t>M31</t>
  </si>
  <si>
    <t>0004700</t>
  </si>
  <si>
    <t>梁映娥</t>
  </si>
  <si>
    <t>M32</t>
  </si>
  <si>
    <t>0004681</t>
  </si>
  <si>
    <t>陳宜妃</t>
  </si>
  <si>
    <t>M33</t>
  </si>
  <si>
    <t>0004692</t>
  </si>
  <si>
    <t>萬美萍</t>
  </si>
  <si>
    <t>M34</t>
  </si>
  <si>
    <t>0004679</t>
  </si>
  <si>
    <t>阮益忠</t>
  </si>
  <si>
    <t>M35</t>
  </si>
  <si>
    <t>0004678</t>
  </si>
  <si>
    <t>冼順蓮</t>
  </si>
  <si>
    <t>M36</t>
  </si>
  <si>
    <t>0004682</t>
  </si>
  <si>
    <t>黎美容</t>
  </si>
  <si>
    <t>M37</t>
  </si>
  <si>
    <t>0004673</t>
  </si>
  <si>
    <t>林彩玲</t>
  </si>
  <si>
    <t>M38</t>
  </si>
  <si>
    <t>0004671</t>
  </si>
  <si>
    <t>鍾志偉</t>
  </si>
  <si>
    <t>M39</t>
  </si>
  <si>
    <t>0004669</t>
  </si>
  <si>
    <t>鄧美玲</t>
  </si>
  <si>
    <t>M40</t>
  </si>
  <si>
    <t>合約要求每日人數: 31</t>
  </si>
  <si>
    <t xml:space="preserve">每日出勤人數:  </t>
  </si>
  <si>
    <t>特別保安員每日工作(實際)總人數</t>
  </si>
  <si>
    <t>特別保安員每日工作(要求)總人數</t>
  </si>
  <si>
    <t>特別保安員每日工作(缺勤)總人數</t>
  </si>
  <si>
    <t>普通保安每日工作(實際)總人數</t>
  </si>
  <si>
    <t>普通保安每日工作(要求)總人數</t>
  </si>
  <si>
    <t>普通保安每日工作(缺勤)總人數</t>
  </si>
  <si>
    <t>保安每日工作(實際)總人數</t>
  </si>
  <si>
    <t>保安每日工作(要求)總人數</t>
  </si>
  <si>
    <r>
      <rPr>
        <sz val="11"/>
        <rFont val="Microsoft JhengHei UI"/>
        <family val="2"/>
        <charset val="136"/>
      </rPr>
      <t>保安每日工作(缺勤)總人數</t>
    </r>
  </si>
  <si>
    <t>備註：</t>
  </si>
  <si>
    <t xml:space="preserve"> GS=Guard Supervisor     SG=Special Guard      G=Security Guard</t>
  </si>
  <si>
    <t>EC</t>
  </si>
  <si>
    <t>D01</t>
  </si>
  <si>
    <t>0004577</t>
  </si>
  <si>
    <t>詹美玲</t>
  </si>
  <si>
    <t>D02</t>
  </si>
  <si>
    <t>0004718</t>
  </si>
  <si>
    <t>陳鳴</t>
  </si>
  <si>
    <t>D03</t>
  </si>
  <si>
    <t>0004706</t>
  </si>
  <si>
    <t>鄭佩英</t>
  </si>
  <si>
    <t>D04</t>
  </si>
  <si>
    <t>D05</t>
  </si>
  <si>
    <t>0004736</t>
  </si>
  <si>
    <t>SECU_G(M)</t>
  </si>
  <si>
    <t>中</t>
  </si>
  <si>
    <t>D06</t>
  </si>
  <si>
    <t>0004711</t>
  </si>
  <si>
    <t>鄭素芳</t>
  </si>
  <si>
    <t>D07</t>
  </si>
  <si>
    <t>0004703</t>
  </si>
  <si>
    <t>張碧雲</t>
  </si>
  <si>
    <t>D08</t>
  </si>
  <si>
    <t>0004705</t>
  </si>
  <si>
    <t>馮桂香</t>
  </si>
  <si>
    <t>D09</t>
  </si>
  <si>
    <t>0004725</t>
  </si>
  <si>
    <t>D10</t>
  </si>
  <si>
    <t>0004702</t>
  </si>
  <si>
    <t>黃亞君</t>
  </si>
  <si>
    <t>D11</t>
  </si>
  <si>
    <t>0004710</t>
  </si>
  <si>
    <t>黃美莉</t>
  </si>
  <si>
    <t>D12</t>
  </si>
  <si>
    <t>0004728</t>
  </si>
  <si>
    <t>黃新娣</t>
  </si>
  <si>
    <t>D13</t>
  </si>
  <si>
    <t>0004714</t>
  </si>
  <si>
    <t>汪秀聰</t>
  </si>
  <si>
    <t>D14</t>
  </si>
  <si>
    <t>0004716</t>
  </si>
  <si>
    <t>梁土嬌</t>
  </si>
  <si>
    <t>D15</t>
  </si>
  <si>
    <t>0004723</t>
  </si>
  <si>
    <t>叶錦容</t>
  </si>
  <si>
    <t>D16</t>
  </si>
  <si>
    <t>0004719</t>
  </si>
  <si>
    <t>劉紅珍</t>
  </si>
  <si>
    <t>D17</t>
  </si>
  <si>
    <t>0004717</t>
  </si>
  <si>
    <t>丘秀珍</t>
  </si>
  <si>
    <t>D18</t>
  </si>
  <si>
    <t>0004715</t>
  </si>
  <si>
    <t>蘇梅花</t>
  </si>
  <si>
    <t>D19</t>
  </si>
  <si>
    <t>0004733</t>
  </si>
  <si>
    <t>陳月惠</t>
  </si>
  <si>
    <t>D20</t>
  </si>
  <si>
    <t>0004734</t>
  </si>
  <si>
    <t>梁少雲</t>
  </si>
  <si>
    <t>D21</t>
  </si>
  <si>
    <t>0004708</t>
  </si>
  <si>
    <t>黃鳳嬌</t>
  </si>
  <si>
    <t>D22</t>
  </si>
  <si>
    <t>0004709</t>
  </si>
  <si>
    <t>蘇莫貴</t>
  </si>
  <si>
    <t>D23</t>
  </si>
  <si>
    <t>0004720</t>
  </si>
  <si>
    <t>戚志榮</t>
  </si>
  <si>
    <t>D24</t>
  </si>
  <si>
    <t>0004730</t>
  </si>
  <si>
    <t>吳小萍</t>
  </si>
  <si>
    <t>D25</t>
  </si>
  <si>
    <t>0004707</t>
  </si>
  <si>
    <t>王偉銘</t>
  </si>
  <si>
    <t>D26</t>
  </si>
  <si>
    <t>0004704</t>
  </si>
  <si>
    <t>詹桂美</t>
  </si>
  <si>
    <t>D27</t>
  </si>
  <si>
    <t>0004722</t>
  </si>
  <si>
    <t>李振邦</t>
  </si>
  <si>
    <t>D28</t>
  </si>
  <si>
    <t>0004727</t>
  </si>
  <si>
    <t>朱君華</t>
  </si>
  <si>
    <t>D29</t>
  </si>
  <si>
    <t>D30</t>
  </si>
  <si>
    <t>D31</t>
  </si>
  <si>
    <t>0004701</t>
  </si>
  <si>
    <t>D32</t>
  </si>
  <si>
    <t>0004731</t>
  </si>
  <si>
    <t>D33</t>
  </si>
  <si>
    <t>0004729</t>
  </si>
  <si>
    <t>高月梅</t>
  </si>
  <si>
    <t>D34</t>
  </si>
  <si>
    <t>0004712</t>
  </si>
  <si>
    <t>曾玉華</t>
  </si>
  <si>
    <t>D35</t>
  </si>
  <si>
    <t>0004726</t>
  </si>
  <si>
    <t>D36</t>
  </si>
  <si>
    <t>0004737</t>
  </si>
  <si>
    <t>羅米辛</t>
  </si>
  <si>
    <t>D37</t>
  </si>
  <si>
    <t>0004713</t>
  </si>
  <si>
    <t>趙元春</t>
  </si>
  <si>
    <t>D38</t>
  </si>
  <si>
    <t>0004735</t>
  </si>
  <si>
    <t>吳逸森</t>
  </si>
  <si>
    <t>D39</t>
  </si>
  <si>
    <t>0004593</t>
  </si>
  <si>
    <t>潘美雲</t>
  </si>
  <si>
    <t>D40</t>
  </si>
  <si>
    <t>0004592</t>
  </si>
  <si>
    <t>吳麗萍</t>
  </si>
  <si>
    <t>D41</t>
  </si>
  <si>
    <t>熊正會</t>
  </si>
  <si>
    <t>合約要求每日人數:31</t>
  </si>
  <si>
    <t xml:space="preserve">  </t>
  </si>
  <si>
    <t>N01</t>
  </si>
  <si>
    <t>0004738</t>
  </si>
  <si>
    <t>鍾劍雄</t>
  </si>
  <si>
    <t>N02</t>
  </si>
  <si>
    <t>0004748</t>
  </si>
  <si>
    <t>刁吉順</t>
  </si>
  <si>
    <t>N03</t>
  </si>
  <si>
    <t>0004745</t>
  </si>
  <si>
    <t>李金鳳</t>
  </si>
  <si>
    <t>N04</t>
  </si>
  <si>
    <t>0004763</t>
  </si>
  <si>
    <t>唐蘭金</t>
  </si>
  <si>
    <t>N05</t>
  </si>
  <si>
    <t>0004750</t>
  </si>
  <si>
    <t>陳小玲</t>
  </si>
  <si>
    <t>N06</t>
  </si>
  <si>
    <t>0004757</t>
  </si>
  <si>
    <t>黎明珠</t>
  </si>
  <si>
    <t>N07</t>
  </si>
  <si>
    <t>0004739</t>
  </si>
  <si>
    <t>李智豪</t>
  </si>
  <si>
    <t>N08</t>
  </si>
  <si>
    <t>0004759</t>
  </si>
  <si>
    <t>李惠萍</t>
  </si>
  <si>
    <t>N09</t>
  </si>
  <si>
    <t>0004765</t>
  </si>
  <si>
    <t>李燕紅</t>
  </si>
  <si>
    <t>N10</t>
  </si>
  <si>
    <t>0004756</t>
  </si>
  <si>
    <t>石慧文</t>
  </si>
  <si>
    <t>N11</t>
  </si>
  <si>
    <t>0004752</t>
  </si>
  <si>
    <t>鄧紹基</t>
  </si>
  <si>
    <t>N12</t>
  </si>
  <si>
    <t>0004762</t>
  </si>
  <si>
    <t>王海蝦</t>
  </si>
  <si>
    <t>N13</t>
  </si>
  <si>
    <t>0004741</t>
  </si>
  <si>
    <t>戴進娣</t>
  </si>
  <si>
    <t>N14</t>
  </si>
  <si>
    <t>0004761</t>
  </si>
  <si>
    <t>吳敏基</t>
  </si>
  <si>
    <t>N15</t>
  </si>
  <si>
    <t>0004740</t>
  </si>
  <si>
    <t>陳汝榮</t>
  </si>
  <si>
    <t>N16</t>
  </si>
  <si>
    <t>0004753</t>
  </si>
  <si>
    <t>戴玉蓮</t>
  </si>
  <si>
    <t>N17</t>
  </si>
  <si>
    <t>0004742</t>
  </si>
  <si>
    <t>麥艷蘭</t>
  </si>
  <si>
    <t>N18</t>
  </si>
  <si>
    <t>0004744</t>
  </si>
  <si>
    <t>屈萍</t>
  </si>
  <si>
    <t>N19</t>
  </si>
  <si>
    <t>0004749</t>
  </si>
  <si>
    <t>蘇流旺</t>
  </si>
  <si>
    <t>N20</t>
  </si>
  <si>
    <t>0004754</t>
  </si>
  <si>
    <t>關佩賢</t>
  </si>
  <si>
    <t>N21</t>
  </si>
  <si>
    <t>N22</t>
  </si>
  <si>
    <t>0004743</t>
  </si>
  <si>
    <t>簡瑞聰</t>
  </si>
  <si>
    <t>N23</t>
  </si>
  <si>
    <t>0004755</t>
  </si>
  <si>
    <t>謝國健</t>
  </si>
  <si>
    <t>N24</t>
  </si>
  <si>
    <t>0004751</t>
  </si>
  <si>
    <t>黃繼潁</t>
  </si>
  <si>
    <t>N25</t>
  </si>
  <si>
    <t>N26</t>
  </si>
  <si>
    <t>N27</t>
  </si>
  <si>
    <t>0004760</t>
  </si>
  <si>
    <t>N28</t>
  </si>
  <si>
    <t>0004764</t>
  </si>
  <si>
    <t>徐順成</t>
  </si>
  <si>
    <t>N29</t>
  </si>
  <si>
    <t>0004758</t>
  </si>
  <si>
    <t>徐帆好</t>
  </si>
  <si>
    <t>N30</t>
  </si>
  <si>
    <t>0004851</t>
  </si>
  <si>
    <t>彭秀芳</t>
  </si>
  <si>
    <t>N31</t>
  </si>
  <si>
    <t>0004618</t>
  </si>
  <si>
    <t>麥麗嬋</t>
  </si>
  <si>
    <t>RD</t>
    <phoneticPr fontId="22" type="noConversion"/>
  </si>
  <si>
    <t>夜</t>
  </si>
  <si>
    <t>大 元 邨</t>
    <phoneticPr fontId="22" type="noConversion"/>
  </si>
  <si>
    <t>泓 建 物 業 管 理 有 限 公 司</t>
    <phoneticPr fontId="22" type="noConversion"/>
  </si>
  <si>
    <t>TY/FS/FH/WTT/POH</t>
  </si>
  <si>
    <t>合約要求每日人數: 23</t>
  </si>
  <si>
    <t>鍾芬</t>
  </si>
  <si>
    <t>鄧秀云</t>
  </si>
  <si>
    <t>蘇燕鈴</t>
  </si>
  <si>
    <t>0004983</t>
  </si>
  <si>
    <t>彭晓琼</t>
  </si>
  <si>
    <t>蘇栢棋</t>
  </si>
  <si>
    <t>楊晓玲</t>
  </si>
  <si>
    <t>陳錫雄</t>
  </si>
  <si>
    <t>劉靜萍</t>
  </si>
  <si>
    <r>
      <rPr>
        <sz val="12"/>
        <color indexed="8"/>
        <rFont val="Microsoft JhengHei UI"/>
        <family val="2"/>
        <charset val="136"/>
      </rPr>
      <t>總日數</t>
    </r>
  </si>
  <si>
    <r>
      <rPr>
        <sz val="12"/>
        <color indexed="8"/>
        <rFont val="Microsoft JhengHei UI"/>
        <family val="2"/>
        <charset val="136"/>
      </rPr>
      <t>總時數</t>
    </r>
  </si>
  <si>
    <r>
      <rPr>
        <sz val="12"/>
        <rFont val="Microsoft JhengHei UI"/>
        <family val="2"/>
        <charset val="136"/>
      </rPr>
      <t>保安每日工作(缺勤)總人數</t>
    </r>
  </si>
  <si>
    <t>NP</t>
    <phoneticPr fontId="22" type="noConversion"/>
  </si>
  <si>
    <t>G</t>
    <phoneticPr fontId="22" type="noConversion"/>
  </si>
  <si>
    <t>GS</t>
    <phoneticPr fontId="22" type="noConversion"/>
  </si>
  <si>
    <t>FS</t>
    <phoneticPr fontId="22" type="noConversion"/>
  </si>
  <si>
    <t>WTT</t>
    <phoneticPr fontId="22" type="noConversion"/>
  </si>
  <si>
    <t>FH</t>
    <phoneticPr fontId="22" type="noConversion"/>
  </si>
  <si>
    <t>EC</t>
    <phoneticPr fontId="22" type="noConversion"/>
  </si>
  <si>
    <t>0005015</t>
    <phoneticPr fontId="22" type="noConversion"/>
  </si>
  <si>
    <t>鄧細萍</t>
    <phoneticPr fontId="22" type="noConversion"/>
  </si>
  <si>
    <t>0005040</t>
    <phoneticPr fontId="22" type="noConversion"/>
  </si>
  <si>
    <t>葉玉霜</t>
    <phoneticPr fontId="22" type="noConversion"/>
  </si>
  <si>
    <t>M41</t>
  </si>
  <si>
    <t>莫風珍</t>
    <phoneticPr fontId="22" type="noConversion"/>
  </si>
  <si>
    <t>0004732</t>
    <phoneticPr fontId="22" type="noConversion"/>
  </si>
  <si>
    <t>0004721</t>
    <phoneticPr fontId="22" type="noConversion"/>
  </si>
  <si>
    <t>陳月霞</t>
    <phoneticPr fontId="22" type="noConversion"/>
  </si>
  <si>
    <t>SL</t>
    <phoneticPr fontId="22" type="noConversion"/>
  </si>
  <si>
    <t>NC</t>
    <phoneticPr fontId="22" type="noConversion"/>
  </si>
  <si>
    <t>0005016</t>
    <phoneticPr fontId="22" type="noConversion"/>
  </si>
  <si>
    <t>蔡鳳英</t>
    <phoneticPr fontId="22" type="noConversion"/>
  </si>
  <si>
    <t>吳杏安娜</t>
    <phoneticPr fontId="22" type="noConversion"/>
  </si>
  <si>
    <t>0005035</t>
    <phoneticPr fontId="22" type="noConversion"/>
  </si>
  <si>
    <t>0005110</t>
    <phoneticPr fontId="22" type="noConversion"/>
  </si>
  <si>
    <t>范維玲</t>
    <phoneticPr fontId="22" type="noConversion"/>
  </si>
  <si>
    <t>0005147</t>
    <phoneticPr fontId="22" type="noConversion"/>
  </si>
  <si>
    <t>RD</t>
    <phoneticPr fontId="22" type="noConversion"/>
  </si>
  <si>
    <t>NSH/SH</t>
    <phoneticPr fontId="22" type="noConversion"/>
  </si>
  <si>
    <t>【AL=年假】【SH=法定假】【NSH=無薪法定假】【NP=無薪假期】【RD=例假】【SL=病假】【NC=非合約期】【ND=休班】【EC=工傷休假】</t>
    <phoneticPr fontId="22" type="noConversion"/>
  </si>
  <si>
    <t>鍾京</t>
    <phoneticPr fontId="22" type="noConversion"/>
  </si>
  <si>
    <t>工作總
日數</t>
    <phoneticPr fontId="22" type="noConversion"/>
  </si>
  <si>
    <t>工作總
時數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</si>
</sst>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0_ ;[Red]\-0\ "/>
    <numFmt numFmtId="178" formatCode="0_);[Red]\(0\)"/>
  </numFmts>
  <fonts count="32">
    <font>
      <sz val="12"/>
      <color indexed="8"/>
      <name val="新細明體"/>
      <charset val="136"/>
    </font>
    <font>
      <sz val="11"/>
      <color indexed="8"/>
      <name val="Microsoft JhengHei UI"/>
      <family val="2"/>
      <charset val="136"/>
    </font>
    <font>
      <sz val="11"/>
      <name val="Microsoft JhengHei UI"/>
      <family val="2"/>
      <charset val="136"/>
    </font>
    <font>
      <b/>
      <sz val="11"/>
      <name val="Microsoft JhengHei UI"/>
      <family val="2"/>
      <charset val="136"/>
    </font>
    <font>
      <sz val="12"/>
      <color indexed="8"/>
      <name val="Microsoft JhengHei UI"/>
      <family val="2"/>
      <charset val="136"/>
    </font>
    <font>
      <sz val="10"/>
      <name val="Microsoft JhengHei UI"/>
      <family val="2"/>
      <charset val="136"/>
    </font>
    <font>
      <sz val="11"/>
      <color indexed="10"/>
      <name val="Microsoft JhengHei UI"/>
      <family val="2"/>
      <charset val="136"/>
    </font>
    <font>
      <b/>
      <sz val="18"/>
      <name val="Microsoft JhengHei UI"/>
      <family val="2"/>
      <charset val="136"/>
    </font>
    <font>
      <b/>
      <sz val="18"/>
      <color indexed="8"/>
      <name val="Microsoft JhengHei UI"/>
      <family val="2"/>
      <charset val="136"/>
    </font>
    <font>
      <sz val="16"/>
      <color indexed="8"/>
      <name val="Microsoft JhengHei UI"/>
      <family val="2"/>
      <charset val="136"/>
    </font>
    <font>
      <sz val="11"/>
      <name val="Microsoft YaHei"/>
      <family val="2"/>
    </font>
    <font>
      <sz val="12"/>
      <name val="Microsoft JhengHei UI"/>
      <family val="2"/>
      <charset val="136"/>
    </font>
    <font>
      <sz val="11"/>
      <color indexed="10"/>
      <name val="Microsoft YaHei"/>
      <family val="2"/>
    </font>
    <font>
      <sz val="10"/>
      <color indexed="8"/>
      <name val="Microsoft JhengHei UI"/>
      <family val="2"/>
      <charset val="136"/>
    </font>
    <font>
      <sz val="11"/>
      <color indexed="10"/>
      <name val="微軟正黑體"/>
      <family val="2"/>
      <charset val="136"/>
    </font>
    <font>
      <sz val="12"/>
      <color indexed="10"/>
      <name val="Microsoft JhengHei UI"/>
      <family val="2"/>
      <charset val="136"/>
    </font>
    <font>
      <sz val="16"/>
      <name val="Microsoft JhengHei UI"/>
      <family val="2"/>
      <charset val="136"/>
    </font>
    <font>
      <sz val="12"/>
      <name val="Calibri"/>
      <family val="2"/>
    </font>
    <font>
      <sz val="11"/>
      <name val="Calibri"/>
      <family val="2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9"/>
      <name val="新細明體"/>
      <family val="1"/>
      <charset val="136"/>
    </font>
    <font>
      <sz val="11"/>
      <color theme="1"/>
      <name val="Microsoft JhengHei UI"/>
      <family val="2"/>
      <charset val="136"/>
    </font>
    <font>
      <b/>
      <sz val="11"/>
      <name val="Microsoft JhengHei UI"/>
      <family val="2"/>
      <charset val="136"/>
    </font>
    <font>
      <b/>
      <sz val="12"/>
      <color indexed="8"/>
      <name val="Microsoft JhengHei UI"/>
      <family val="2"/>
      <charset val="136"/>
    </font>
    <font>
      <b/>
      <sz val="12"/>
      <name val="Microsoft JhengHei UI"/>
      <family val="2"/>
      <charset val="136"/>
    </font>
    <font>
      <b/>
      <sz val="12"/>
      <color theme="1"/>
      <name val="Microsoft JhengHei UI"/>
      <family val="2"/>
      <charset val="136"/>
    </font>
    <font>
      <sz val="12"/>
      <name val="Microsoft YaHei"/>
      <family val="2"/>
    </font>
    <font>
      <sz val="12"/>
      <color indexed="8"/>
      <name val="Microsoft JhengHei UI"/>
      <family val="2"/>
    </font>
    <font>
      <sz val="12"/>
      <color rgb="FFFF0000"/>
      <name val="Microsoft JhengHei UI"/>
      <family val="2"/>
      <charset val="136"/>
    </font>
    <font>
      <sz val="12"/>
      <color indexed="8"/>
      <name val="Microsoft YaHei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50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2" borderId="18" xfId="0" applyFont="1" applyFill="1" applyBorder="1">
      <alignment vertical="center"/>
    </xf>
    <xf numFmtId="0" fontId="2" fillId="2" borderId="32" xfId="0" applyFont="1" applyFill="1" applyBorder="1">
      <alignment vertical="center"/>
    </xf>
    <xf numFmtId="0" fontId="2" fillId="2" borderId="20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29" xfId="0" applyFont="1" applyFill="1" applyBorder="1">
      <alignment vertical="center"/>
    </xf>
    <xf numFmtId="0" fontId="2" fillId="4" borderId="33" xfId="0" applyFont="1" applyFill="1" applyBorder="1">
      <alignment vertical="center"/>
    </xf>
    <xf numFmtId="0" fontId="2" fillId="4" borderId="31" xfId="0" applyFont="1" applyFill="1" applyBorder="1">
      <alignment vertical="center"/>
    </xf>
    <xf numFmtId="0" fontId="2" fillId="4" borderId="11" xfId="0" applyFont="1" applyFill="1" applyBorder="1" applyAlignment="1">
      <alignment horizontal="center" vertical="center"/>
    </xf>
    <xf numFmtId="0" fontId="3" fillId="2" borderId="2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3" xfId="0" applyFont="1" applyFill="1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" fillId="2" borderId="44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8" xfId="0" applyFont="1" applyFill="1" applyBorder="1" applyAlignment="1">
      <alignment horizontal="center" vertical="center"/>
    </xf>
    <xf numFmtId="0" fontId="2" fillId="2" borderId="47" xfId="0" applyFont="1" applyFill="1" applyBorder="1">
      <alignment vertical="center"/>
    </xf>
    <xf numFmtId="0" fontId="2" fillId="2" borderId="49" xfId="0" applyFont="1" applyFill="1" applyBorder="1">
      <alignment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77" fontId="3" fillId="2" borderId="13" xfId="0" applyNumberFormat="1" applyFont="1" applyFill="1" applyBorder="1" applyAlignment="1">
      <alignment horizontal="center" vertical="center"/>
    </xf>
    <xf numFmtId="177" fontId="3" fillId="2" borderId="15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 wrapText="1"/>
    </xf>
    <xf numFmtId="177" fontId="3" fillId="0" borderId="15" xfId="0" applyNumberFormat="1" applyFont="1" applyBorder="1" applyAlignment="1">
      <alignment horizontal="center" vertical="center"/>
    </xf>
    <xf numFmtId="0" fontId="2" fillId="6" borderId="8" xfId="3" applyFont="1" applyFill="1" applyBorder="1" applyAlignment="1">
      <alignment horizontal="center" vertical="center"/>
    </xf>
    <xf numFmtId="2" fontId="2" fillId="7" borderId="8" xfId="0" applyNumberFormat="1" applyFont="1" applyFill="1" applyBorder="1" applyAlignment="1">
      <alignment horizontal="center" vertical="center" wrapText="1"/>
    </xf>
    <xf numFmtId="2" fontId="2" fillId="8" borderId="8" xfId="0" applyNumberFormat="1" applyFont="1" applyFill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177" fontId="3" fillId="2" borderId="22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177" fontId="3" fillId="2" borderId="42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4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wrapText="1"/>
    </xf>
    <xf numFmtId="0" fontId="11" fillId="0" borderId="15" xfId="4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4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0" xfId="4" applyFont="1" applyFill="1" applyBorder="1" applyAlignment="1">
      <alignment horizontal="center" vertical="center" shrinkToFit="1"/>
    </xf>
    <xf numFmtId="0" fontId="11" fillId="2" borderId="5" xfId="4" applyFont="1" applyFill="1" applyBorder="1" applyAlignment="1">
      <alignment horizontal="center" vertical="center" shrinkToFit="1"/>
    </xf>
    <xf numFmtId="0" fontId="11" fillId="0" borderId="10" xfId="4" applyFont="1" applyBorder="1" applyAlignment="1">
      <alignment horizontal="center" vertical="center" shrinkToFit="1"/>
    </xf>
    <xf numFmtId="0" fontId="11" fillId="2" borderId="15" xfId="4" applyFont="1" applyFill="1" applyBorder="1" applyAlignment="1">
      <alignment horizontal="center" vertical="center" shrinkToFit="1"/>
    </xf>
    <xf numFmtId="0" fontId="11" fillId="0" borderId="17" xfId="4" applyFont="1" applyBorder="1" applyAlignment="1">
      <alignment horizontal="center" vertical="center" shrinkToFit="1"/>
    </xf>
    <xf numFmtId="0" fontId="11" fillId="2" borderId="0" xfId="4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2" fontId="1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4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11" fillId="0" borderId="20" xfId="4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/>
    </xf>
    <xf numFmtId="0" fontId="11" fillId="9" borderId="30" xfId="0" applyFont="1" applyFill="1" applyBorder="1" applyAlignment="1">
      <alignment horizontal="center" vertical="center"/>
    </xf>
    <xf numFmtId="177" fontId="3" fillId="2" borderId="2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3" xfId="0" applyFont="1" applyBorder="1" applyAlignment="1">
      <alignment horizontal="left" vertical="center"/>
    </xf>
    <xf numFmtId="0" fontId="16" fillId="0" borderId="0" xfId="0" applyFo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0" xfId="4" applyFont="1" applyBorder="1" applyAlignment="1">
      <alignment horizontal="center" vertical="center" shrinkToFit="1"/>
    </xf>
    <xf numFmtId="0" fontId="5" fillId="0" borderId="0" xfId="4" applyFont="1" applyBorder="1" applyAlignment="1">
      <alignment horizontal="center" vertical="center" shrinkToFit="1"/>
    </xf>
    <xf numFmtId="0" fontId="5" fillId="2" borderId="0" xfId="4" applyFont="1" applyFill="1" applyBorder="1" applyAlignment="1">
      <alignment horizontal="center" vertical="center" shrinkToFit="1"/>
    </xf>
    <xf numFmtId="0" fontId="18" fillId="0" borderId="0" xfId="0" applyFont="1" applyAlignment="1">
      <alignment horizontal="right" vertical="center"/>
    </xf>
    <xf numFmtId="0" fontId="12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10" borderId="8" xfId="0" applyFont="1" applyFill="1" applyBorder="1" applyAlignment="1">
      <alignment horizontal="center" vertical="center"/>
    </xf>
    <xf numFmtId="0" fontId="1" fillId="0" borderId="73" xfId="0" applyFont="1" applyBorder="1">
      <alignment vertical="center"/>
    </xf>
    <xf numFmtId="0" fontId="2" fillId="6" borderId="5" xfId="3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3" fillId="12" borderId="11" xfId="0" applyFont="1" applyFill="1" applyBorder="1">
      <alignment vertical="center"/>
    </xf>
    <xf numFmtId="0" fontId="24" fillId="12" borderId="33" xfId="0" applyFont="1" applyFill="1" applyBorder="1" applyAlignment="1"/>
    <xf numFmtId="0" fontId="24" fillId="12" borderId="31" xfId="0" applyFont="1" applyFill="1" applyBorder="1" applyAlignment="1"/>
    <xf numFmtId="177" fontId="3" fillId="2" borderId="17" xfId="0" applyNumberFormat="1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11" fillId="0" borderId="19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6" fontId="25" fillId="2" borderId="5" xfId="0" applyNumberFormat="1" applyFont="1" applyFill="1" applyBorder="1" applyAlignment="1">
      <alignment horizontal="center" vertical="center" wrapText="1"/>
    </xf>
    <xf numFmtId="176" fontId="25" fillId="2" borderId="10" xfId="0" applyNumberFormat="1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32" xfId="0" applyFont="1" applyFill="1" applyBorder="1">
      <alignment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1" fontId="11" fillId="2" borderId="19" xfId="0" applyNumberFormat="1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4" borderId="33" xfId="0" applyFont="1" applyFill="1" applyBorder="1">
      <alignment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1" fontId="11" fillId="4" borderId="30" xfId="0" applyNumberFormat="1" applyFont="1" applyFill="1" applyBorder="1" applyAlignment="1">
      <alignment horizontal="center" vertical="center"/>
    </xf>
    <xf numFmtId="0" fontId="26" fillId="2" borderId="2" xfId="0" applyFont="1" applyFill="1" applyBorder="1">
      <alignment vertical="center"/>
    </xf>
    <xf numFmtId="0" fontId="26" fillId="2" borderId="22" xfId="0" applyFont="1" applyFill="1" applyBorder="1" applyAlignment="1">
      <alignment horizontal="center" vertical="center"/>
    </xf>
    <xf numFmtId="177" fontId="26" fillId="2" borderId="23" xfId="0" applyNumberFormat="1" applyFont="1" applyFill="1" applyBorder="1" applyAlignment="1">
      <alignment horizontal="center" vertical="center"/>
    </xf>
    <xf numFmtId="1" fontId="4" fillId="2" borderId="22" xfId="0" applyNumberFormat="1" applyFont="1" applyFill="1" applyBorder="1" applyAlignment="1">
      <alignment horizontal="center" vertical="center"/>
    </xf>
    <xf numFmtId="177" fontId="25" fillId="2" borderId="42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41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55" xfId="0" applyFont="1" applyBorder="1" applyAlignment="1">
      <alignment horizontal="center" vertical="center"/>
    </xf>
    <xf numFmtId="1" fontId="11" fillId="2" borderId="75" xfId="0" applyNumberFormat="1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1" fontId="11" fillId="4" borderId="29" xfId="0" applyNumberFormat="1" applyFont="1" applyFill="1" applyBorder="1" applyAlignment="1">
      <alignment horizontal="center" vertical="center"/>
    </xf>
    <xf numFmtId="177" fontId="26" fillId="2" borderId="15" xfId="0" applyNumberFormat="1" applyFont="1" applyFill="1" applyBorder="1" applyAlignment="1">
      <alignment horizontal="center" vertical="center"/>
    </xf>
    <xf numFmtId="1" fontId="25" fillId="2" borderId="21" xfId="0" applyNumberFormat="1" applyFont="1" applyFill="1" applyBorder="1" applyAlignment="1">
      <alignment horizontal="center" vertical="center"/>
    </xf>
    <xf numFmtId="177" fontId="25" fillId="2" borderId="22" xfId="0" applyNumberFormat="1" applyFont="1" applyFill="1" applyBorder="1" applyAlignment="1">
      <alignment horizontal="center" vertical="center"/>
    </xf>
    <xf numFmtId="0" fontId="11" fillId="2" borderId="73" xfId="0" applyFont="1" applyFill="1" applyBorder="1">
      <alignment vertical="center"/>
    </xf>
    <xf numFmtId="0" fontId="11" fillId="2" borderId="5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6" fillId="2" borderId="1" xfId="0" applyFont="1" applyFill="1" applyBorder="1">
      <alignment vertical="center"/>
    </xf>
    <xf numFmtId="177" fontId="26" fillId="2" borderId="27" xfId="0" applyNumberFormat="1" applyFont="1" applyFill="1" applyBorder="1" applyAlignment="1">
      <alignment horizontal="center" vertical="center"/>
    </xf>
    <xf numFmtId="177" fontId="27" fillId="2" borderId="24" xfId="0" applyNumberFormat="1" applyFont="1" applyFill="1" applyBorder="1" applyAlignment="1">
      <alignment horizontal="center" vertical="center"/>
    </xf>
    <xf numFmtId="177" fontId="11" fillId="2" borderId="5" xfId="0" applyNumberFormat="1" applyFont="1" applyFill="1" applyBorder="1" applyAlignment="1">
      <alignment horizontal="center" vertical="center"/>
    </xf>
    <xf numFmtId="177" fontId="26" fillId="2" borderId="22" xfId="0" applyNumberFormat="1" applyFont="1" applyFill="1" applyBorder="1" applyAlignment="1">
      <alignment horizontal="center" vertical="center"/>
    </xf>
    <xf numFmtId="1" fontId="11" fillId="2" borderId="18" xfId="0" applyNumberFormat="1" applyFont="1" applyFill="1" applyBorder="1" applyAlignment="1">
      <alignment horizontal="center" vertical="center"/>
    </xf>
    <xf numFmtId="177" fontId="26" fillId="2" borderId="25" xfId="0" applyNumberFormat="1" applyFont="1" applyFill="1" applyBorder="1" applyAlignment="1">
      <alignment horizontal="center" vertical="center"/>
    </xf>
    <xf numFmtId="1" fontId="11" fillId="2" borderId="54" xfId="0" applyNumberFormat="1" applyFont="1" applyFill="1" applyBorder="1" applyAlignment="1">
      <alignment horizontal="center" vertical="center"/>
    </xf>
    <xf numFmtId="177" fontId="26" fillId="2" borderId="21" xfId="0" applyNumberFormat="1" applyFont="1" applyFill="1" applyBorder="1" applyAlignment="1">
      <alignment horizontal="center" vertical="center"/>
    </xf>
    <xf numFmtId="176" fontId="25" fillId="11" borderId="5" xfId="0" applyNumberFormat="1" applyFont="1" applyFill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8" xfId="4" applyFont="1" applyFill="1" applyBorder="1" applyAlignment="1">
      <alignment horizontal="center" vertical="center" shrinkToFit="1"/>
    </xf>
    <xf numFmtId="0" fontId="11" fillId="2" borderId="8" xfId="4" applyFont="1" applyFill="1" applyBorder="1" applyAlignment="1">
      <alignment horizontal="center" vertical="center" shrinkToFit="1"/>
    </xf>
    <xf numFmtId="0" fontId="11" fillId="0" borderId="61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2" borderId="10" xfId="4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1" borderId="8" xfId="4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26" fillId="2" borderId="5" xfId="0" applyNumberFormat="1" applyFont="1" applyFill="1" applyBorder="1" applyAlignment="1">
      <alignment horizontal="center" vertical="center" wrapText="1"/>
    </xf>
    <xf numFmtId="176" fontId="26" fillId="2" borderId="10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0" borderId="30" xfId="0" quotePrefix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6" fillId="2" borderId="78" xfId="0" applyFont="1" applyFill="1" applyBorder="1" applyAlignment="1">
      <alignment horizontal="center" vertical="center"/>
    </xf>
    <xf numFmtId="0" fontId="4" fillId="15" borderId="22" xfId="0" quotePrefix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11" borderId="19" xfId="0" quotePrefix="1" applyFont="1" applyFill="1" applyBorder="1" applyAlignment="1">
      <alignment horizontal="center" vertical="center"/>
    </xf>
    <xf numFmtId="176" fontId="26" fillId="11" borderId="5" xfId="0" applyNumberFormat="1" applyFont="1" applyFill="1" applyBorder="1" applyAlignment="1">
      <alignment horizontal="center" vertical="center" wrapText="1"/>
    </xf>
    <xf numFmtId="0" fontId="26" fillId="11" borderId="27" xfId="0" applyFont="1" applyFill="1" applyBorder="1" applyAlignment="1">
      <alignment horizontal="center" vertical="center"/>
    </xf>
    <xf numFmtId="176" fontId="26" fillId="14" borderId="4" xfId="0" applyNumberFormat="1" applyFont="1" applyFill="1" applyBorder="1" applyAlignment="1">
      <alignment horizontal="center" vertical="center" wrapText="1"/>
    </xf>
    <xf numFmtId="176" fontId="26" fillId="14" borderId="58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2" fillId="6" borderId="4" xfId="3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2" fillId="6" borderId="6" xfId="3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" fillId="6" borderId="15" xfId="3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4" fillId="0" borderId="19" xfId="0" applyFont="1" applyBorder="1" applyAlignment="1">
      <alignment horizontal="center" vertical="center"/>
    </xf>
    <xf numFmtId="0" fontId="11" fillId="2" borderId="12" xfId="4" applyFont="1" applyFill="1" applyBorder="1" applyAlignment="1">
      <alignment horizontal="center" vertical="center" shrinkToFit="1"/>
    </xf>
    <xf numFmtId="0" fontId="11" fillId="2" borderId="8" xfId="3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0" xfId="0" quotePrefix="1" applyFont="1" applyFill="1" applyBorder="1" applyAlignment="1">
      <alignment horizontal="center" vertical="center"/>
    </xf>
    <xf numFmtId="0" fontId="11" fillId="2" borderId="17" xfId="4" applyFont="1" applyFill="1" applyBorder="1" applyAlignment="1">
      <alignment horizontal="center" vertical="center" shrinkToFit="1"/>
    </xf>
    <xf numFmtId="0" fontId="4" fillId="0" borderId="22" xfId="0" quotePrefix="1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11" fillId="2" borderId="15" xfId="3" applyFont="1" applyFill="1" applyBorder="1" applyAlignment="1">
      <alignment horizontal="center" vertical="center"/>
    </xf>
    <xf numFmtId="0" fontId="4" fillId="15" borderId="30" xfId="0" quotePrefix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4" fillId="2" borderId="2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1" fillId="2" borderId="5" xfId="3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9" xfId="0" applyFont="1" applyBorder="1">
      <alignment vertical="center"/>
    </xf>
    <xf numFmtId="176" fontId="26" fillId="0" borderId="5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1" fontId="4" fillId="2" borderId="40" xfId="0" applyNumberFormat="1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1" fontId="4" fillId="0" borderId="41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0" fontId="4" fillId="11" borderId="30" xfId="0" quotePrefix="1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/>
    </xf>
    <xf numFmtId="0" fontId="2" fillId="6" borderId="17" xfId="3" applyFont="1" applyFill="1" applyBorder="1" applyAlignment="1">
      <alignment horizontal="center" vertical="center"/>
    </xf>
    <xf numFmtId="0" fontId="2" fillId="11" borderId="8" xfId="3" applyFont="1" applyFill="1" applyBorder="1" applyAlignment="1">
      <alignment horizontal="center" vertical="center"/>
    </xf>
    <xf numFmtId="176" fontId="26" fillId="16" borderId="5" xfId="0" applyNumberFormat="1" applyFont="1" applyFill="1" applyBorder="1" applyAlignment="1">
      <alignment horizontal="center" vertical="center" wrapText="1"/>
    </xf>
    <xf numFmtId="176" fontId="26" fillId="16" borderId="4" xfId="0" applyNumberFormat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/>
    </xf>
    <xf numFmtId="0" fontId="11" fillId="11" borderId="3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4" fillId="15" borderId="30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2" fillId="6" borderId="12" xfId="3" applyFont="1" applyFill="1" applyBorder="1" applyAlignment="1">
      <alignment horizontal="center" vertical="center"/>
    </xf>
    <xf numFmtId="0" fontId="11" fillId="2" borderId="6" xfId="3" applyFont="1" applyFill="1" applyBorder="1" applyAlignment="1">
      <alignment horizontal="center" vertical="center"/>
    </xf>
    <xf numFmtId="0" fontId="11" fillId="2" borderId="12" xfId="3" applyFont="1" applyFill="1" applyBorder="1" applyAlignment="1">
      <alignment horizontal="center" vertical="center"/>
    </xf>
    <xf numFmtId="0" fontId="11" fillId="2" borderId="13" xfId="3" applyFont="1" applyFill="1" applyBorder="1" applyAlignment="1">
      <alignment horizontal="center" vertical="center"/>
    </xf>
    <xf numFmtId="0" fontId="11" fillId="2" borderId="17" xfId="3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9" borderId="40" xfId="0" applyFont="1" applyFill="1" applyBorder="1" applyAlignment="1">
      <alignment horizontal="center" vertical="center"/>
    </xf>
    <xf numFmtId="0" fontId="11" fillId="9" borderId="79" xfId="0" applyFont="1" applyFill="1" applyBorder="1" applyAlignment="1">
      <alignment horizontal="center" vertical="center"/>
    </xf>
    <xf numFmtId="0" fontId="11" fillId="9" borderId="81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7" xfId="4" applyFont="1" applyBorder="1" applyAlignment="1">
      <alignment horizontal="center" vertical="center" shrinkToFit="1"/>
    </xf>
    <xf numFmtId="0" fontId="11" fillId="2" borderId="27" xfId="4" applyFont="1" applyFill="1" applyBorder="1" applyAlignment="1">
      <alignment horizontal="center" vertical="center" shrinkToFit="1"/>
    </xf>
    <xf numFmtId="0" fontId="11" fillId="0" borderId="26" xfId="4" applyFont="1" applyBorder="1" applyAlignment="1">
      <alignment horizontal="center" vertical="center" shrinkToFit="1"/>
    </xf>
    <xf numFmtId="0" fontId="11" fillId="0" borderId="78" xfId="4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1" fillId="0" borderId="15" xfId="4" applyFont="1" applyFill="1" applyBorder="1" applyAlignment="1">
      <alignment horizontal="center" vertical="center" shrinkToFit="1"/>
    </xf>
    <xf numFmtId="0" fontId="17" fillId="9" borderId="17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2" fontId="2" fillId="17" borderId="8" xfId="0" applyNumberFormat="1" applyFont="1" applyFill="1" applyBorder="1" applyAlignment="1">
      <alignment horizontal="center" vertical="center" wrapText="1"/>
    </xf>
    <xf numFmtId="1" fontId="4" fillId="0" borderId="37" xfId="0" applyNumberFormat="1" applyFont="1" applyBorder="1" applyAlignment="1">
      <alignment horizontal="center" vertical="center"/>
    </xf>
    <xf numFmtId="1" fontId="11" fillId="0" borderId="41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2" borderId="22" xfId="0" quotePrefix="1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177" fontId="26" fillId="2" borderId="26" xfId="0" applyNumberFormat="1" applyFont="1" applyFill="1" applyBorder="1" applyAlignment="1">
      <alignment horizontal="center" vertical="center"/>
    </xf>
    <xf numFmtId="177" fontId="11" fillId="2" borderId="20" xfId="0" applyNumberFormat="1" applyFont="1" applyFill="1" applyBorder="1" applyAlignment="1">
      <alignment horizontal="center" vertical="center"/>
    </xf>
    <xf numFmtId="0" fontId="26" fillId="2" borderId="24" xfId="0" applyFont="1" applyFill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11" borderId="85" xfId="0" applyFont="1" applyFill="1" applyBorder="1" applyAlignment="1">
      <alignment horizontal="center" vertical="center"/>
    </xf>
    <xf numFmtId="0" fontId="11" fillId="15" borderId="22" xfId="0" applyFont="1" applyFill="1" applyBorder="1" applyAlignment="1">
      <alignment horizontal="center" vertical="center"/>
    </xf>
    <xf numFmtId="0" fontId="11" fillId="0" borderId="84" xfId="0" quotePrefix="1" applyFont="1" applyBorder="1" applyAlignment="1">
      <alignment horizontal="center" vertical="center"/>
    </xf>
    <xf numFmtId="0" fontId="11" fillId="0" borderId="85" xfId="0" quotePrefix="1" applyFont="1" applyBorder="1" applyAlignment="1">
      <alignment horizontal="center" vertical="center"/>
    </xf>
    <xf numFmtId="0" fontId="11" fillId="15" borderId="30" xfId="0" quotePrefix="1" applyFont="1" applyFill="1" applyBorder="1" applyAlignment="1">
      <alignment horizontal="center" vertical="center"/>
    </xf>
    <xf numFmtId="0" fontId="11" fillId="15" borderId="22" xfId="0" quotePrefix="1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176" fontId="25" fillId="14" borderId="4" xfId="0" applyNumberFormat="1" applyFont="1" applyFill="1" applyBorder="1" applyAlignment="1">
      <alignment horizontal="center" vertical="center" wrapText="1"/>
    </xf>
    <xf numFmtId="0" fontId="25" fillId="14" borderId="13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11" borderId="72" xfId="0" applyFont="1" applyFill="1" applyBorder="1" applyAlignment="1">
      <alignment horizontal="center" vertical="center"/>
    </xf>
    <xf numFmtId="0" fontId="11" fillId="15" borderId="19" xfId="0" quotePrefix="1" applyFont="1" applyFill="1" applyBorder="1" applyAlignment="1">
      <alignment horizontal="center" vertical="center"/>
    </xf>
    <xf numFmtId="0" fontId="11" fillId="0" borderId="30" xfId="0" quotePrefix="1" applyFont="1" applyBorder="1" applyAlignment="1">
      <alignment horizontal="center" vertical="center"/>
    </xf>
    <xf numFmtId="0" fontId="11" fillId="11" borderId="30" xfId="0" quotePrefix="1" applyFont="1" applyFill="1" applyBorder="1" applyAlignment="1">
      <alignment horizontal="center" vertical="center"/>
    </xf>
    <xf numFmtId="0" fontId="11" fillId="2" borderId="30" xfId="0" quotePrefix="1" applyFont="1" applyFill="1" applyBorder="1" applyAlignment="1">
      <alignment horizontal="center" vertical="center"/>
    </xf>
    <xf numFmtId="0" fontId="11" fillId="0" borderId="22" xfId="0" quotePrefix="1" applyFont="1" applyBorder="1" applyAlignment="1">
      <alignment horizontal="center" vertical="center"/>
    </xf>
    <xf numFmtId="0" fontId="4" fillId="15" borderId="32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26" fillId="16" borderId="13" xfId="0" applyNumberFormat="1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26" fillId="11" borderId="15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4" fillId="15" borderId="19" xfId="0" quotePrefix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1" fontId="1" fillId="0" borderId="37" xfId="0" applyNumberFormat="1" applyFont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0" fontId="11" fillId="19" borderId="19" xfId="0" applyFont="1" applyFill="1" applyBorder="1" applyAlignment="1">
      <alignment horizontal="center" vertical="center"/>
    </xf>
    <xf numFmtId="0" fontId="11" fillId="19" borderId="30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 wrapText="1"/>
    </xf>
    <xf numFmtId="1" fontId="1" fillId="0" borderId="59" xfId="0" applyNumberFormat="1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3" fillId="12" borderId="11" xfId="0" applyFont="1" applyFill="1" applyBorder="1" applyAlignment="1">
      <alignment horizontal="center" vertical="center"/>
    </xf>
    <xf numFmtId="0" fontId="23" fillId="12" borderId="33" xfId="0" applyFont="1" applyFill="1" applyBorder="1" applyAlignment="1">
      <alignment horizontal="center" vertical="center"/>
    </xf>
    <xf numFmtId="0" fontId="23" fillId="12" borderId="31" xfId="0" applyFont="1" applyFill="1" applyBorder="1" applyAlignment="1">
      <alignment horizontal="center" vertical="center"/>
    </xf>
    <xf numFmtId="0" fontId="2" fillId="18" borderId="8" xfId="3" applyFont="1" applyFill="1" applyBorder="1" applyAlignment="1">
      <alignment horizontal="center" vertical="center"/>
    </xf>
    <xf numFmtId="0" fontId="11" fillId="9" borderId="60" xfId="0" applyFont="1" applyFill="1" applyBorder="1" applyAlignment="1">
      <alignment horizontal="center" vertical="center" wrapText="1"/>
    </xf>
    <xf numFmtId="0" fontId="11" fillId="9" borderId="82" xfId="0" applyFont="1" applyFill="1" applyBorder="1" applyAlignment="1">
      <alignment horizontal="center" vertical="center" wrapText="1"/>
    </xf>
    <xf numFmtId="0" fontId="11" fillId="2" borderId="18" xfId="0" applyFont="1" applyFill="1" applyBorder="1">
      <alignment vertical="center"/>
    </xf>
    <xf numFmtId="0" fontId="11" fillId="2" borderId="32" xfId="0" applyFont="1" applyFill="1" applyBorder="1">
      <alignment vertical="center"/>
    </xf>
    <xf numFmtId="0" fontId="11" fillId="2" borderId="40" xfId="0" applyFont="1" applyFill="1" applyBorder="1">
      <alignment vertical="center"/>
    </xf>
    <xf numFmtId="0" fontId="11" fillId="4" borderId="29" xfId="0" applyFont="1" applyFill="1" applyBorder="1">
      <alignment vertical="center"/>
    </xf>
    <xf numFmtId="0" fontId="11" fillId="4" borderId="33" xfId="0" applyFont="1" applyFill="1" applyBorder="1">
      <alignment vertical="center"/>
    </xf>
    <xf numFmtId="0" fontId="11" fillId="4" borderId="41" xfId="0" applyFont="1" applyFill="1" applyBorder="1">
      <alignment vertical="center"/>
    </xf>
    <xf numFmtId="0" fontId="26" fillId="2" borderId="21" xfId="0" applyFont="1" applyFill="1" applyBorder="1">
      <alignment vertical="center"/>
    </xf>
    <xf numFmtId="0" fontId="26" fillId="2" borderId="2" xfId="0" applyFont="1" applyFill="1" applyBorder="1">
      <alignment vertical="center"/>
    </xf>
    <xf numFmtId="0" fontId="26" fillId="2" borderId="42" xfId="0" applyFont="1" applyFill="1" applyBorder="1">
      <alignment vertical="center"/>
    </xf>
    <xf numFmtId="176" fontId="11" fillId="0" borderId="89" xfId="0" applyNumberFormat="1" applyFont="1" applyBorder="1" applyAlignment="1">
      <alignment horizontal="center" vertical="center" wrapText="1"/>
    </xf>
    <xf numFmtId="176" fontId="11" fillId="0" borderId="90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left" vertical="center"/>
    </xf>
    <xf numFmtId="0" fontId="11" fillId="4" borderId="33" xfId="0" applyFont="1" applyFill="1" applyBorder="1" applyAlignment="1">
      <alignment horizontal="left" vertical="center"/>
    </xf>
    <xf numFmtId="0" fontId="11" fillId="4" borderId="41" xfId="0" applyFont="1" applyFill="1" applyBorder="1" applyAlignment="1">
      <alignment horizontal="left" vertical="center"/>
    </xf>
    <xf numFmtId="0" fontId="26" fillId="2" borderId="21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6" fillId="2" borderId="42" xfId="0" applyFont="1" applyFill="1" applyBorder="1" applyAlignment="1">
      <alignment horizontal="left" vertical="center"/>
    </xf>
    <xf numFmtId="0" fontId="11" fillId="5" borderId="74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7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2" borderId="18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11" fillId="2" borderId="40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1" fillId="0" borderId="60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42" xfId="0" applyFont="1" applyFill="1" applyBorder="1">
      <alignment vertical="center"/>
    </xf>
    <xf numFmtId="0" fontId="2" fillId="2" borderId="18" xfId="0" applyFont="1" applyFill="1" applyBorder="1">
      <alignment vertical="center"/>
    </xf>
    <xf numFmtId="0" fontId="2" fillId="2" borderId="32" xfId="0" applyFont="1" applyFill="1" applyBorder="1">
      <alignment vertical="center"/>
    </xf>
    <xf numFmtId="0" fontId="2" fillId="2" borderId="40" xfId="0" applyFont="1" applyFill="1" applyBorder="1">
      <alignment vertical="center"/>
    </xf>
    <xf numFmtId="0" fontId="2" fillId="4" borderId="29" xfId="0" applyFont="1" applyFill="1" applyBorder="1">
      <alignment vertical="center"/>
    </xf>
    <xf numFmtId="0" fontId="2" fillId="4" borderId="33" xfId="0" applyFont="1" applyFill="1" applyBorder="1">
      <alignment vertical="center"/>
    </xf>
    <xf numFmtId="0" fontId="2" fillId="4" borderId="41" xfId="0" applyFont="1" applyFill="1" applyBorder="1">
      <alignment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4" fillId="0" borderId="19" xfId="0" applyNumberFormat="1" applyFont="1" applyBorder="1" applyAlignment="1">
      <alignment horizontal="center"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8" borderId="5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2" fillId="2" borderId="46" xfId="0" applyFont="1" applyFill="1" applyBorder="1">
      <alignment vertical="center"/>
    </xf>
    <xf numFmtId="0" fontId="2" fillId="2" borderId="47" xfId="0" applyFont="1" applyFill="1" applyBorder="1">
      <alignment vertical="center"/>
    </xf>
    <xf numFmtId="0" fontId="2" fillId="2" borderId="48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left" vertical="center"/>
    </xf>
    <xf numFmtId="0" fontId="2" fillId="4" borderId="29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left" vertical="center"/>
    </xf>
    <xf numFmtId="0" fontId="2" fillId="4" borderId="41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4" fillId="0" borderId="32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</cellXfs>
  <cellStyles count="5">
    <cellStyle name="Normal 2 2" xfId="3" xr:uid="{00000000-0005-0000-0000-000005000000}"/>
    <cellStyle name="常规" xfId="0" builtinId="0"/>
    <cellStyle name="說明文字" xfId="4" xr:uid="{00000000-0005-0000-0000-000009000000}"/>
    <cellStyle name="一般 10" xfId="2" xr:uid="{00000000-0005-0000-0000-000004000000}"/>
    <cellStyle name="一般 5" xfId="1" xr:uid="{00000000-0005-0000-0000-000003000000}"/>
  </cellStyles>
  <dxfs count="2497">
    <dxf>
      <font>
        <color indexed="22"/>
      </font>
    </dxf>
    <dxf>
      <font>
        <color indexed="22"/>
      </font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rgb="FFCCCCFF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CCCCF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CCCCFF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1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ill>
        <patternFill>
          <fgColor indexed="10"/>
          <bgColor indexed="9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66FFFF"/>
        </patternFill>
      </fill>
    </dxf>
    <dxf>
      <fill>
        <patternFill>
          <bgColor theme="4" tint="0.79998168889431442"/>
        </patternFill>
      </fill>
    </dxf>
    <dxf>
      <fill>
        <patternFill>
          <bgColor rgb="FF66FFFF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indexed="22"/>
      </font>
    </dxf>
    <dxf>
      <font>
        <color indexed="22"/>
      </font>
    </dxf>
    <dxf>
      <fill>
        <patternFill>
          <fgColor indexed="10"/>
          <bgColor indexed="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51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7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7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fgColor indexed="10"/>
          <bgColor indexed="5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CCCCF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CCCCFF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5"/>
        </patternFill>
      </fill>
    </dxf>
    <dxf>
      <fill>
        <patternFill>
          <fgColor indexed="10"/>
          <bgColor indexed="51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6" tint="0.39994506668294322"/>
        </patternFill>
      </fill>
    </dxf>
    <dxf>
      <fill>
        <patternFill>
          <fgColor indexed="10"/>
          <bgColor indexed="51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ill>
        <patternFill>
          <fgColor indexed="10"/>
          <bgColor indexed="9"/>
        </patternFill>
      </fill>
    </dxf>
  </dxfs>
  <tableStyles count="0" defaultTableStyle="TableStyleMedium2" defaultPivotStyle="PivotStyleLight16"/>
  <colors>
    <mruColors>
      <color rgb="FFCCCCFF"/>
      <color rgb="FF66FFFF"/>
      <color rgb="FFFFFF99"/>
      <color rgb="FFFF7C80"/>
      <color rgb="FFFF5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429985</xdr:colOff>
      <xdr:row>0</xdr:row>
      <xdr:rowOff>190500</xdr:rowOff>
    </xdr:from>
    <xdr:to>
      <xdr:col>3</xdr:col>
      <xdr:colOff>1441</xdr:colOff>
      <xdr:row>2</xdr:row>
      <xdr:rowOff>173038</xdr:rowOff>
    </xdr:to>
    <xdr:pic>
      <xdr:nvPicPr>
        <xdr:cNvPr id="2051" name="圖片 3">
          <a:extLst>
            <a:ext uri="{FF2B5EF4-FFF2-40B4-BE49-F238E27FC236}">
              <a16:creationId xmlns:a16="http://schemas.microsoft.com/office/drawing/2014/main" id="{8B90BBCF-51D7-8C0D-A8B9-CDA9467B6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9" y="190500"/>
          <a:ext cx="1439636" cy="744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431345</xdr:colOff>
      <xdr:row>2</xdr:row>
      <xdr:rowOff>255587</xdr:rowOff>
    </xdr:from>
    <xdr:to>
      <xdr:col>2</xdr:col>
      <xdr:colOff>802821</xdr:colOff>
      <xdr:row>3</xdr:row>
      <xdr:rowOff>244929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D4B2D8B5-E0FA-F2D5-0F79-90E5E8531F76}"/>
            </a:ext>
          </a:extLst>
        </xdr:cNvPr>
        <xdr:cNvSpPr txBox="1"/>
      </xdr:nvSpPr>
      <xdr:spPr>
        <a:xfrm>
          <a:off x="553809" y="1017587"/>
          <a:ext cx="1051833" cy="3703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>
              <a:latin typeface="Microsoft JhengHei UI" panose="020B0604030504040204" pitchFamily="34" charset="-120"/>
              <a:ea typeface="Microsoft JhengHei UI" panose="020B0604030504040204" pitchFamily="34" charset="-120"/>
            </a:rPr>
            <a:t>(C - 352108)</a:t>
          </a:r>
          <a:endParaRPr lang="zh-TW" altLang="en-US" sz="1100" b="1">
            <a:latin typeface="Microsoft JhengHei UI" panose="020B0604030504040204" pitchFamily="34" charset="-120"/>
            <a:ea typeface="Microsoft JhengHei UI" panose="020B0604030504040204" pitchFamily="34" charset="-12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581024</xdr:colOff>
      <xdr:row>2</xdr:row>
      <xdr:rowOff>255587</xdr:rowOff>
    </xdr:from>
    <xdr:to>
      <xdr:col>2</xdr:col>
      <xdr:colOff>952500</xdr:colOff>
      <xdr:row>4</xdr:row>
      <xdr:rowOff>35719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6B4B49B-502C-406D-93AD-D5A7CFE8AD8E}"/>
            </a:ext>
          </a:extLst>
        </xdr:cNvPr>
        <xdr:cNvSpPr txBox="1"/>
      </xdr:nvSpPr>
      <xdr:spPr>
        <a:xfrm>
          <a:off x="698499" y="811212"/>
          <a:ext cx="996951" cy="329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>
              <a:latin typeface="Microsoft JhengHei UI" panose="020B0604030504040204" pitchFamily="34" charset="-120"/>
              <a:ea typeface="Microsoft JhengHei UI" panose="020B0604030504040204" pitchFamily="34" charset="-120"/>
            </a:rPr>
            <a:t>(C - 352108)</a:t>
          </a:r>
          <a:endParaRPr lang="zh-TW" altLang="en-US" sz="1100" b="1">
            <a:latin typeface="Microsoft JhengHei UI" panose="020B0604030504040204" pitchFamily="34" charset="-120"/>
            <a:ea typeface="Microsoft JhengHei UI" panose="020B0604030504040204" pitchFamily="34" charset="-120"/>
          </a:endParaRPr>
        </a:p>
      </xdr:txBody>
    </xdr:sp>
    <xdr:clientData/>
  </xdr:twoCellAnchor>
  <xdr:twoCellAnchor editAs="oneCell">
    <xdr:from>
      <xdr:col>1</xdr:col>
      <xdr:colOff>642937</xdr:colOff>
      <xdr:row>0</xdr:row>
      <xdr:rowOff>47626</xdr:rowOff>
    </xdr:from>
    <xdr:to>
      <xdr:col>3</xdr:col>
      <xdr:colOff>198437</xdr:colOff>
      <xdr:row>2</xdr:row>
      <xdr:rowOff>80964</xdr:rowOff>
    </xdr:to>
    <xdr:pic>
      <xdr:nvPicPr>
        <xdr:cNvPr id="2" name="圖片 3">
          <a:extLst>
            <a:ext uri="{FF2B5EF4-FFF2-40B4-BE49-F238E27FC236}">
              <a16:creationId xmlns:a16="http://schemas.microsoft.com/office/drawing/2014/main" id="{6A3DBF40-99FF-4998-A637-585E2A5B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6"/>
          <a:ext cx="1443037" cy="747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581024</xdr:colOff>
      <xdr:row>2</xdr:row>
      <xdr:rowOff>255587</xdr:rowOff>
    </xdr:from>
    <xdr:to>
      <xdr:col>2</xdr:col>
      <xdr:colOff>952500</xdr:colOff>
      <xdr:row>4</xdr:row>
      <xdr:rowOff>35719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CF7DB816-34B8-4AFB-847C-9F995544962D}"/>
            </a:ext>
          </a:extLst>
        </xdr:cNvPr>
        <xdr:cNvSpPr txBox="1"/>
      </xdr:nvSpPr>
      <xdr:spPr>
        <a:xfrm>
          <a:off x="698499" y="811212"/>
          <a:ext cx="996951" cy="3294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>
              <a:latin typeface="Microsoft JhengHei UI" panose="020B0604030504040204" pitchFamily="34" charset="-120"/>
              <a:ea typeface="Microsoft JhengHei UI" panose="020B0604030504040204" pitchFamily="34" charset="-120"/>
            </a:rPr>
            <a:t>(C - 352108)</a:t>
          </a:r>
          <a:endParaRPr lang="zh-TW" altLang="en-US" sz="1100" b="1">
            <a:latin typeface="Microsoft JhengHei UI" panose="020B0604030504040204" pitchFamily="34" charset="-120"/>
            <a:ea typeface="Microsoft JhengHei UI" panose="020B0604030504040204" pitchFamily="34" charset="-120"/>
          </a:endParaRPr>
        </a:p>
      </xdr:txBody>
    </xdr:sp>
    <xdr:clientData/>
  </xdr:twoCellAnchor>
  <xdr:twoCellAnchor editAs="oneCell">
    <xdr:from>
      <xdr:col>1</xdr:col>
      <xdr:colOff>616324</xdr:colOff>
      <xdr:row>0</xdr:row>
      <xdr:rowOff>112058</xdr:rowOff>
    </xdr:from>
    <xdr:to>
      <xdr:col>2</xdr:col>
      <xdr:colOff>1378977</xdr:colOff>
      <xdr:row>3</xdr:row>
      <xdr:rowOff>19330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F76CA70-2EED-4916-876E-5106850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89" y="112058"/>
          <a:ext cx="1443037" cy="747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167"/>
  <sheetViews>
    <sheetView view="pageBreakPreview" zoomScale="80" zoomScaleNormal="80" zoomScaleSheetLayoutView="80" workbookViewId="0">
      <selection activeCell="AN61" sqref="AN61:AO70"/>
    </sheetView>
  </sheetViews>
  <sheetFormatPr defaultColWidth="9" defaultRowHeight="15" outlineLevelCol="1"/>
  <cols>
    <col min="1" max="1" width="1.625" style="3" customWidth="1"/>
    <col min="2" max="2" width="9" style="3" customWidth="1"/>
    <col min="3" max="4" width="15.625" style="40" customWidth="1"/>
    <col min="5" max="7" width="6.625" style="40" hidden="1" customWidth="1" outlineLevel="1"/>
    <col min="8" max="8" width="6.625" style="3" customWidth="1" collapsed="1"/>
    <col min="9" max="17" width="6.625" style="3" customWidth="1"/>
    <col min="18" max="18" width="6.625" style="85" customWidth="1"/>
    <col min="19" max="31" width="6.625" style="3" customWidth="1"/>
    <col min="32" max="32" width="6.625" style="107" customWidth="1"/>
    <col min="33" max="34" width="6.625" style="3" customWidth="1"/>
    <col min="35" max="35" width="7" style="3" customWidth="1"/>
    <col min="36" max="39" width="6.625" style="3" customWidth="1"/>
    <col min="40" max="40" width="9.625" style="40" customWidth="1"/>
    <col min="41" max="41" width="14" style="40" customWidth="1"/>
    <col min="42" max="42" width="9" style="40" customWidth="1" outlineLevel="1"/>
    <col min="43" max="44" width="7.5" style="40" customWidth="1" outlineLevel="1"/>
    <col min="45" max="46" width="9" style="40" customWidth="1" outlineLevel="1"/>
    <col min="47" max="47" width="6.125" style="40" customWidth="1"/>
    <col min="48" max="48" width="5.5" style="40" customWidth="1"/>
    <col min="49" max="49" width="5.25" style="78" customWidth="1"/>
    <col min="50" max="50" width="3.625" style="40" customWidth="1"/>
    <col min="51" max="54" width="3.625" style="3" customWidth="1"/>
    <col min="55" max="55" width="5.75" style="40" customWidth="1" outlineLevel="1"/>
    <col min="56" max="56" width="6.625" style="3" customWidth="1"/>
    <col min="57" max="16384" width="9" style="3"/>
  </cols>
  <sheetData>
    <row r="1" spans="2:55" ht="30" customHeight="1">
      <c r="B1" s="460" t="s">
        <v>375</v>
      </c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0"/>
      <c r="AA1" s="460"/>
      <c r="AB1" s="460"/>
      <c r="AC1" s="460"/>
      <c r="AD1" s="460"/>
      <c r="AE1" s="460"/>
      <c r="AF1" s="460"/>
      <c r="AG1" s="460"/>
      <c r="AH1" s="460"/>
      <c r="AI1" s="460"/>
      <c r="AJ1" s="460"/>
      <c r="AK1" s="460"/>
      <c r="AL1" s="460"/>
      <c r="AM1" s="460"/>
      <c r="AN1" s="460"/>
      <c r="AO1" s="460"/>
      <c r="AP1" s="56"/>
      <c r="AQ1" s="56"/>
      <c r="AR1" s="56"/>
      <c r="AS1" s="56"/>
      <c r="AT1" s="56"/>
    </row>
    <row r="2" spans="2:55" ht="30" customHeight="1">
      <c r="B2" s="460" t="s">
        <v>5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60"/>
      <c r="AA2" s="460"/>
      <c r="AB2" s="460"/>
      <c r="AC2" s="460"/>
      <c r="AD2" s="460"/>
      <c r="AE2" s="460"/>
      <c r="AF2" s="460"/>
      <c r="AG2" s="460"/>
      <c r="AH2" s="460"/>
      <c r="AI2" s="460"/>
      <c r="AJ2" s="460"/>
      <c r="AK2" s="460"/>
      <c r="AL2" s="460"/>
      <c r="AM2" s="460"/>
      <c r="AN2" s="460"/>
      <c r="AO2" s="460"/>
      <c r="AP2" s="56"/>
      <c r="AQ2" s="56"/>
      <c r="AR2" s="56"/>
      <c r="AS2" s="56"/>
      <c r="AT2" s="56"/>
    </row>
    <row r="3" spans="2:55" ht="30" customHeight="1">
      <c r="B3" s="460" t="str">
        <f>YEAR(I6)&amp;"年"&amp;MONTH(I6)&amp;"月保安出勤及休假記錄  (早更 07:00 - 15:00)"</f>
        <v>2026年3月保安出勤及休假記錄  (早更 07:00 - 15:00)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60"/>
      <c r="AD3" s="460"/>
      <c r="AE3" s="460"/>
      <c r="AF3" s="460"/>
      <c r="AG3" s="460"/>
      <c r="AH3" s="460"/>
      <c r="AI3" s="460"/>
      <c r="AJ3" s="460"/>
      <c r="AK3" s="460"/>
      <c r="AL3" s="460"/>
      <c r="AM3" s="460"/>
      <c r="AN3" s="460"/>
      <c r="AO3" s="460"/>
      <c r="AP3" s="56"/>
      <c r="AQ3" s="56"/>
      <c r="AR3" s="56"/>
      <c r="AS3" s="56"/>
      <c r="AT3" s="56"/>
    </row>
    <row r="4" spans="2:55" ht="30" customHeight="1">
      <c r="B4" s="464" t="s">
        <v>374</v>
      </c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  <c r="AM4" s="464"/>
      <c r="AN4" s="464"/>
      <c r="AO4" s="464"/>
      <c r="AP4" s="57"/>
      <c r="AQ4" s="57"/>
      <c r="AR4" s="57"/>
      <c r="AS4" s="57"/>
      <c r="AT4" s="57"/>
    </row>
    <row r="5" spans="2:55" ht="30" customHeight="1" thickBot="1">
      <c r="B5" s="6" t="s">
        <v>6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</row>
    <row r="6" spans="2:55" s="192" customFormat="1" ht="36.75" customHeight="1">
      <c r="B6" s="130"/>
      <c r="C6" s="330"/>
      <c r="D6" s="330"/>
      <c r="E6" s="131"/>
      <c r="F6" s="62"/>
      <c r="G6" s="132"/>
      <c r="H6" s="130"/>
      <c r="I6" s="388">
        <v>46082</v>
      </c>
      <c r="J6" s="133">
        <f>I6+1</f>
        <v>46083</v>
      </c>
      <c r="K6" s="133">
        <f t="shared" ref="K6" si="0">J6+1</f>
        <v>46084</v>
      </c>
      <c r="L6" s="212">
        <f t="shared" ref="L6:AM6" si="1">K6+1</f>
        <v>46085</v>
      </c>
      <c r="M6" s="133">
        <f t="shared" si="1"/>
        <v>46086</v>
      </c>
      <c r="N6" s="133">
        <f t="shared" si="1"/>
        <v>46087</v>
      </c>
      <c r="O6" s="133">
        <f t="shared" si="1"/>
        <v>46088</v>
      </c>
      <c r="P6" s="133">
        <f t="shared" si="1"/>
        <v>46089</v>
      </c>
      <c r="Q6" s="133">
        <f t="shared" si="1"/>
        <v>46090</v>
      </c>
      <c r="R6" s="133">
        <f t="shared" si="1"/>
        <v>46091</v>
      </c>
      <c r="S6" s="212">
        <f t="shared" si="1"/>
        <v>46092</v>
      </c>
      <c r="T6" s="133">
        <f t="shared" si="1"/>
        <v>46093</v>
      </c>
      <c r="U6" s="133">
        <f t="shared" si="1"/>
        <v>46094</v>
      </c>
      <c r="V6" s="133">
        <f t="shared" si="1"/>
        <v>46095</v>
      </c>
      <c r="W6" s="133">
        <f t="shared" si="1"/>
        <v>46096</v>
      </c>
      <c r="X6" s="133">
        <f t="shared" si="1"/>
        <v>46097</v>
      </c>
      <c r="Y6" s="133">
        <f t="shared" si="1"/>
        <v>46098</v>
      </c>
      <c r="Z6" s="212">
        <f t="shared" si="1"/>
        <v>46099</v>
      </c>
      <c r="AA6" s="133">
        <f t="shared" si="1"/>
        <v>46100</v>
      </c>
      <c r="AB6" s="133">
        <f t="shared" si="1"/>
        <v>46101</v>
      </c>
      <c r="AC6" s="133">
        <f t="shared" si="1"/>
        <v>46102</v>
      </c>
      <c r="AD6" s="133">
        <f t="shared" si="1"/>
        <v>46103</v>
      </c>
      <c r="AE6" s="133">
        <f t="shared" si="1"/>
        <v>46104</v>
      </c>
      <c r="AF6" s="133">
        <f t="shared" si="1"/>
        <v>46105</v>
      </c>
      <c r="AG6" s="212">
        <f t="shared" si="1"/>
        <v>46106</v>
      </c>
      <c r="AH6" s="133">
        <f t="shared" si="1"/>
        <v>46107</v>
      </c>
      <c r="AI6" s="133">
        <f t="shared" si="1"/>
        <v>46108</v>
      </c>
      <c r="AJ6" s="133">
        <f t="shared" si="1"/>
        <v>46109</v>
      </c>
      <c r="AK6" s="133">
        <f t="shared" si="1"/>
        <v>46110</v>
      </c>
      <c r="AL6" s="133">
        <f t="shared" si="1"/>
        <v>46111</v>
      </c>
      <c r="AM6" s="134">
        <f t="shared" si="1"/>
        <v>46112</v>
      </c>
      <c r="AN6" s="446" t="s">
        <v>7</v>
      </c>
      <c r="AO6" s="448" t="s">
        <v>8</v>
      </c>
      <c r="AP6" s="98" t="s">
        <v>0</v>
      </c>
      <c r="AQ6" s="62" t="s">
        <v>9</v>
      </c>
      <c r="AR6" s="62" t="s">
        <v>10</v>
      </c>
      <c r="AS6" s="62" t="s">
        <v>11</v>
      </c>
      <c r="AT6" s="213" t="s">
        <v>12</v>
      </c>
      <c r="AU6" s="214" t="s">
        <v>9</v>
      </c>
      <c r="AV6" s="59" t="s">
        <v>9</v>
      </c>
      <c r="AW6" s="70" t="s">
        <v>13</v>
      </c>
      <c r="AX6" s="59" t="s">
        <v>0</v>
      </c>
      <c r="AY6" s="62" t="s">
        <v>11</v>
      </c>
      <c r="AZ6" s="99" t="s">
        <v>10</v>
      </c>
      <c r="BA6" s="59" t="s">
        <v>12</v>
      </c>
      <c r="BB6" s="71" t="s">
        <v>14</v>
      </c>
      <c r="BC6" s="435" t="s">
        <v>15</v>
      </c>
    </row>
    <row r="7" spans="2:55" s="192" customFormat="1" ht="36.75" customHeight="1" thickBot="1">
      <c r="B7" s="135" t="s">
        <v>16</v>
      </c>
      <c r="C7" s="393" t="s">
        <v>17</v>
      </c>
      <c r="D7" s="135" t="s">
        <v>18</v>
      </c>
      <c r="E7" s="136" t="s">
        <v>19</v>
      </c>
      <c r="F7" s="137" t="s">
        <v>20</v>
      </c>
      <c r="G7" s="138" t="s">
        <v>21</v>
      </c>
      <c r="H7" s="135" t="s">
        <v>22</v>
      </c>
      <c r="I7" s="389" t="str">
        <f t="shared" ref="I7" si="2">SUBSTITUTE(TEXT(I6,"aaa"),"週","")</f>
        <v>日</v>
      </c>
      <c r="J7" s="390" t="str">
        <f t="shared" ref="J7:AL7" si="3">SUBSTITUTE(TEXT(J6,"aaa"),"週","")</f>
        <v>一</v>
      </c>
      <c r="K7" s="390" t="str">
        <f t="shared" si="3"/>
        <v>二</v>
      </c>
      <c r="L7" s="391" t="str">
        <f t="shared" si="3"/>
        <v>三</v>
      </c>
      <c r="M7" s="390" t="str">
        <f t="shared" si="3"/>
        <v>四</v>
      </c>
      <c r="N7" s="390" t="str">
        <f t="shared" si="3"/>
        <v>五</v>
      </c>
      <c r="O7" s="390" t="str">
        <f t="shared" si="3"/>
        <v>六</v>
      </c>
      <c r="P7" s="390" t="str">
        <f t="shared" si="3"/>
        <v>日</v>
      </c>
      <c r="Q7" s="390" t="str">
        <f t="shared" si="3"/>
        <v>一</v>
      </c>
      <c r="R7" s="390" t="str">
        <f t="shared" si="3"/>
        <v>二</v>
      </c>
      <c r="S7" s="391" t="str">
        <f t="shared" si="3"/>
        <v>三</v>
      </c>
      <c r="T7" s="390" t="str">
        <f t="shared" si="3"/>
        <v>四</v>
      </c>
      <c r="U7" s="390" t="str">
        <f t="shared" si="3"/>
        <v>五</v>
      </c>
      <c r="V7" s="390" t="str">
        <f t="shared" si="3"/>
        <v>六</v>
      </c>
      <c r="W7" s="390" t="str">
        <f t="shared" si="3"/>
        <v>日</v>
      </c>
      <c r="X7" s="390" t="str">
        <f t="shared" si="3"/>
        <v>一</v>
      </c>
      <c r="Y7" s="390" t="str">
        <f t="shared" si="3"/>
        <v>二</v>
      </c>
      <c r="Z7" s="391" t="str">
        <f t="shared" si="3"/>
        <v>三</v>
      </c>
      <c r="AA7" s="390" t="str">
        <f t="shared" si="3"/>
        <v>四</v>
      </c>
      <c r="AB7" s="390" t="str">
        <f t="shared" si="3"/>
        <v>五</v>
      </c>
      <c r="AC7" s="390" t="str">
        <f t="shared" si="3"/>
        <v>六</v>
      </c>
      <c r="AD7" s="390" t="str">
        <f t="shared" si="3"/>
        <v>日</v>
      </c>
      <c r="AE7" s="390" t="str">
        <f t="shared" si="3"/>
        <v>一</v>
      </c>
      <c r="AF7" s="390" t="str">
        <f t="shared" si="3"/>
        <v>二</v>
      </c>
      <c r="AG7" s="391" t="str">
        <f t="shared" si="3"/>
        <v>三</v>
      </c>
      <c r="AH7" s="390" t="str">
        <f t="shared" si="3"/>
        <v>四</v>
      </c>
      <c r="AI7" s="390" t="str">
        <f t="shared" si="3"/>
        <v>五</v>
      </c>
      <c r="AJ7" s="390" t="str">
        <f t="shared" si="3"/>
        <v>六</v>
      </c>
      <c r="AK7" s="390" t="str">
        <f t="shared" si="3"/>
        <v>日</v>
      </c>
      <c r="AL7" s="390" t="str">
        <f t="shared" si="3"/>
        <v>一</v>
      </c>
      <c r="AM7" s="392" t="str">
        <f t="shared" ref="AM7" si="4">SUBSTITUTE(TEXT(AM6,"aaa"),"週","")</f>
        <v>二</v>
      </c>
      <c r="AN7" s="447"/>
      <c r="AO7" s="449"/>
      <c r="AP7" s="215" t="s">
        <v>23</v>
      </c>
      <c r="AQ7" s="137" t="s">
        <v>24</v>
      </c>
      <c r="AR7" s="137" t="s">
        <v>25</v>
      </c>
      <c r="AS7" s="137" t="s">
        <v>26</v>
      </c>
      <c r="AT7" s="216" t="s">
        <v>27</v>
      </c>
      <c r="AU7" s="357" t="s">
        <v>28</v>
      </c>
      <c r="AV7" s="353" t="s">
        <v>29</v>
      </c>
      <c r="AW7" s="354"/>
      <c r="AX7" s="353" t="s">
        <v>29</v>
      </c>
      <c r="AY7" s="353" t="s">
        <v>29</v>
      </c>
      <c r="AZ7" s="355" t="s">
        <v>29</v>
      </c>
      <c r="BA7" s="353" t="s">
        <v>29</v>
      </c>
      <c r="BB7" s="356" t="s">
        <v>29</v>
      </c>
      <c r="BC7" s="436"/>
    </row>
    <row r="8" spans="2:55" s="75" customFormat="1" ht="25.5" customHeight="1">
      <c r="B8" s="378" t="s">
        <v>30</v>
      </c>
      <c r="C8" s="381" t="s">
        <v>35</v>
      </c>
      <c r="D8" s="378" t="s">
        <v>36</v>
      </c>
      <c r="E8" s="223" t="s">
        <v>1</v>
      </c>
      <c r="F8" s="142" t="s">
        <v>32</v>
      </c>
      <c r="G8" s="143">
        <v>8</v>
      </c>
      <c r="H8" s="330" t="s">
        <v>33</v>
      </c>
      <c r="I8" s="214">
        <v>8</v>
      </c>
      <c r="J8" s="58">
        <v>8</v>
      </c>
      <c r="K8" s="58">
        <v>8</v>
      </c>
      <c r="L8" s="58">
        <v>8</v>
      </c>
      <c r="M8" s="58" t="s">
        <v>372</v>
      </c>
      <c r="N8" s="58">
        <v>8</v>
      </c>
      <c r="O8" s="58">
        <v>8</v>
      </c>
      <c r="P8" s="58">
        <v>8</v>
      </c>
      <c r="Q8" s="58">
        <v>8</v>
      </c>
      <c r="R8" s="58">
        <v>8</v>
      </c>
      <c r="S8" s="58">
        <v>8</v>
      </c>
      <c r="T8" s="58" t="s">
        <v>372</v>
      </c>
      <c r="U8" s="58">
        <v>8</v>
      </c>
      <c r="V8" s="58">
        <v>8</v>
      </c>
      <c r="W8" s="58">
        <v>8</v>
      </c>
      <c r="X8" s="58" t="s">
        <v>372</v>
      </c>
      <c r="Y8" s="58">
        <v>8</v>
      </c>
      <c r="Z8" s="58">
        <v>8</v>
      </c>
      <c r="AA8" s="58">
        <v>8</v>
      </c>
      <c r="AB8" s="58">
        <v>8</v>
      </c>
      <c r="AC8" s="58">
        <v>8</v>
      </c>
      <c r="AD8" s="58">
        <v>8</v>
      </c>
      <c r="AE8" s="58">
        <v>8</v>
      </c>
      <c r="AF8" s="58">
        <v>8</v>
      </c>
      <c r="AG8" s="58">
        <v>8</v>
      </c>
      <c r="AH8" s="58">
        <v>8</v>
      </c>
      <c r="AI8" s="58">
        <v>8</v>
      </c>
      <c r="AJ8" s="58" t="s">
        <v>372</v>
      </c>
      <c r="AK8" s="58">
        <v>8</v>
      </c>
      <c r="AL8" s="58">
        <v>8</v>
      </c>
      <c r="AM8" s="236">
        <v>8</v>
      </c>
      <c r="AN8" s="424">
        <f>COUNT(I8:AM8)</f>
        <v>27</v>
      </c>
      <c r="AO8" s="141">
        <f>SUM(I8:AM8)</f>
        <v>216</v>
      </c>
      <c r="AP8" s="201">
        <f t="shared" ref="AP8" si="5">COUNTIFS($I8:$AM8,$AP$6)</f>
        <v>0</v>
      </c>
      <c r="AQ8" s="217">
        <f>COUNTIFS($I8:$AM8,$AQ$6)</f>
        <v>4</v>
      </c>
      <c r="AR8" s="217">
        <f t="shared" ref="AR8" si="6">COUNTIFS($I8:$AM8,$AR$6)</f>
        <v>0</v>
      </c>
      <c r="AS8" s="217">
        <f t="shared" ref="AS8" si="7">COUNTIFS($I8:$AM8,$AS$6)</f>
        <v>0</v>
      </c>
      <c r="AT8" s="218">
        <f t="shared" ref="AT8" si="8">COUNTIFS($I8:$AM8,$AT$6)</f>
        <v>0</v>
      </c>
      <c r="AU8" s="98">
        <v>5</v>
      </c>
      <c r="AV8" s="70">
        <f>COUNTIF(I8:AM8,"RD")</f>
        <v>4</v>
      </c>
      <c r="AW8" s="70">
        <f>AU8-AV8</f>
        <v>1</v>
      </c>
      <c r="AX8" s="70">
        <f>COUNTIF(H8:AM8,"SH")</f>
        <v>0</v>
      </c>
      <c r="AY8" s="70">
        <f t="shared" ref="AY8" si="9">COUNTIF(I8:AM8,"SL")</f>
        <v>0</v>
      </c>
      <c r="AZ8" s="70">
        <f t="shared" ref="AZ8" si="10">COUNTIF(I8:AM8,"np")</f>
        <v>0</v>
      </c>
      <c r="BA8" s="70">
        <f t="shared" ref="BA8" si="11">COUNTIF(I8:AM8,"AL*")</f>
        <v>0</v>
      </c>
      <c r="BB8" s="70">
        <f t="shared" ref="BB8" si="12">COUNTIF(I8:AM8,"NC*")</f>
        <v>0</v>
      </c>
      <c r="BC8" s="358"/>
    </row>
    <row r="9" spans="2:55" s="75" customFormat="1" ht="25.5" customHeight="1" thickBot="1">
      <c r="B9" s="385" t="s">
        <v>34</v>
      </c>
      <c r="C9" s="382" t="s">
        <v>38</v>
      </c>
      <c r="D9" s="379" t="s">
        <v>39</v>
      </c>
      <c r="E9" s="224" t="s">
        <v>40</v>
      </c>
      <c r="F9" s="144" t="s">
        <v>41</v>
      </c>
      <c r="G9" s="145">
        <v>8</v>
      </c>
      <c r="H9" s="128" t="s">
        <v>33</v>
      </c>
      <c r="I9" s="300">
        <v>8</v>
      </c>
      <c r="J9" s="301">
        <v>8</v>
      </c>
      <c r="K9" s="301">
        <v>8</v>
      </c>
      <c r="L9" s="301" t="s">
        <v>372</v>
      </c>
      <c r="M9" s="301">
        <v>8</v>
      </c>
      <c r="N9" s="301">
        <v>8</v>
      </c>
      <c r="O9" s="301">
        <v>8</v>
      </c>
      <c r="P9" s="301">
        <v>8</v>
      </c>
      <c r="Q9" s="301">
        <v>8</v>
      </c>
      <c r="R9" s="301">
        <v>8</v>
      </c>
      <c r="S9" s="301" t="s">
        <v>372</v>
      </c>
      <c r="T9" s="301">
        <v>8</v>
      </c>
      <c r="U9" s="301">
        <v>8</v>
      </c>
      <c r="V9" s="301">
        <v>8</v>
      </c>
      <c r="W9" s="301">
        <v>8</v>
      </c>
      <c r="X9" s="301">
        <v>8</v>
      </c>
      <c r="Y9" s="301" t="s">
        <v>372</v>
      </c>
      <c r="Z9" s="301">
        <v>8</v>
      </c>
      <c r="AA9" s="301">
        <v>8</v>
      </c>
      <c r="AB9" s="301">
        <v>8</v>
      </c>
      <c r="AC9" s="301">
        <v>8</v>
      </c>
      <c r="AD9" s="301">
        <v>8</v>
      </c>
      <c r="AE9" s="301">
        <v>8</v>
      </c>
      <c r="AF9" s="301">
        <v>8</v>
      </c>
      <c r="AG9" s="301" t="s">
        <v>372</v>
      </c>
      <c r="AH9" s="301">
        <v>8</v>
      </c>
      <c r="AI9" s="301">
        <v>8</v>
      </c>
      <c r="AJ9" s="301">
        <v>8</v>
      </c>
      <c r="AK9" s="301">
        <v>8</v>
      </c>
      <c r="AL9" s="301">
        <v>8</v>
      </c>
      <c r="AM9" s="302">
        <v>8</v>
      </c>
      <c r="AN9" s="424">
        <f t="shared" ref="AN9" si="13">COUNT(I9:AM9)</f>
        <v>27</v>
      </c>
      <c r="AO9" s="141">
        <f t="shared" ref="AO9" si="14">SUM(I9:AM9)</f>
        <v>216</v>
      </c>
      <c r="AP9" s="219">
        <f>COUNTIFS($I9:$AM9,$AP$6)</f>
        <v>0</v>
      </c>
      <c r="AQ9" s="217">
        <f t="shared" ref="AQ9:AQ10" si="15">COUNTIFS($I9:$AM9,$AQ$6)</f>
        <v>4</v>
      </c>
      <c r="AR9" s="63">
        <f>COUNTIFS($I9:$AM9,$AR$6)</f>
        <v>0</v>
      </c>
      <c r="AS9" s="63">
        <f>COUNTIFS($I9:$AM9,$AS$6)</f>
        <v>0</v>
      </c>
      <c r="AT9" s="182">
        <f>COUNTIFS($I9:$AM9,$AT$6)</f>
        <v>0</v>
      </c>
      <c r="AU9" s="181">
        <f>AU8</f>
        <v>5</v>
      </c>
      <c r="AV9" s="220">
        <f>COUNTIF(I9:AM9,"RD")</f>
        <v>4</v>
      </c>
      <c r="AW9" s="221">
        <f t="shared" ref="AW9:AW11" si="16">AU9-AV9</f>
        <v>1</v>
      </c>
      <c r="AX9" s="220">
        <f>COUNTIF(H9:AM9,"SH")</f>
        <v>0</v>
      </c>
      <c r="AY9" s="220">
        <f>COUNTIF(I9:AM9,"SL")</f>
        <v>0</v>
      </c>
      <c r="AZ9" s="220">
        <f>COUNTIF(I9:AM9,"np")</f>
        <v>0</v>
      </c>
      <c r="BA9" s="220">
        <f>COUNTIF(I9:AM9,"AL*")</f>
        <v>0</v>
      </c>
      <c r="BB9" s="220">
        <f>COUNTIF(I9:AM9,"NC*")</f>
        <v>0</v>
      </c>
      <c r="BC9" s="359"/>
    </row>
    <row r="10" spans="2:55" s="75" customFormat="1" ht="25.5" customHeight="1" thickBot="1">
      <c r="B10" s="386" t="s">
        <v>37</v>
      </c>
      <c r="C10" s="383" t="s">
        <v>31</v>
      </c>
      <c r="D10" s="334" t="s">
        <v>378</v>
      </c>
      <c r="E10" s="222" t="s">
        <v>1</v>
      </c>
      <c r="F10" s="139" t="s">
        <v>32</v>
      </c>
      <c r="G10" s="140">
        <v>8</v>
      </c>
      <c r="H10" s="128" t="s">
        <v>33</v>
      </c>
      <c r="I10" s="300" t="s">
        <v>372</v>
      </c>
      <c r="J10" s="301" t="s">
        <v>391</v>
      </c>
      <c r="K10" s="301" t="s">
        <v>391</v>
      </c>
      <c r="L10" s="301">
        <v>8</v>
      </c>
      <c r="M10" s="301">
        <v>8</v>
      </c>
      <c r="N10" s="301" t="s">
        <v>391</v>
      </c>
      <c r="O10" s="301" t="s">
        <v>391</v>
      </c>
      <c r="P10" s="301" t="s">
        <v>372</v>
      </c>
      <c r="Q10" s="301" t="s">
        <v>391</v>
      </c>
      <c r="R10" s="301" t="s">
        <v>391</v>
      </c>
      <c r="S10" s="301">
        <v>8</v>
      </c>
      <c r="T10" s="301">
        <v>8</v>
      </c>
      <c r="U10" s="301" t="s">
        <v>391</v>
      </c>
      <c r="V10" s="301" t="s">
        <v>391</v>
      </c>
      <c r="W10" s="301" t="s">
        <v>372</v>
      </c>
      <c r="X10" s="301">
        <v>8</v>
      </c>
      <c r="Y10" s="301">
        <v>8</v>
      </c>
      <c r="Z10" s="301" t="s">
        <v>391</v>
      </c>
      <c r="AA10" s="301" t="s">
        <v>391</v>
      </c>
      <c r="AB10" s="301" t="s">
        <v>391</v>
      </c>
      <c r="AC10" s="301" t="s">
        <v>391</v>
      </c>
      <c r="AD10" s="301" t="s">
        <v>372</v>
      </c>
      <c r="AE10" s="301" t="s">
        <v>391</v>
      </c>
      <c r="AF10" s="301" t="s">
        <v>391</v>
      </c>
      <c r="AG10" s="301" t="s">
        <v>10</v>
      </c>
      <c r="AH10" s="301" t="s">
        <v>391</v>
      </c>
      <c r="AI10" s="301" t="s">
        <v>391</v>
      </c>
      <c r="AJ10" s="301">
        <v>8</v>
      </c>
      <c r="AK10" s="301" t="s">
        <v>372</v>
      </c>
      <c r="AL10" s="301" t="s">
        <v>391</v>
      </c>
      <c r="AM10" s="302" t="s">
        <v>391</v>
      </c>
      <c r="AN10" s="425">
        <f>COUNT(I10:AM10)</f>
        <v>7</v>
      </c>
      <c r="AO10" s="146">
        <f>SUM(I10:AM10)</f>
        <v>56</v>
      </c>
      <c r="AP10" s="201">
        <f>COUNTIFS($I10:$AM10,$AP$6)</f>
        <v>0</v>
      </c>
      <c r="AQ10" s="217">
        <f t="shared" si="15"/>
        <v>5</v>
      </c>
      <c r="AR10" s="63">
        <f>COUNTIFS($I10:$AM10,$AR$6)</f>
        <v>1</v>
      </c>
      <c r="AS10" s="63">
        <f>COUNTIFS($I10:$AM10,$AS$6)</f>
        <v>0</v>
      </c>
      <c r="AT10" s="182">
        <f>COUNTIFS($I10:$AM10,$AT$6)</f>
        <v>0</v>
      </c>
      <c r="AU10" s="181">
        <f t="shared" ref="AU10:AU11" si="17">AU9</f>
        <v>5</v>
      </c>
      <c r="AV10" s="220">
        <f t="shared" ref="AV10:AV11" si="18">COUNTIF(I10:AM10,"RD")</f>
        <v>5</v>
      </c>
      <c r="AW10" s="221">
        <f t="shared" si="16"/>
        <v>0</v>
      </c>
      <c r="AX10" s="221">
        <f>COUNTIF(H10:AM10,"SH")</f>
        <v>0</v>
      </c>
      <c r="AY10" s="221">
        <f>COUNTIF(I10:AM10,"SL")</f>
        <v>0</v>
      </c>
      <c r="AZ10" s="221">
        <f>COUNTIF(I10:AM10,"np")</f>
        <v>1</v>
      </c>
      <c r="BA10" s="221">
        <f>COUNTIF(I10:AM10,"AL*")</f>
        <v>0</v>
      </c>
      <c r="BB10" s="221">
        <f>COUNTIF(I10:AM10,"NC*")</f>
        <v>0</v>
      </c>
      <c r="BC10" s="360"/>
    </row>
    <row r="11" spans="2:55" s="75" customFormat="1" ht="25.5" customHeight="1" thickBot="1">
      <c r="B11" s="387" t="s">
        <v>42</v>
      </c>
      <c r="C11" s="384" t="s">
        <v>43</v>
      </c>
      <c r="D11" s="380" t="s">
        <v>44</v>
      </c>
      <c r="E11" s="222" t="s">
        <v>1</v>
      </c>
      <c r="F11" s="139" t="s">
        <v>32</v>
      </c>
      <c r="G11" s="140">
        <v>8</v>
      </c>
      <c r="H11" s="135" t="s">
        <v>33</v>
      </c>
      <c r="I11" s="306" t="s">
        <v>391</v>
      </c>
      <c r="J11" s="298" t="s">
        <v>391</v>
      </c>
      <c r="K11" s="298" t="s">
        <v>391</v>
      </c>
      <c r="L11" s="298" t="s">
        <v>391</v>
      </c>
      <c r="M11" s="298" t="s">
        <v>391</v>
      </c>
      <c r="N11" s="298" t="s">
        <v>391</v>
      </c>
      <c r="O11" s="298" t="s">
        <v>372</v>
      </c>
      <c r="P11" s="298" t="s">
        <v>391</v>
      </c>
      <c r="Q11" s="298" t="s">
        <v>391</v>
      </c>
      <c r="R11" s="298" t="s">
        <v>391</v>
      </c>
      <c r="S11" s="298" t="s">
        <v>391</v>
      </c>
      <c r="T11" s="298" t="s">
        <v>391</v>
      </c>
      <c r="U11" s="298" t="s">
        <v>372</v>
      </c>
      <c r="V11" s="298" t="s">
        <v>391</v>
      </c>
      <c r="W11" s="298" t="s">
        <v>391</v>
      </c>
      <c r="X11" s="298" t="s">
        <v>391</v>
      </c>
      <c r="Y11" s="298" t="s">
        <v>391</v>
      </c>
      <c r="Z11" s="298" t="s">
        <v>372</v>
      </c>
      <c r="AA11" s="298" t="s">
        <v>391</v>
      </c>
      <c r="AB11" s="298" t="s">
        <v>391</v>
      </c>
      <c r="AC11" s="298" t="s">
        <v>391</v>
      </c>
      <c r="AD11" s="298" t="s">
        <v>391</v>
      </c>
      <c r="AE11" s="298" t="s">
        <v>391</v>
      </c>
      <c r="AF11" s="298" t="s">
        <v>372</v>
      </c>
      <c r="AG11" s="298">
        <v>8</v>
      </c>
      <c r="AH11" s="298" t="s">
        <v>391</v>
      </c>
      <c r="AI11" s="298" t="s">
        <v>391</v>
      </c>
      <c r="AJ11" s="298" t="s">
        <v>391</v>
      </c>
      <c r="AK11" s="298" t="s">
        <v>391</v>
      </c>
      <c r="AL11" s="298" t="s">
        <v>372</v>
      </c>
      <c r="AM11" s="237" t="s">
        <v>391</v>
      </c>
      <c r="AN11" s="424">
        <f>COUNT(I11:AM11)</f>
        <v>1</v>
      </c>
      <c r="AO11" s="141">
        <f>SUM(I11:AM11)</f>
        <v>8</v>
      </c>
      <c r="AP11" s="201">
        <f t="shared" ref="AP11" si="19">COUNTIFS($I11:$AM11,$AP$6)</f>
        <v>0</v>
      </c>
      <c r="AQ11" s="217">
        <f>COUNTIFS($I11:$AM11,$AQ$6)</f>
        <v>5</v>
      </c>
      <c r="AR11" s="217">
        <f t="shared" ref="AR11" si="20">COUNTIFS($I11:$AM11,$AR$6)</f>
        <v>0</v>
      </c>
      <c r="AS11" s="217">
        <f t="shared" ref="AS11" si="21">COUNTIFS($I11:$AM11,$AS$6)</f>
        <v>0</v>
      </c>
      <c r="AT11" s="218">
        <f t="shared" ref="AT11" si="22">COUNTIFS($I11:$AM11,$AT$6)</f>
        <v>0</v>
      </c>
      <c r="AU11" s="215">
        <f t="shared" si="17"/>
        <v>5</v>
      </c>
      <c r="AV11" s="361">
        <f t="shared" si="18"/>
        <v>5</v>
      </c>
      <c r="AW11" s="72">
        <f t="shared" si="16"/>
        <v>0</v>
      </c>
      <c r="AX11" s="72">
        <f>COUNTIF(H11:AM11,"SH")</f>
        <v>0</v>
      </c>
      <c r="AY11" s="72">
        <f t="shared" ref="AY11" si="23">COUNTIF(I11:AM11,"SL")</f>
        <v>0</v>
      </c>
      <c r="AZ11" s="72">
        <f t="shared" ref="AZ11" si="24">COUNTIF(I11:AM11,"np")</f>
        <v>0</v>
      </c>
      <c r="BA11" s="72">
        <f t="shared" ref="BA11" si="25">COUNTIF(I11:AM11,"AL*")</f>
        <v>0</v>
      </c>
      <c r="BB11" s="72">
        <f t="shared" ref="BB11" si="26">COUNTIF(I11:AM11,"NC*")</f>
        <v>0</v>
      </c>
      <c r="BC11" s="362"/>
    </row>
    <row r="12" spans="2:55" s="40" customFormat="1" ht="25.5" customHeight="1" thickBot="1">
      <c r="B12" s="75"/>
      <c r="C12" s="75"/>
      <c r="D12" s="75"/>
      <c r="E12" s="75"/>
      <c r="F12" s="75"/>
      <c r="G12" s="75"/>
      <c r="H12" s="75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75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147">
        <f>SUM(AN8:AN11)</f>
        <v>62</v>
      </c>
      <c r="AO12" s="148">
        <f>SUM(AO8:AO11)</f>
        <v>496</v>
      </c>
      <c r="AW12" s="78"/>
      <c r="BC12" s="75"/>
    </row>
    <row r="13" spans="2:55" s="40" customFormat="1" ht="25.5" customHeight="1" thickBot="1">
      <c r="B13" s="75"/>
      <c r="C13" s="75"/>
      <c r="D13" s="75"/>
      <c r="E13" s="75"/>
      <c r="F13" s="75"/>
      <c r="G13" s="75"/>
      <c r="H13" s="75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75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75"/>
      <c r="AO13" s="75"/>
      <c r="AW13" s="78"/>
      <c r="BC13" s="75"/>
    </row>
    <row r="14" spans="2:55" s="40" customFormat="1" ht="23.25" customHeight="1" thickBot="1">
      <c r="B14" s="75"/>
      <c r="C14" s="75"/>
      <c r="D14" s="75"/>
      <c r="E14" s="75"/>
      <c r="F14" s="75"/>
      <c r="G14" s="75"/>
      <c r="H14" s="75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75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149" t="s">
        <v>45</v>
      </c>
      <c r="AO14" s="150" t="s">
        <v>46</v>
      </c>
      <c r="AU14" s="96"/>
      <c r="AV14" s="112"/>
      <c r="AW14" s="69"/>
      <c r="AX14" s="112"/>
      <c r="AY14" s="112"/>
      <c r="AZ14" s="112"/>
      <c r="BC14" s="75"/>
    </row>
    <row r="15" spans="2:55" ht="23.25" customHeight="1">
      <c r="B15" s="461" t="s">
        <v>47</v>
      </c>
      <c r="C15" s="462"/>
      <c r="D15" s="463"/>
      <c r="E15" s="152"/>
      <c r="F15" s="152"/>
      <c r="G15" s="152"/>
      <c r="H15" s="153" t="s">
        <v>1</v>
      </c>
      <c r="I15" s="154">
        <f>COUNT(I8:I11)</f>
        <v>2</v>
      </c>
      <c r="J15" s="154">
        <f t="shared" ref="J15:AM15" si="27">COUNT(J8:J11)</f>
        <v>2</v>
      </c>
      <c r="K15" s="154">
        <f t="shared" si="27"/>
        <v>2</v>
      </c>
      <c r="L15" s="154">
        <f t="shared" si="27"/>
        <v>2</v>
      </c>
      <c r="M15" s="154">
        <f t="shared" si="27"/>
        <v>2</v>
      </c>
      <c r="N15" s="154">
        <f t="shared" si="27"/>
        <v>2</v>
      </c>
      <c r="O15" s="154">
        <f t="shared" si="27"/>
        <v>2</v>
      </c>
      <c r="P15" s="154">
        <f t="shared" si="27"/>
        <v>2</v>
      </c>
      <c r="Q15" s="154">
        <f t="shared" si="27"/>
        <v>2</v>
      </c>
      <c r="R15" s="154">
        <f t="shared" si="27"/>
        <v>2</v>
      </c>
      <c r="S15" s="154">
        <f t="shared" si="27"/>
        <v>2</v>
      </c>
      <c r="T15" s="154">
        <f t="shared" si="27"/>
        <v>2</v>
      </c>
      <c r="U15" s="154">
        <f t="shared" si="27"/>
        <v>2</v>
      </c>
      <c r="V15" s="154">
        <f t="shared" si="27"/>
        <v>2</v>
      </c>
      <c r="W15" s="154">
        <f t="shared" si="27"/>
        <v>2</v>
      </c>
      <c r="X15" s="154">
        <f t="shared" si="27"/>
        <v>2</v>
      </c>
      <c r="Y15" s="154">
        <f t="shared" si="27"/>
        <v>2</v>
      </c>
      <c r="Z15" s="154">
        <f t="shared" si="27"/>
        <v>2</v>
      </c>
      <c r="AA15" s="154">
        <f t="shared" si="27"/>
        <v>2</v>
      </c>
      <c r="AB15" s="154">
        <f t="shared" si="27"/>
        <v>2</v>
      </c>
      <c r="AC15" s="154">
        <f t="shared" si="27"/>
        <v>2</v>
      </c>
      <c r="AD15" s="154">
        <f t="shared" si="27"/>
        <v>2</v>
      </c>
      <c r="AE15" s="154">
        <f t="shared" si="27"/>
        <v>2</v>
      </c>
      <c r="AF15" s="154">
        <f t="shared" si="27"/>
        <v>2</v>
      </c>
      <c r="AG15" s="154">
        <f t="shared" si="27"/>
        <v>2</v>
      </c>
      <c r="AH15" s="154">
        <f t="shared" si="27"/>
        <v>2</v>
      </c>
      <c r="AI15" s="154">
        <f t="shared" si="27"/>
        <v>2</v>
      </c>
      <c r="AJ15" s="154">
        <f t="shared" si="27"/>
        <v>2</v>
      </c>
      <c r="AK15" s="154">
        <f t="shared" si="27"/>
        <v>2</v>
      </c>
      <c r="AL15" s="154">
        <f t="shared" si="27"/>
        <v>2</v>
      </c>
      <c r="AM15" s="154">
        <f t="shared" si="27"/>
        <v>2</v>
      </c>
      <c r="AN15" s="155">
        <f>SUM(I15:AM15)</f>
        <v>62</v>
      </c>
      <c r="AO15" s="151">
        <f>AN15*8</f>
        <v>496</v>
      </c>
      <c r="AU15" s="3"/>
      <c r="AV15" s="3"/>
      <c r="AW15" s="107"/>
      <c r="AX15" s="3"/>
      <c r="BC15" s="75"/>
    </row>
    <row r="16" spans="2:55" ht="23.25" customHeight="1">
      <c r="B16" s="450" t="s">
        <v>48</v>
      </c>
      <c r="C16" s="451"/>
      <c r="D16" s="452"/>
      <c r="E16" s="157"/>
      <c r="F16" s="157"/>
      <c r="G16" s="157"/>
      <c r="H16" s="158"/>
      <c r="I16" s="159">
        <v>2</v>
      </c>
      <c r="J16" s="160">
        <v>2</v>
      </c>
      <c r="K16" s="160">
        <v>2</v>
      </c>
      <c r="L16" s="160">
        <v>2</v>
      </c>
      <c r="M16" s="160">
        <v>2</v>
      </c>
      <c r="N16" s="160">
        <v>2</v>
      </c>
      <c r="O16" s="160">
        <v>2</v>
      </c>
      <c r="P16" s="160">
        <v>2</v>
      </c>
      <c r="Q16" s="160">
        <v>2</v>
      </c>
      <c r="R16" s="160">
        <v>2</v>
      </c>
      <c r="S16" s="160">
        <v>2</v>
      </c>
      <c r="T16" s="160">
        <v>2</v>
      </c>
      <c r="U16" s="160">
        <v>2</v>
      </c>
      <c r="V16" s="160">
        <v>2</v>
      </c>
      <c r="W16" s="160">
        <v>2</v>
      </c>
      <c r="X16" s="160">
        <v>2</v>
      </c>
      <c r="Y16" s="160">
        <v>2</v>
      </c>
      <c r="Z16" s="160">
        <v>2</v>
      </c>
      <c r="AA16" s="160">
        <v>2</v>
      </c>
      <c r="AB16" s="160">
        <v>2</v>
      </c>
      <c r="AC16" s="160">
        <v>2</v>
      </c>
      <c r="AD16" s="160">
        <v>2</v>
      </c>
      <c r="AE16" s="160">
        <v>2</v>
      </c>
      <c r="AF16" s="160">
        <v>2</v>
      </c>
      <c r="AG16" s="160">
        <v>2</v>
      </c>
      <c r="AH16" s="160">
        <v>2</v>
      </c>
      <c r="AI16" s="160">
        <v>2</v>
      </c>
      <c r="AJ16" s="160">
        <v>2</v>
      </c>
      <c r="AK16" s="160">
        <v>2</v>
      </c>
      <c r="AL16" s="160">
        <v>2</v>
      </c>
      <c r="AM16" s="161">
        <v>2</v>
      </c>
      <c r="AN16" s="162">
        <f>SUM(I16:AM16)</f>
        <v>62</v>
      </c>
      <c r="AO16" s="156">
        <f>AN16*8</f>
        <v>496</v>
      </c>
      <c r="AU16" s="3"/>
      <c r="AV16" s="3"/>
      <c r="AW16" s="107"/>
      <c r="AX16" s="3"/>
      <c r="BC16" s="75"/>
    </row>
    <row r="17" spans="1:55" ht="23.25" customHeight="1" thickBot="1">
      <c r="B17" s="453" t="s">
        <v>49</v>
      </c>
      <c r="C17" s="454"/>
      <c r="D17" s="455"/>
      <c r="E17" s="163"/>
      <c r="F17" s="163"/>
      <c r="G17" s="163"/>
      <c r="H17" s="164"/>
      <c r="I17" s="165">
        <f>IF((I15-I16)&lt;0,I15-I16,0)</f>
        <v>0</v>
      </c>
      <c r="J17" s="165">
        <f t="shared" ref="J17" si="28">IF((J15-J16)&lt;0,J15-J16,0)</f>
        <v>0</v>
      </c>
      <c r="K17" s="165">
        <f t="shared" ref="K17:AM17" si="29">IF((K15-K16)&lt;0,K15-K16,0)</f>
        <v>0</v>
      </c>
      <c r="L17" s="165">
        <f t="shared" si="29"/>
        <v>0</v>
      </c>
      <c r="M17" s="165">
        <f t="shared" si="29"/>
        <v>0</v>
      </c>
      <c r="N17" s="165">
        <f t="shared" si="29"/>
        <v>0</v>
      </c>
      <c r="O17" s="165">
        <f t="shared" si="29"/>
        <v>0</v>
      </c>
      <c r="P17" s="165">
        <f t="shared" si="29"/>
        <v>0</v>
      </c>
      <c r="Q17" s="165">
        <f t="shared" si="29"/>
        <v>0</v>
      </c>
      <c r="R17" s="165">
        <f t="shared" si="29"/>
        <v>0</v>
      </c>
      <c r="S17" s="165">
        <f t="shared" si="29"/>
        <v>0</v>
      </c>
      <c r="T17" s="165">
        <f t="shared" si="29"/>
        <v>0</v>
      </c>
      <c r="U17" s="165">
        <f t="shared" si="29"/>
        <v>0</v>
      </c>
      <c r="V17" s="165">
        <f t="shared" si="29"/>
        <v>0</v>
      </c>
      <c r="W17" s="165">
        <f t="shared" si="29"/>
        <v>0</v>
      </c>
      <c r="X17" s="165">
        <f t="shared" si="29"/>
        <v>0</v>
      </c>
      <c r="Y17" s="165">
        <f t="shared" si="29"/>
        <v>0</v>
      </c>
      <c r="Z17" s="165">
        <f t="shared" si="29"/>
        <v>0</v>
      </c>
      <c r="AA17" s="165">
        <f t="shared" si="29"/>
        <v>0</v>
      </c>
      <c r="AB17" s="165">
        <f t="shared" si="29"/>
        <v>0</v>
      </c>
      <c r="AC17" s="165">
        <f t="shared" si="29"/>
        <v>0</v>
      </c>
      <c r="AD17" s="165">
        <f t="shared" si="29"/>
        <v>0</v>
      </c>
      <c r="AE17" s="165">
        <f t="shared" si="29"/>
        <v>0</v>
      </c>
      <c r="AF17" s="165">
        <f t="shared" si="29"/>
        <v>0</v>
      </c>
      <c r="AG17" s="165">
        <f t="shared" si="29"/>
        <v>0</v>
      </c>
      <c r="AH17" s="165">
        <f t="shared" si="29"/>
        <v>0</v>
      </c>
      <c r="AI17" s="165">
        <f t="shared" si="29"/>
        <v>0</v>
      </c>
      <c r="AJ17" s="165">
        <f t="shared" si="29"/>
        <v>0</v>
      </c>
      <c r="AK17" s="165">
        <f t="shared" si="29"/>
        <v>0</v>
      </c>
      <c r="AL17" s="165">
        <f t="shared" si="29"/>
        <v>0</v>
      </c>
      <c r="AM17" s="165">
        <f t="shared" si="29"/>
        <v>0</v>
      </c>
      <c r="AN17" s="166">
        <f>SUM(I17:AM17)</f>
        <v>0</v>
      </c>
      <c r="AO17" s="167">
        <f>AN17*8</f>
        <v>0</v>
      </c>
      <c r="AU17" s="3"/>
      <c r="AV17" s="3"/>
      <c r="AW17" s="107"/>
      <c r="AX17" s="3"/>
      <c r="BC17" s="75"/>
    </row>
    <row r="18" spans="1:55" ht="30" customHeight="1">
      <c r="B18" s="168"/>
      <c r="C18" s="168"/>
      <c r="D18" s="168"/>
      <c r="E18" s="168"/>
      <c r="F18" s="168"/>
      <c r="G18" s="168"/>
      <c r="H18" s="169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1"/>
      <c r="AO18" s="172"/>
      <c r="AU18" s="3"/>
      <c r="AV18" s="3"/>
      <c r="AW18" s="107"/>
      <c r="AX18" s="3"/>
      <c r="BC18" s="75"/>
    </row>
    <row r="19" spans="1:55" s="40" customFormat="1" ht="30" customHeight="1" thickBot="1">
      <c r="B19" s="108" t="s">
        <v>50</v>
      </c>
      <c r="C19" s="75"/>
      <c r="D19" s="75"/>
      <c r="E19" s="75"/>
      <c r="F19" s="75"/>
      <c r="G19" s="75"/>
      <c r="H19" s="75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75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75"/>
      <c r="AO19" s="75"/>
      <c r="AU19" s="67"/>
      <c r="AV19" s="113"/>
      <c r="AW19" s="114"/>
      <c r="AX19" s="113"/>
      <c r="AY19" s="113"/>
      <c r="AZ19" s="113"/>
      <c r="BA19" s="113"/>
      <c r="BB19" s="113"/>
      <c r="BC19" s="78"/>
    </row>
    <row r="20" spans="1:55" s="75" customFormat="1" ht="25.5" customHeight="1">
      <c r="B20" s="378" t="s">
        <v>37</v>
      </c>
      <c r="C20" s="395" t="s">
        <v>31</v>
      </c>
      <c r="D20" s="420" t="s">
        <v>378</v>
      </c>
      <c r="E20" s="224" t="s">
        <v>40</v>
      </c>
      <c r="F20" s="144" t="s">
        <v>41</v>
      </c>
      <c r="G20" s="145">
        <v>8</v>
      </c>
      <c r="H20" s="330" t="s">
        <v>33</v>
      </c>
      <c r="I20" s="214" t="s">
        <v>372</v>
      </c>
      <c r="J20" s="58">
        <v>8</v>
      </c>
      <c r="K20" s="58">
        <v>8</v>
      </c>
      <c r="L20" s="58" t="s">
        <v>392</v>
      </c>
      <c r="M20" s="58" t="s">
        <v>392</v>
      </c>
      <c r="N20" s="58">
        <v>8</v>
      </c>
      <c r="O20" s="58">
        <v>8</v>
      </c>
      <c r="P20" s="58" t="s">
        <v>372</v>
      </c>
      <c r="Q20" s="58">
        <v>8</v>
      </c>
      <c r="R20" s="58">
        <v>8</v>
      </c>
      <c r="S20" s="58" t="s">
        <v>392</v>
      </c>
      <c r="T20" s="58" t="s">
        <v>392</v>
      </c>
      <c r="U20" s="58">
        <v>8</v>
      </c>
      <c r="V20" s="58">
        <v>8</v>
      </c>
      <c r="W20" s="58" t="s">
        <v>372</v>
      </c>
      <c r="X20" s="58" t="s">
        <v>392</v>
      </c>
      <c r="Y20" s="58" t="s">
        <v>392</v>
      </c>
      <c r="Z20" s="58">
        <v>8</v>
      </c>
      <c r="AA20" s="58">
        <v>8</v>
      </c>
      <c r="AB20" s="58">
        <v>8</v>
      </c>
      <c r="AC20" s="58">
        <v>8</v>
      </c>
      <c r="AD20" s="58" t="s">
        <v>372</v>
      </c>
      <c r="AE20" s="58">
        <v>8</v>
      </c>
      <c r="AF20" s="58">
        <v>8</v>
      </c>
      <c r="AG20" s="58" t="s">
        <v>10</v>
      </c>
      <c r="AH20" s="58">
        <v>8</v>
      </c>
      <c r="AI20" s="58">
        <v>8</v>
      </c>
      <c r="AJ20" s="58" t="s">
        <v>392</v>
      </c>
      <c r="AK20" s="58" t="s">
        <v>372</v>
      </c>
      <c r="AL20" s="58">
        <v>8</v>
      </c>
      <c r="AM20" s="236">
        <v>8</v>
      </c>
      <c r="AN20" s="330">
        <f>COUNT(I20:AM20)</f>
        <v>18</v>
      </c>
      <c r="AO20" s="173">
        <f>SUM(I20:AM20)</f>
        <v>144</v>
      </c>
      <c r="AP20" s="131">
        <f t="shared" ref="AP20" si="30">COUNTIFS($I20:$AM20,$AP$6)</f>
        <v>0</v>
      </c>
      <c r="AQ20" s="62">
        <f>COUNTIFS($I20:$AM20,$AQ$6)</f>
        <v>5</v>
      </c>
      <c r="AR20" s="62">
        <f t="shared" ref="AR20" si="31">COUNTIFS($I20:$AM20,$AR$6)</f>
        <v>1</v>
      </c>
      <c r="AS20" s="62">
        <f t="shared" ref="AS20" si="32">COUNTIFS($I20:$AM20,$AS$6)</f>
        <v>0</v>
      </c>
      <c r="AT20" s="62">
        <f t="shared" ref="AT20" si="33">COUNTIFS($I20:$AM20,$AT$6)</f>
        <v>0</v>
      </c>
      <c r="AU20" s="62">
        <v>5</v>
      </c>
      <c r="AV20" s="70">
        <f>COUNTIF(I20:AM20,"RD")</f>
        <v>5</v>
      </c>
      <c r="AW20" s="70">
        <f>AU20-AV20</f>
        <v>0</v>
      </c>
      <c r="AX20" s="70">
        <f t="shared" ref="AX20:AX57" si="34">COUNTIF(H20:AM20,"SH")</f>
        <v>0</v>
      </c>
      <c r="AY20" s="70">
        <f t="shared" ref="AY20" si="35">COUNTIF(I20:AM20,"SL")</f>
        <v>0</v>
      </c>
      <c r="AZ20" s="70">
        <f t="shared" ref="AZ20" si="36">COUNTIF(I20:AM20,"np")</f>
        <v>1</v>
      </c>
      <c r="BA20" s="70">
        <f t="shared" ref="BA20" si="37">COUNTIF(I20:AM20,"AL*")</f>
        <v>0</v>
      </c>
      <c r="BB20" s="70">
        <f t="shared" ref="BB20" si="38">COUNTIF(I20:AM20,"NC*")</f>
        <v>0</v>
      </c>
      <c r="BC20" s="358"/>
    </row>
    <row r="21" spans="1:55" s="75" customFormat="1" ht="25.5" customHeight="1" thickBot="1">
      <c r="B21" s="141" t="s">
        <v>42</v>
      </c>
      <c r="C21" s="383" t="s">
        <v>43</v>
      </c>
      <c r="D21" s="421" t="s">
        <v>44</v>
      </c>
      <c r="E21" s="331" t="s">
        <v>40</v>
      </c>
      <c r="F21" s="174" t="s">
        <v>41</v>
      </c>
      <c r="G21" s="175">
        <v>8</v>
      </c>
      <c r="H21" s="128" t="s">
        <v>33</v>
      </c>
      <c r="I21" s="300">
        <v>8</v>
      </c>
      <c r="J21" s="301">
        <v>8</v>
      </c>
      <c r="K21" s="301">
        <v>8</v>
      </c>
      <c r="L21" s="301">
        <v>8</v>
      </c>
      <c r="M21" s="301">
        <v>8</v>
      </c>
      <c r="N21" s="301">
        <v>8</v>
      </c>
      <c r="O21" s="301" t="s">
        <v>372</v>
      </c>
      <c r="P21" s="301">
        <v>8</v>
      </c>
      <c r="Q21" s="301">
        <v>8</v>
      </c>
      <c r="R21" s="301">
        <v>8</v>
      </c>
      <c r="S21" s="301">
        <v>8</v>
      </c>
      <c r="T21" s="301">
        <v>8</v>
      </c>
      <c r="U21" s="301" t="s">
        <v>372</v>
      </c>
      <c r="V21" s="301">
        <v>8</v>
      </c>
      <c r="W21" s="301">
        <v>8</v>
      </c>
      <c r="X21" s="301">
        <v>8</v>
      </c>
      <c r="Y21" s="301">
        <v>8</v>
      </c>
      <c r="Z21" s="301" t="s">
        <v>372</v>
      </c>
      <c r="AA21" s="301">
        <v>8</v>
      </c>
      <c r="AB21" s="301">
        <v>8</v>
      </c>
      <c r="AC21" s="301">
        <v>8</v>
      </c>
      <c r="AD21" s="301">
        <v>8</v>
      </c>
      <c r="AE21" s="301">
        <v>8</v>
      </c>
      <c r="AF21" s="301" t="s">
        <v>372</v>
      </c>
      <c r="AG21" s="301" t="s">
        <v>392</v>
      </c>
      <c r="AH21" s="301">
        <v>8</v>
      </c>
      <c r="AI21" s="301">
        <v>8</v>
      </c>
      <c r="AJ21" s="301">
        <v>8</v>
      </c>
      <c r="AK21" s="301">
        <v>8</v>
      </c>
      <c r="AL21" s="301" t="s">
        <v>372</v>
      </c>
      <c r="AM21" s="302">
        <v>8</v>
      </c>
      <c r="AN21" s="128">
        <f t="shared" ref="AN21" si="39">COUNT(I21:AM21)</f>
        <v>25</v>
      </c>
      <c r="AO21" s="176">
        <f t="shared" ref="AO21" si="40">SUM(I21:AM21)</f>
        <v>200</v>
      </c>
      <c r="AP21" s="291">
        <f t="shared" ref="AP21:AP58" si="41">COUNTIFS($I21:$AM21,$AP$6)</f>
        <v>0</v>
      </c>
      <c r="AQ21" s="63">
        <f>COUNTIFS($I21:$AM21,$AQ$6)</f>
        <v>5</v>
      </c>
      <c r="AR21" s="63">
        <f t="shared" ref="AR21:AR58" si="42">COUNTIFS($I21:$AM21,$AR$6)</f>
        <v>0</v>
      </c>
      <c r="AS21" s="63">
        <f t="shared" ref="AS21:AS58" si="43">COUNTIFS($I21:$AM21,$AS$6)</f>
        <v>0</v>
      </c>
      <c r="AT21" s="63">
        <f t="shared" ref="AT21:AT58" si="44">COUNTIFS($I21:$AM21,$AT$6)</f>
        <v>0</v>
      </c>
      <c r="AU21" s="63">
        <f>AU20</f>
        <v>5</v>
      </c>
      <c r="AV21" s="220">
        <f t="shared" ref="AV21" si="45">COUNTIF(I21:AM21,"RD")</f>
        <v>5</v>
      </c>
      <c r="AW21" s="220">
        <f t="shared" ref="AW21" si="46">AU21-AV21</f>
        <v>0</v>
      </c>
      <c r="AX21" s="220">
        <f t="shared" si="34"/>
        <v>0</v>
      </c>
      <c r="AY21" s="220">
        <f t="shared" ref="AY21:AY42" si="47">COUNTIF(I21:AM21,"SL")</f>
        <v>0</v>
      </c>
      <c r="AZ21" s="220">
        <f t="shared" ref="AZ21:AZ42" si="48">COUNTIF(I21:AM21,"np")</f>
        <v>0</v>
      </c>
      <c r="BA21" s="220">
        <f t="shared" ref="BA21:BA42" si="49">COUNTIF(I21:AM21,"AL*")</f>
        <v>0</v>
      </c>
      <c r="BB21" s="220">
        <f t="shared" ref="BB21:BB42" si="50">COUNTIF(I21:AM21,"NC*")</f>
        <v>0</v>
      </c>
      <c r="BC21" s="359"/>
    </row>
    <row r="22" spans="1:55" s="68" customFormat="1" ht="25.5" customHeight="1">
      <c r="B22" s="141" t="s">
        <v>51</v>
      </c>
      <c r="C22" s="396" t="s">
        <v>52</v>
      </c>
      <c r="D22" s="128" t="s">
        <v>53</v>
      </c>
      <c r="E22" s="292" t="s">
        <v>40</v>
      </c>
      <c r="F22" s="178" t="s">
        <v>41</v>
      </c>
      <c r="G22" s="179">
        <v>8</v>
      </c>
      <c r="H22" s="128" t="s">
        <v>33</v>
      </c>
      <c r="I22" s="300">
        <v>8</v>
      </c>
      <c r="J22" s="301">
        <v>8</v>
      </c>
      <c r="K22" s="301">
        <v>8</v>
      </c>
      <c r="L22" s="301">
        <v>8</v>
      </c>
      <c r="M22" s="301" t="s">
        <v>372</v>
      </c>
      <c r="N22" s="301" t="s">
        <v>372</v>
      </c>
      <c r="O22" s="301">
        <v>8</v>
      </c>
      <c r="P22" s="301">
        <v>8</v>
      </c>
      <c r="Q22" s="301">
        <v>8</v>
      </c>
      <c r="R22" s="301">
        <v>8</v>
      </c>
      <c r="S22" s="301">
        <v>8</v>
      </c>
      <c r="T22" s="301">
        <v>8</v>
      </c>
      <c r="U22" s="301">
        <v>8</v>
      </c>
      <c r="V22" s="301" t="s">
        <v>372</v>
      </c>
      <c r="W22" s="301">
        <v>8</v>
      </c>
      <c r="X22" s="301">
        <v>8</v>
      </c>
      <c r="Y22" s="301">
        <v>8</v>
      </c>
      <c r="Z22" s="301">
        <v>8</v>
      </c>
      <c r="AA22" s="301">
        <v>8</v>
      </c>
      <c r="AB22" s="301" t="s">
        <v>372</v>
      </c>
      <c r="AC22" s="301">
        <v>8</v>
      </c>
      <c r="AD22" s="301">
        <v>8</v>
      </c>
      <c r="AE22" s="301">
        <v>8</v>
      </c>
      <c r="AF22" s="301">
        <v>8</v>
      </c>
      <c r="AG22" s="301">
        <v>8</v>
      </c>
      <c r="AH22" s="301">
        <v>8</v>
      </c>
      <c r="AI22" s="301">
        <v>8</v>
      </c>
      <c r="AJ22" s="301">
        <v>8</v>
      </c>
      <c r="AK22" s="301">
        <v>8</v>
      </c>
      <c r="AL22" s="301">
        <v>8</v>
      </c>
      <c r="AM22" s="302">
        <v>8</v>
      </c>
      <c r="AN22" s="426">
        <f t="shared" ref="AN22:AN42" si="51">COUNT(I22:AM22)</f>
        <v>27</v>
      </c>
      <c r="AO22" s="180">
        <f t="shared" ref="AO22:AO42" si="52">SUM(I22:AM22)</f>
        <v>216</v>
      </c>
      <c r="AP22" s="292">
        <f t="shared" si="41"/>
        <v>0</v>
      </c>
      <c r="AQ22" s="178">
        <f t="shared" ref="AQ22:AQ58" si="53">COUNTIFS($I22:$AM22,$AQ$6)</f>
        <v>4</v>
      </c>
      <c r="AR22" s="178">
        <f t="shared" si="42"/>
        <v>0</v>
      </c>
      <c r="AS22" s="178">
        <f t="shared" si="43"/>
        <v>0</v>
      </c>
      <c r="AT22" s="178">
        <f t="shared" si="44"/>
        <v>0</v>
      </c>
      <c r="AU22" s="63">
        <f t="shared" ref="AU22:AU58" si="54">AU21</f>
        <v>5</v>
      </c>
      <c r="AV22" s="221">
        <f t="shared" ref="AV22:AV44" si="55">COUNTIF(I22:AM22,"RD")</f>
        <v>4</v>
      </c>
      <c r="AW22" s="221">
        <f>AU22-AV22</f>
        <v>1</v>
      </c>
      <c r="AX22" s="221">
        <f t="shared" si="34"/>
        <v>0</v>
      </c>
      <c r="AY22" s="221">
        <f t="shared" si="47"/>
        <v>0</v>
      </c>
      <c r="AZ22" s="221">
        <f t="shared" si="48"/>
        <v>0</v>
      </c>
      <c r="BA22" s="221">
        <f t="shared" si="49"/>
        <v>0</v>
      </c>
      <c r="BB22" s="221">
        <f t="shared" si="50"/>
        <v>0</v>
      </c>
      <c r="BC22" s="360"/>
    </row>
    <row r="23" spans="1:55" s="75" customFormat="1" ht="25.5" customHeight="1">
      <c r="A23" s="227" t="s">
        <v>54</v>
      </c>
      <c r="B23" s="141" t="s">
        <v>55</v>
      </c>
      <c r="C23" s="396" t="s">
        <v>56</v>
      </c>
      <c r="D23" s="128" t="s">
        <v>57</v>
      </c>
      <c r="E23" s="291" t="s">
        <v>40</v>
      </c>
      <c r="F23" s="63" t="s">
        <v>41</v>
      </c>
      <c r="G23" s="182">
        <v>8</v>
      </c>
      <c r="H23" s="128" t="s">
        <v>33</v>
      </c>
      <c r="I23" s="300" t="s">
        <v>372</v>
      </c>
      <c r="J23" s="301">
        <v>8</v>
      </c>
      <c r="K23" s="301">
        <v>8</v>
      </c>
      <c r="L23" s="301">
        <v>8</v>
      </c>
      <c r="M23" s="301">
        <v>8</v>
      </c>
      <c r="N23" s="301">
        <v>8</v>
      </c>
      <c r="O23" s="301" t="s">
        <v>372</v>
      </c>
      <c r="P23" s="301" t="s">
        <v>393</v>
      </c>
      <c r="Q23" s="301">
        <v>8</v>
      </c>
      <c r="R23" s="301">
        <v>8</v>
      </c>
      <c r="S23" s="301">
        <v>8</v>
      </c>
      <c r="T23" s="301">
        <v>8</v>
      </c>
      <c r="U23" s="301">
        <v>8</v>
      </c>
      <c r="V23" s="301">
        <v>8</v>
      </c>
      <c r="W23" s="301" t="s">
        <v>393</v>
      </c>
      <c r="X23" s="301" t="s">
        <v>372</v>
      </c>
      <c r="Y23" s="301">
        <v>8</v>
      </c>
      <c r="Z23" s="301">
        <v>8</v>
      </c>
      <c r="AA23" s="301">
        <v>8</v>
      </c>
      <c r="AB23" s="301">
        <v>8</v>
      </c>
      <c r="AC23" s="301">
        <v>8</v>
      </c>
      <c r="AD23" s="301" t="s">
        <v>393</v>
      </c>
      <c r="AE23" s="301" t="s">
        <v>372</v>
      </c>
      <c r="AF23" s="301">
        <v>8</v>
      </c>
      <c r="AG23" s="301">
        <v>8</v>
      </c>
      <c r="AH23" s="301">
        <v>8</v>
      </c>
      <c r="AI23" s="301">
        <v>8</v>
      </c>
      <c r="AJ23" s="301">
        <v>8</v>
      </c>
      <c r="AK23" s="301" t="s">
        <v>393</v>
      </c>
      <c r="AL23" s="301">
        <v>8</v>
      </c>
      <c r="AM23" s="302" t="s">
        <v>372</v>
      </c>
      <c r="AN23" s="128">
        <f t="shared" si="51"/>
        <v>22</v>
      </c>
      <c r="AO23" s="176">
        <f t="shared" si="52"/>
        <v>176</v>
      </c>
      <c r="AP23" s="291">
        <f t="shared" si="41"/>
        <v>0</v>
      </c>
      <c r="AQ23" s="63">
        <f t="shared" si="53"/>
        <v>5</v>
      </c>
      <c r="AR23" s="63">
        <f t="shared" si="42"/>
        <v>0</v>
      </c>
      <c r="AS23" s="63">
        <f t="shared" si="43"/>
        <v>0</v>
      </c>
      <c r="AT23" s="63">
        <f t="shared" si="44"/>
        <v>0</v>
      </c>
      <c r="AU23" s="63">
        <f t="shared" si="54"/>
        <v>5</v>
      </c>
      <c r="AV23" s="221">
        <f t="shared" si="55"/>
        <v>5</v>
      </c>
      <c r="AW23" s="221">
        <f>AU23-AV23</f>
        <v>0</v>
      </c>
      <c r="AX23" s="221">
        <f t="shared" si="34"/>
        <v>0</v>
      </c>
      <c r="AY23" s="221">
        <f t="shared" si="47"/>
        <v>0</v>
      </c>
      <c r="AZ23" s="221">
        <f t="shared" si="48"/>
        <v>0</v>
      </c>
      <c r="BA23" s="221">
        <f t="shared" si="49"/>
        <v>0</v>
      </c>
      <c r="BB23" s="221">
        <f t="shared" si="50"/>
        <v>0</v>
      </c>
      <c r="BC23" s="360"/>
    </row>
    <row r="24" spans="1:55" s="75" customFormat="1" ht="25.5" customHeight="1">
      <c r="B24" s="141" t="s">
        <v>58</v>
      </c>
      <c r="C24" s="396" t="s">
        <v>59</v>
      </c>
      <c r="D24" s="128" t="s">
        <v>60</v>
      </c>
      <c r="E24" s="291" t="s">
        <v>40</v>
      </c>
      <c r="F24" s="63" t="s">
        <v>41</v>
      </c>
      <c r="G24" s="182">
        <v>8</v>
      </c>
      <c r="H24" s="128" t="s">
        <v>33</v>
      </c>
      <c r="I24" s="300">
        <v>8</v>
      </c>
      <c r="J24" s="301">
        <v>8</v>
      </c>
      <c r="K24" s="301">
        <v>8</v>
      </c>
      <c r="L24" s="301">
        <v>8</v>
      </c>
      <c r="M24" s="301">
        <v>8</v>
      </c>
      <c r="N24" s="301">
        <v>8</v>
      </c>
      <c r="O24" s="301" t="s">
        <v>372</v>
      </c>
      <c r="P24" s="301">
        <v>8</v>
      </c>
      <c r="Q24" s="301">
        <v>8</v>
      </c>
      <c r="R24" s="301">
        <v>8</v>
      </c>
      <c r="S24" s="301" t="s">
        <v>372</v>
      </c>
      <c r="T24" s="301">
        <v>8</v>
      </c>
      <c r="U24" s="301">
        <v>8</v>
      </c>
      <c r="V24" s="301">
        <v>8</v>
      </c>
      <c r="W24" s="301">
        <v>8</v>
      </c>
      <c r="X24" s="301">
        <v>8</v>
      </c>
      <c r="Y24" s="301">
        <v>8</v>
      </c>
      <c r="Z24" s="301" t="s">
        <v>372</v>
      </c>
      <c r="AA24" s="301">
        <v>8</v>
      </c>
      <c r="AB24" s="301">
        <v>8</v>
      </c>
      <c r="AC24" s="301" t="s">
        <v>372</v>
      </c>
      <c r="AD24" s="301">
        <v>8</v>
      </c>
      <c r="AE24" s="301">
        <v>8</v>
      </c>
      <c r="AF24" s="301">
        <v>8</v>
      </c>
      <c r="AG24" s="301">
        <v>8</v>
      </c>
      <c r="AH24" s="301">
        <v>8</v>
      </c>
      <c r="AI24" s="301">
        <v>8</v>
      </c>
      <c r="AJ24" s="301" t="s">
        <v>372</v>
      </c>
      <c r="AK24" s="301">
        <v>8</v>
      </c>
      <c r="AL24" s="301">
        <v>8</v>
      </c>
      <c r="AM24" s="302">
        <v>8</v>
      </c>
      <c r="AN24" s="128">
        <f t="shared" si="51"/>
        <v>26</v>
      </c>
      <c r="AO24" s="176">
        <f t="shared" si="52"/>
        <v>208</v>
      </c>
      <c r="AP24" s="291">
        <f t="shared" si="41"/>
        <v>0</v>
      </c>
      <c r="AQ24" s="63">
        <f t="shared" si="53"/>
        <v>5</v>
      </c>
      <c r="AR24" s="63">
        <f t="shared" si="42"/>
        <v>0</v>
      </c>
      <c r="AS24" s="63">
        <f t="shared" si="43"/>
        <v>0</v>
      </c>
      <c r="AT24" s="63">
        <f t="shared" si="44"/>
        <v>0</v>
      </c>
      <c r="AU24" s="63">
        <f t="shared" si="54"/>
        <v>5</v>
      </c>
      <c r="AV24" s="221">
        <f t="shared" si="55"/>
        <v>5</v>
      </c>
      <c r="AW24" s="221">
        <f t="shared" ref="AW24" si="56">AU24-AV24</f>
        <v>0</v>
      </c>
      <c r="AX24" s="221">
        <f t="shared" si="34"/>
        <v>0</v>
      </c>
      <c r="AY24" s="221">
        <f t="shared" si="47"/>
        <v>0</v>
      </c>
      <c r="AZ24" s="221">
        <f t="shared" si="48"/>
        <v>0</v>
      </c>
      <c r="BA24" s="221">
        <f t="shared" si="49"/>
        <v>0</v>
      </c>
      <c r="BB24" s="221">
        <f t="shared" si="50"/>
        <v>0</v>
      </c>
      <c r="BC24" s="360"/>
    </row>
    <row r="25" spans="1:55" s="75" customFormat="1" ht="25.5" customHeight="1">
      <c r="B25" s="141" t="s">
        <v>61</v>
      </c>
      <c r="C25" s="396" t="s">
        <v>62</v>
      </c>
      <c r="D25" s="128" t="s">
        <v>63</v>
      </c>
      <c r="E25" s="291" t="s">
        <v>40</v>
      </c>
      <c r="F25" s="63" t="s">
        <v>41</v>
      </c>
      <c r="G25" s="182">
        <v>8</v>
      </c>
      <c r="H25" s="128" t="s">
        <v>33</v>
      </c>
      <c r="I25" s="300">
        <v>8</v>
      </c>
      <c r="J25" s="301">
        <v>8</v>
      </c>
      <c r="K25" s="301">
        <v>8</v>
      </c>
      <c r="L25" s="301" t="s">
        <v>372</v>
      </c>
      <c r="M25" s="301">
        <v>8</v>
      </c>
      <c r="N25" s="301">
        <v>8</v>
      </c>
      <c r="O25" s="301">
        <v>8</v>
      </c>
      <c r="P25" s="301">
        <v>8</v>
      </c>
      <c r="Q25" s="301">
        <v>8</v>
      </c>
      <c r="R25" s="301" t="s">
        <v>372</v>
      </c>
      <c r="S25" s="301">
        <v>8</v>
      </c>
      <c r="T25" s="301">
        <v>8</v>
      </c>
      <c r="U25" s="301">
        <v>8</v>
      </c>
      <c r="V25" s="301" t="s">
        <v>372</v>
      </c>
      <c r="W25" s="301">
        <v>8</v>
      </c>
      <c r="X25" s="301">
        <v>8</v>
      </c>
      <c r="Y25" s="301">
        <v>8</v>
      </c>
      <c r="Z25" s="301">
        <v>8</v>
      </c>
      <c r="AA25" s="301">
        <v>8</v>
      </c>
      <c r="AB25" s="301" t="s">
        <v>372</v>
      </c>
      <c r="AC25" s="301">
        <v>8</v>
      </c>
      <c r="AD25" s="301">
        <v>8</v>
      </c>
      <c r="AE25" s="301">
        <v>8</v>
      </c>
      <c r="AF25" s="301">
        <v>8</v>
      </c>
      <c r="AG25" s="301">
        <v>8</v>
      </c>
      <c r="AH25" s="301" t="s">
        <v>10</v>
      </c>
      <c r="AI25" s="301">
        <v>8</v>
      </c>
      <c r="AJ25" s="301">
        <v>8</v>
      </c>
      <c r="AK25" s="301">
        <v>8</v>
      </c>
      <c r="AL25" s="301">
        <v>8</v>
      </c>
      <c r="AM25" s="302" t="s">
        <v>372</v>
      </c>
      <c r="AN25" s="128">
        <f t="shared" si="51"/>
        <v>25</v>
      </c>
      <c r="AO25" s="176">
        <f t="shared" si="52"/>
        <v>200</v>
      </c>
      <c r="AP25" s="291">
        <f t="shared" si="41"/>
        <v>0</v>
      </c>
      <c r="AQ25" s="63">
        <f t="shared" si="53"/>
        <v>5</v>
      </c>
      <c r="AR25" s="63">
        <f t="shared" si="42"/>
        <v>1</v>
      </c>
      <c r="AS25" s="63">
        <f t="shared" si="43"/>
        <v>0</v>
      </c>
      <c r="AT25" s="63">
        <f t="shared" si="44"/>
        <v>0</v>
      </c>
      <c r="AU25" s="63">
        <f t="shared" si="54"/>
        <v>5</v>
      </c>
      <c r="AV25" s="221">
        <f t="shared" si="55"/>
        <v>5</v>
      </c>
      <c r="AW25" s="221">
        <f t="shared" ref="AW25:AW42" si="57">AU25-AV25</f>
        <v>0</v>
      </c>
      <c r="AX25" s="221">
        <f t="shared" si="34"/>
        <v>0</v>
      </c>
      <c r="AY25" s="221">
        <f t="shared" si="47"/>
        <v>0</v>
      </c>
      <c r="AZ25" s="221">
        <f t="shared" si="48"/>
        <v>1</v>
      </c>
      <c r="BA25" s="221">
        <f t="shared" si="49"/>
        <v>0</v>
      </c>
      <c r="BB25" s="221">
        <f t="shared" si="50"/>
        <v>0</v>
      </c>
      <c r="BC25" s="360"/>
    </row>
    <row r="26" spans="1:55" s="75" customFormat="1" ht="25.5" customHeight="1">
      <c r="B26" s="141" t="s">
        <v>64</v>
      </c>
      <c r="C26" s="396" t="s">
        <v>65</v>
      </c>
      <c r="D26" s="128" t="s">
        <v>66</v>
      </c>
      <c r="E26" s="291" t="s">
        <v>40</v>
      </c>
      <c r="F26" s="63" t="s">
        <v>41</v>
      </c>
      <c r="G26" s="182">
        <v>8</v>
      </c>
      <c r="H26" s="128" t="s">
        <v>33</v>
      </c>
      <c r="I26" s="300">
        <v>8</v>
      </c>
      <c r="J26" s="301" t="s">
        <v>372</v>
      </c>
      <c r="K26" s="301">
        <v>8</v>
      </c>
      <c r="L26" s="301">
        <v>8</v>
      </c>
      <c r="M26" s="301">
        <v>8</v>
      </c>
      <c r="N26" s="301">
        <v>8</v>
      </c>
      <c r="O26" s="301">
        <v>8</v>
      </c>
      <c r="P26" s="301">
        <v>8</v>
      </c>
      <c r="Q26" s="301" t="s">
        <v>372</v>
      </c>
      <c r="R26" s="301" t="s">
        <v>372</v>
      </c>
      <c r="S26" s="301">
        <v>8</v>
      </c>
      <c r="T26" s="301">
        <v>8</v>
      </c>
      <c r="U26" s="301">
        <v>8</v>
      </c>
      <c r="V26" s="301">
        <v>8</v>
      </c>
      <c r="W26" s="301">
        <v>8</v>
      </c>
      <c r="X26" s="301">
        <v>8</v>
      </c>
      <c r="Y26" s="301" t="s">
        <v>372</v>
      </c>
      <c r="Z26" s="301">
        <v>8</v>
      </c>
      <c r="AA26" s="301">
        <v>8</v>
      </c>
      <c r="AB26" s="301">
        <v>8</v>
      </c>
      <c r="AC26" s="301">
        <v>8</v>
      </c>
      <c r="AD26" s="301">
        <v>8</v>
      </c>
      <c r="AE26" s="301">
        <v>8</v>
      </c>
      <c r="AF26" s="301" t="s">
        <v>372</v>
      </c>
      <c r="AG26" s="301">
        <v>8</v>
      </c>
      <c r="AH26" s="301">
        <v>8</v>
      </c>
      <c r="AI26" s="301">
        <v>8</v>
      </c>
      <c r="AJ26" s="301">
        <v>8</v>
      </c>
      <c r="AK26" s="301">
        <v>8</v>
      </c>
      <c r="AL26" s="301">
        <v>8</v>
      </c>
      <c r="AM26" s="302">
        <v>8</v>
      </c>
      <c r="AN26" s="128">
        <f t="shared" si="51"/>
        <v>26</v>
      </c>
      <c r="AO26" s="176">
        <f t="shared" si="52"/>
        <v>208</v>
      </c>
      <c r="AP26" s="291">
        <f t="shared" si="41"/>
        <v>0</v>
      </c>
      <c r="AQ26" s="63">
        <f t="shared" si="53"/>
        <v>5</v>
      </c>
      <c r="AR26" s="63">
        <f t="shared" si="42"/>
        <v>0</v>
      </c>
      <c r="AS26" s="63">
        <f t="shared" si="43"/>
        <v>0</v>
      </c>
      <c r="AT26" s="63">
        <f t="shared" si="44"/>
        <v>0</v>
      </c>
      <c r="AU26" s="63">
        <f t="shared" si="54"/>
        <v>5</v>
      </c>
      <c r="AV26" s="221">
        <f t="shared" si="55"/>
        <v>5</v>
      </c>
      <c r="AW26" s="221">
        <f t="shared" si="57"/>
        <v>0</v>
      </c>
      <c r="AX26" s="221">
        <f t="shared" si="34"/>
        <v>0</v>
      </c>
      <c r="AY26" s="221">
        <f t="shared" si="47"/>
        <v>0</v>
      </c>
      <c r="AZ26" s="221">
        <f t="shared" si="48"/>
        <v>0</v>
      </c>
      <c r="BA26" s="221">
        <f t="shared" si="49"/>
        <v>0</v>
      </c>
      <c r="BB26" s="221">
        <f t="shared" si="50"/>
        <v>0</v>
      </c>
      <c r="BC26" s="360"/>
    </row>
    <row r="27" spans="1:55" s="228" customFormat="1" ht="25.5" customHeight="1">
      <c r="B27" s="394" t="s">
        <v>67</v>
      </c>
      <c r="C27" s="397" t="s">
        <v>68</v>
      </c>
      <c r="D27" s="128" t="s">
        <v>69</v>
      </c>
      <c r="E27" s="332" t="s">
        <v>40</v>
      </c>
      <c r="F27" s="183" t="s">
        <v>41</v>
      </c>
      <c r="G27" s="184">
        <v>8</v>
      </c>
      <c r="H27" s="128" t="s">
        <v>33</v>
      </c>
      <c r="I27" s="300">
        <v>8</v>
      </c>
      <c r="J27" s="301">
        <v>8</v>
      </c>
      <c r="K27" s="301">
        <v>8</v>
      </c>
      <c r="L27" s="301" t="s">
        <v>372</v>
      </c>
      <c r="M27" s="301">
        <v>8</v>
      </c>
      <c r="N27" s="301">
        <v>8</v>
      </c>
      <c r="O27" s="301">
        <v>8</v>
      </c>
      <c r="P27" s="301">
        <v>8</v>
      </c>
      <c r="Q27" s="301">
        <v>8</v>
      </c>
      <c r="R27" s="301">
        <v>8</v>
      </c>
      <c r="S27" s="301" t="s">
        <v>372</v>
      </c>
      <c r="T27" s="301" t="s">
        <v>372</v>
      </c>
      <c r="U27" s="301">
        <v>8</v>
      </c>
      <c r="V27" s="301">
        <v>8</v>
      </c>
      <c r="W27" s="301">
        <v>8</v>
      </c>
      <c r="X27" s="301">
        <v>8</v>
      </c>
      <c r="Y27" s="301">
        <v>8</v>
      </c>
      <c r="Z27" s="301">
        <v>8</v>
      </c>
      <c r="AA27" s="301" t="s">
        <v>372</v>
      </c>
      <c r="AB27" s="301">
        <v>8</v>
      </c>
      <c r="AC27" s="301">
        <v>8</v>
      </c>
      <c r="AD27" s="301">
        <v>8</v>
      </c>
      <c r="AE27" s="301">
        <v>8</v>
      </c>
      <c r="AF27" s="301" t="s">
        <v>10</v>
      </c>
      <c r="AG27" s="301">
        <v>8</v>
      </c>
      <c r="AH27" s="301">
        <v>8</v>
      </c>
      <c r="AI27" s="301">
        <v>8</v>
      </c>
      <c r="AJ27" s="301">
        <v>8</v>
      </c>
      <c r="AK27" s="301">
        <v>8</v>
      </c>
      <c r="AL27" s="301">
        <v>8</v>
      </c>
      <c r="AM27" s="302" t="s">
        <v>372</v>
      </c>
      <c r="AN27" s="427">
        <f t="shared" si="51"/>
        <v>25</v>
      </c>
      <c r="AO27" s="185">
        <f t="shared" si="52"/>
        <v>200</v>
      </c>
      <c r="AP27" s="332">
        <f t="shared" si="41"/>
        <v>0</v>
      </c>
      <c r="AQ27" s="183">
        <f t="shared" si="53"/>
        <v>5</v>
      </c>
      <c r="AR27" s="183">
        <f t="shared" si="42"/>
        <v>1</v>
      </c>
      <c r="AS27" s="183">
        <f t="shared" si="43"/>
        <v>0</v>
      </c>
      <c r="AT27" s="183">
        <f t="shared" si="44"/>
        <v>0</v>
      </c>
      <c r="AU27" s="63">
        <f t="shared" si="54"/>
        <v>5</v>
      </c>
      <c r="AV27" s="229">
        <f t="shared" si="55"/>
        <v>5</v>
      </c>
      <c r="AW27" s="229">
        <f t="shared" si="57"/>
        <v>0</v>
      </c>
      <c r="AX27" s="229">
        <f t="shared" si="34"/>
        <v>0</v>
      </c>
      <c r="AY27" s="229">
        <f t="shared" si="47"/>
        <v>0</v>
      </c>
      <c r="AZ27" s="229">
        <f t="shared" si="48"/>
        <v>1</v>
      </c>
      <c r="BA27" s="229">
        <f t="shared" si="49"/>
        <v>0</v>
      </c>
      <c r="BB27" s="229">
        <f t="shared" si="50"/>
        <v>0</v>
      </c>
      <c r="BC27" s="363"/>
    </row>
    <row r="28" spans="1:55" s="75" customFormat="1" ht="25.5" customHeight="1">
      <c r="B28" s="141" t="s">
        <v>70</v>
      </c>
      <c r="C28" s="396" t="s">
        <v>71</v>
      </c>
      <c r="D28" s="128" t="s">
        <v>72</v>
      </c>
      <c r="E28" s="291" t="s">
        <v>40</v>
      </c>
      <c r="F28" s="63" t="s">
        <v>41</v>
      </c>
      <c r="G28" s="182">
        <v>8</v>
      </c>
      <c r="H28" s="128" t="s">
        <v>33</v>
      </c>
      <c r="I28" s="300">
        <v>8</v>
      </c>
      <c r="J28" s="301">
        <v>8</v>
      </c>
      <c r="K28" s="301" t="s">
        <v>372</v>
      </c>
      <c r="L28" s="301">
        <v>8</v>
      </c>
      <c r="M28" s="301">
        <v>8</v>
      </c>
      <c r="N28" s="301">
        <v>8</v>
      </c>
      <c r="O28" s="301">
        <v>8</v>
      </c>
      <c r="P28" s="301" t="s">
        <v>372</v>
      </c>
      <c r="Q28" s="301">
        <v>8</v>
      </c>
      <c r="R28" s="301">
        <v>8</v>
      </c>
      <c r="S28" s="301">
        <v>8</v>
      </c>
      <c r="T28" s="301">
        <v>8</v>
      </c>
      <c r="U28" s="301">
        <v>8</v>
      </c>
      <c r="V28" s="301" t="s">
        <v>372</v>
      </c>
      <c r="W28" s="301">
        <v>8</v>
      </c>
      <c r="X28" s="301">
        <v>8</v>
      </c>
      <c r="Y28" s="301">
        <v>8</v>
      </c>
      <c r="Z28" s="301">
        <v>8</v>
      </c>
      <c r="AA28" s="301" t="s">
        <v>372</v>
      </c>
      <c r="AB28" s="301">
        <v>8</v>
      </c>
      <c r="AC28" s="301">
        <v>8</v>
      </c>
      <c r="AD28" s="301">
        <v>8</v>
      </c>
      <c r="AE28" s="301">
        <v>8</v>
      </c>
      <c r="AF28" s="301">
        <v>8</v>
      </c>
      <c r="AG28" s="301">
        <v>8</v>
      </c>
      <c r="AH28" s="301">
        <v>8</v>
      </c>
      <c r="AI28" s="301">
        <v>8</v>
      </c>
      <c r="AJ28" s="301">
        <v>8</v>
      </c>
      <c r="AK28" s="301" t="s">
        <v>372</v>
      </c>
      <c r="AL28" s="301">
        <v>8</v>
      </c>
      <c r="AM28" s="302">
        <v>8</v>
      </c>
      <c r="AN28" s="128">
        <f t="shared" si="51"/>
        <v>26</v>
      </c>
      <c r="AO28" s="176">
        <f t="shared" si="52"/>
        <v>208</v>
      </c>
      <c r="AP28" s="291">
        <f t="shared" si="41"/>
        <v>0</v>
      </c>
      <c r="AQ28" s="63">
        <f t="shared" si="53"/>
        <v>5</v>
      </c>
      <c r="AR28" s="63">
        <f t="shared" si="42"/>
        <v>0</v>
      </c>
      <c r="AS28" s="63">
        <f t="shared" si="43"/>
        <v>0</v>
      </c>
      <c r="AT28" s="63">
        <f t="shared" si="44"/>
        <v>0</v>
      </c>
      <c r="AU28" s="63">
        <f t="shared" si="54"/>
        <v>5</v>
      </c>
      <c r="AV28" s="221">
        <f t="shared" si="55"/>
        <v>5</v>
      </c>
      <c r="AW28" s="221">
        <f t="shared" si="57"/>
        <v>0</v>
      </c>
      <c r="AX28" s="221">
        <f t="shared" si="34"/>
        <v>0</v>
      </c>
      <c r="AY28" s="221">
        <f t="shared" si="47"/>
        <v>0</v>
      </c>
      <c r="AZ28" s="221">
        <f t="shared" si="48"/>
        <v>0</v>
      </c>
      <c r="BA28" s="221">
        <f t="shared" si="49"/>
        <v>0</v>
      </c>
      <c r="BB28" s="221">
        <f t="shared" si="50"/>
        <v>0</v>
      </c>
      <c r="BC28" s="360"/>
    </row>
    <row r="29" spans="1:55" s="75" customFormat="1" ht="25.5" customHeight="1">
      <c r="B29" s="141" t="s">
        <v>73</v>
      </c>
      <c r="C29" s="396" t="s">
        <v>74</v>
      </c>
      <c r="D29" s="128" t="s">
        <v>75</v>
      </c>
      <c r="E29" s="291" t="s">
        <v>40</v>
      </c>
      <c r="F29" s="63" t="s">
        <v>41</v>
      </c>
      <c r="G29" s="182">
        <v>8</v>
      </c>
      <c r="H29" s="128" t="s">
        <v>33</v>
      </c>
      <c r="I29" s="300">
        <v>8</v>
      </c>
      <c r="J29" s="301">
        <v>8</v>
      </c>
      <c r="K29" s="301">
        <v>8</v>
      </c>
      <c r="L29" s="301" t="s">
        <v>372</v>
      </c>
      <c r="M29" s="301">
        <v>8</v>
      </c>
      <c r="N29" s="301">
        <v>8</v>
      </c>
      <c r="O29" s="301">
        <v>8</v>
      </c>
      <c r="P29" s="301">
        <v>8</v>
      </c>
      <c r="Q29" s="301">
        <v>8</v>
      </c>
      <c r="R29" s="301" t="s">
        <v>372</v>
      </c>
      <c r="S29" s="301">
        <v>8</v>
      </c>
      <c r="T29" s="301">
        <v>8</v>
      </c>
      <c r="U29" s="301">
        <v>8</v>
      </c>
      <c r="V29" s="301">
        <v>8</v>
      </c>
      <c r="W29" s="301">
        <v>8</v>
      </c>
      <c r="X29" s="301">
        <v>8</v>
      </c>
      <c r="Y29" s="301">
        <v>8</v>
      </c>
      <c r="Z29" s="301">
        <v>8</v>
      </c>
      <c r="AA29" s="301" t="s">
        <v>372</v>
      </c>
      <c r="AB29" s="301" t="s">
        <v>372</v>
      </c>
      <c r="AC29" s="301">
        <v>8</v>
      </c>
      <c r="AD29" s="301">
        <v>8</v>
      </c>
      <c r="AE29" s="301">
        <v>8</v>
      </c>
      <c r="AF29" s="301">
        <v>8</v>
      </c>
      <c r="AG29" s="301" t="s">
        <v>372</v>
      </c>
      <c r="AH29" s="301">
        <v>8</v>
      </c>
      <c r="AI29" s="301">
        <v>8</v>
      </c>
      <c r="AJ29" s="301">
        <v>8</v>
      </c>
      <c r="AK29" s="301">
        <v>8</v>
      </c>
      <c r="AL29" s="301">
        <v>8</v>
      </c>
      <c r="AM29" s="302">
        <v>8</v>
      </c>
      <c r="AN29" s="128">
        <f t="shared" si="51"/>
        <v>26</v>
      </c>
      <c r="AO29" s="176">
        <f t="shared" si="52"/>
        <v>208</v>
      </c>
      <c r="AP29" s="291">
        <f t="shared" si="41"/>
        <v>0</v>
      </c>
      <c r="AQ29" s="63">
        <f t="shared" si="53"/>
        <v>5</v>
      </c>
      <c r="AR29" s="63">
        <f t="shared" si="42"/>
        <v>0</v>
      </c>
      <c r="AS29" s="63">
        <f t="shared" si="43"/>
        <v>0</v>
      </c>
      <c r="AT29" s="63">
        <f t="shared" si="44"/>
        <v>0</v>
      </c>
      <c r="AU29" s="63">
        <f t="shared" si="54"/>
        <v>5</v>
      </c>
      <c r="AV29" s="221">
        <f t="shared" si="55"/>
        <v>5</v>
      </c>
      <c r="AW29" s="221">
        <f t="shared" si="57"/>
        <v>0</v>
      </c>
      <c r="AX29" s="221">
        <f t="shared" si="34"/>
        <v>0</v>
      </c>
      <c r="AY29" s="221">
        <f t="shared" si="47"/>
        <v>0</v>
      </c>
      <c r="AZ29" s="221">
        <f t="shared" si="48"/>
        <v>0</v>
      </c>
      <c r="BA29" s="221">
        <f t="shared" si="49"/>
        <v>0</v>
      </c>
      <c r="BB29" s="221">
        <f t="shared" si="50"/>
        <v>0</v>
      </c>
      <c r="BC29" s="360"/>
    </row>
    <row r="30" spans="1:55" s="75" customFormat="1" ht="25.5" customHeight="1">
      <c r="B30" s="141" t="s">
        <v>76</v>
      </c>
      <c r="C30" s="396" t="s">
        <v>77</v>
      </c>
      <c r="D30" s="128" t="s">
        <v>78</v>
      </c>
      <c r="E30" s="291" t="s">
        <v>40</v>
      </c>
      <c r="F30" s="63" t="s">
        <v>41</v>
      </c>
      <c r="G30" s="182">
        <v>8</v>
      </c>
      <c r="H30" s="128" t="s">
        <v>33</v>
      </c>
      <c r="I30" s="300">
        <v>8</v>
      </c>
      <c r="J30" s="301">
        <v>8</v>
      </c>
      <c r="K30" s="301" t="s">
        <v>372</v>
      </c>
      <c r="L30" s="301">
        <v>8</v>
      </c>
      <c r="M30" s="301">
        <v>8</v>
      </c>
      <c r="N30" s="301">
        <v>8</v>
      </c>
      <c r="O30" s="301">
        <v>8</v>
      </c>
      <c r="P30" s="301">
        <v>8</v>
      </c>
      <c r="Q30" s="301">
        <v>8</v>
      </c>
      <c r="R30" s="301">
        <v>8</v>
      </c>
      <c r="S30" s="301" t="s">
        <v>372</v>
      </c>
      <c r="T30" s="301">
        <v>8</v>
      </c>
      <c r="U30" s="301">
        <v>8</v>
      </c>
      <c r="V30" s="301">
        <v>8</v>
      </c>
      <c r="W30" s="301">
        <v>8</v>
      </c>
      <c r="X30" s="301">
        <v>8</v>
      </c>
      <c r="Y30" s="301">
        <v>8</v>
      </c>
      <c r="Z30" s="301">
        <v>8</v>
      </c>
      <c r="AA30" s="301">
        <v>8</v>
      </c>
      <c r="AB30" s="301" t="s">
        <v>372</v>
      </c>
      <c r="AC30" s="301" t="s">
        <v>372</v>
      </c>
      <c r="AD30" s="301" t="s">
        <v>372</v>
      </c>
      <c r="AE30" s="301">
        <v>8</v>
      </c>
      <c r="AF30" s="301">
        <v>8</v>
      </c>
      <c r="AG30" s="301">
        <v>8</v>
      </c>
      <c r="AH30" s="301">
        <v>8</v>
      </c>
      <c r="AI30" s="301">
        <v>8</v>
      </c>
      <c r="AJ30" s="301">
        <v>8</v>
      </c>
      <c r="AK30" s="301" t="s">
        <v>10</v>
      </c>
      <c r="AL30" s="301">
        <v>8</v>
      </c>
      <c r="AM30" s="302">
        <v>8</v>
      </c>
      <c r="AN30" s="128">
        <f t="shared" si="51"/>
        <v>25</v>
      </c>
      <c r="AO30" s="176">
        <f t="shared" si="52"/>
        <v>200</v>
      </c>
      <c r="AP30" s="291">
        <f t="shared" si="41"/>
        <v>0</v>
      </c>
      <c r="AQ30" s="63">
        <f t="shared" si="53"/>
        <v>5</v>
      </c>
      <c r="AR30" s="63">
        <f t="shared" si="42"/>
        <v>1</v>
      </c>
      <c r="AS30" s="63">
        <f t="shared" si="43"/>
        <v>0</v>
      </c>
      <c r="AT30" s="63">
        <f t="shared" si="44"/>
        <v>0</v>
      </c>
      <c r="AU30" s="63">
        <f t="shared" si="54"/>
        <v>5</v>
      </c>
      <c r="AV30" s="221">
        <f t="shared" si="55"/>
        <v>5</v>
      </c>
      <c r="AW30" s="221">
        <f t="shared" si="57"/>
        <v>0</v>
      </c>
      <c r="AX30" s="221">
        <f t="shared" si="34"/>
        <v>0</v>
      </c>
      <c r="AY30" s="221">
        <f t="shared" si="47"/>
        <v>0</v>
      </c>
      <c r="AZ30" s="221">
        <f t="shared" si="48"/>
        <v>1</v>
      </c>
      <c r="BA30" s="221">
        <f t="shared" si="49"/>
        <v>0</v>
      </c>
      <c r="BB30" s="221">
        <f t="shared" si="50"/>
        <v>0</v>
      </c>
      <c r="BC30" s="360"/>
    </row>
    <row r="31" spans="1:55" s="75" customFormat="1" ht="25.5" customHeight="1">
      <c r="B31" s="141" t="s">
        <v>79</v>
      </c>
      <c r="C31" s="396" t="s">
        <v>80</v>
      </c>
      <c r="D31" s="128" t="s">
        <v>81</v>
      </c>
      <c r="E31" s="291" t="s">
        <v>40</v>
      </c>
      <c r="F31" s="63" t="s">
        <v>41</v>
      </c>
      <c r="G31" s="182">
        <v>8</v>
      </c>
      <c r="H31" s="128" t="s">
        <v>33</v>
      </c>
      <c r="I31" s="300">
        <v>8</v>
      </c>
      <c r="J31" s="301" t="s">
        <v>372</v>
      </c>
      <c r="K31" s="301">
        <v>8</v>
      </c>
      <c r="L31" s="301">
        <v>8</v>
      </c>
      <c r="M31" s="301">
        <v>8</v>
      </c>
      <c r="N31" s="301">
        <v>8</v>
      </c>
      <c r="O31" s="301">
        <v>8</v>
      </c>
      <c r="P31" s="301">
        <v>8</v>
      </c>
      <c r="Q31" s="301" t="s">
        <v>372</v>
      </c>
      <c r="R31" s="301">
        <v>8</v>
      </c>
      <c r="S31" s="301">
        <v>8</v>
      </c>
      <c r="T31" s="301">
        <v>8</v>
      </c>
      <c r="U31" s="301">
        <v>8</v>
      </c>
      <c r="V31" s="301">
        <v>8</v>
      </c>
      <c r="W31" s="301">
        <v>8</v>
      </c>
      <c r="X31" s="301" t="s">
        <v>372</v>
      </c>
      <c r="Y31" s="301">
        <v>8</v>
      </c>
      <c r="Z31" s="301">
        <v>8</v>
      </c>
      <c r="AA31" s="301">
        <v>8</v>
      </c>
      <c r="AB31" s="301">
        <v>8</v>
      </c>
      <c r="AC31" s="301">
        <v>8</v>
      </c>
      <c r="AD31" s="301">
        <v>8</v>
      </c>
      <c r="AE31" s="301" t="s">
        <v>372</v>
      </c>
      <c r="AF31" s="301">
        <v>8</v>
      </c>
      <c r="AG31" s="301">
        <v>8</v>
      </c>
      <c r="AH31" s="301">
        <v>8</v>
      </c>
      <c r="AI31" s="301">
        <v>8</v>
      </c>
      <c r="AJ31" s="301">
        <v>8</v>
      </c>
      <c r="AK31" s="301">
        <v>8</v>
      </c>
      <c r="AL31" s="301" t="s">
        <v>372</v>
      </c>
      <c r="AM31" s="302">
        <v>8</v>
      </c>
      <c r="AN31" s="128">
        <f t="shared" si="51"/>
        <v>26</v>
      </c>
      <c r="AO31" s="176">
        <f t="shared" si="52"/>
        <v>208</v>
      </c>
      <c r="AP31" s="291">
        <f t="shared" si="41"/>
        <v>0</v>
      </c>
      <c r="AQ31" s="63">
        <f t="shared" si="53"/>
        <v>5</v>
      </c>
      <c r="AR31" s="63">
        <f t="shared" si="42"/>
        <v>0</v>
      </c>
      <c r="AS31" s="63">
        <f t="shared" si="43"/>
        <v>0</v>
      </c>
      <c r="AT31" s="63">
        <f t="shared" si="44"/>
        <v>0</v>
      </c>
      <c r="AU31" s="63">
        <f t="shared" si="54"/>
        <v>5</v>
      </c>
      <c r="AV31" s="221">
        <f t="shared" si="55"/>
        <v>5</v>
      </c>
      <c r="AW31" s="221">
        <f t="shared" si="57"/>
        <v>0</v>
      </c>
      <c r="AX31" s="221">
        <f t="shared" si="34"/>
        <v>0</v>
      </c>
      <c r="AY31" s="221">
        <f t="shared" si="47"/>
        <v>0</v>
      </c>
      <c r="AZ31" s="221">
        <f t="shared" si="48"/>
        <v>0</v>
      </c>
      <c r="BA31" s="221">
        <f t="shared" si="49"/>
        <v>0</v>
      </c>
      <c r="BB31" s="221">
        <f t="shared" si="50"/>
        <v>0</v>
      </c>
      <c r="BC31" s="360"/>
    </row>
    <row r="32" spans="1:55" s="228" customFormat="1" ht="25.5" customHeight="1">
      <c r="B32" s="394" t="s">
        <v>82</v>
      </c>
      <c r="C32" s="397" t="s">
        <v>83</v>
      </c>
      <c r="D32" s="128" t="s">
        <v>84</v>
      </c>
      <c r="E32" s="332" t="s">
        <v>40</v>
      </c>
      <c r="F32" s="183" t="s">
        <v>41</v>
      </c>
      <c r="G32" s="184">
        <v>8</v>
      </c>
      <c r="H32" s="128" t="s">
        <v>33</v>
      </c>
      <c r="I32" s="300">
        <v>8</v>
      </c>
      <c r="J32" s="301" t="s">
        <v>372</v>
      </c>
      <c r="K32" s="301">
        <v>8</v>
      </c>
      <c r="L32" s="301">
        <v>8</v>
      </c>
      <c r="M32" s="301">
        <v>8</v>
      </c>
      <c r="N32" s="301">
        <v>8</v>
      </c>
      <c r="O32" s="301">
        <v>8</v>
      </c>
      <c r="P32" s="301">
        <v>8</v>
      </c>
      <c r="Q32" s="301">
        <v>8</v>
      </c>
      <c r="R32" s="301">
        <v>8</v>
      </c>
      <c r="S32" s="301" t="s">
        <v>372</v>
      </c>
      <c r="T32" s="301">
        <v>8</v>
      </c>
      <c r="U32" s="301">
        <v>8</v>
      </c>
      <c r="V32" s="301">
        <v>8</v>
      </c>
      <c r="W32" s="301">
        <v>8</v>
      </c>
      <c r="X32" s="301">
        <v>8</v>
      </c>
      <c r="Y32" s="301">
        <v>8</v>
      </c>
      <c r="Z32" s="301" t="s">
        <v>372</v>
      </c>
      <c r="AA32" s="301">
        <v>8</v>
      </c>
      <c r="AB32" s="301">
        <v>8</v>
      </c>
      <c r="AC32" s="301">
        <v>8</v>
      </c>
      <c r="AD32" s="301">
        <v>8</v>
      </c>
      <c r="AE32" s="301">
        <v>8</v>
      </c>
      <c r="AF32" s="301">
        <v>8</v>
      </c>
      <c r="AG32" s="301">
        <v>8</v>
      </c>
      <c r="AH32" s="301">
        <v>8</v>
      </c>
      <c r="AI32" s="301">
        <v>8</v>
      </c>
      <c r="AJ32" s="301">
        <v>8</v>
      </c>
      <c r="AK32" s="301">
        <v>8</v>
      </c>
      <c r="AL32" s="301">
        <v>8</v>
      </c>
      <c r="AM32" s="302" t="s">
        <v>372</v>
      </c>
      <c r="AN32" s="427">
        <f t="shared" si="51"/>
        <v>27</v>
      </c>
      <c r="AO32" s="185">
        <f t="shared" si="52"/>
        <v>216</v>
      </c>
      <c r="AP32" s="332">
        <f t="shared" si="41"/>
        <v>0</v>
      </c>
      <c r="AQ32" s="183">
        <f t="shared" si="53"/>
        <v>4</v>
      </c>
      <c r="AR32" s="183">
        <f t="shared" si="42"/>
        <v>0</v>
      </c>
      <c r="AS32" s="183">
        <f t="shared" si="43"/>
        <v>0</v>
      </c>
      <c r="AT32" s="183">
        <f t="shared" si="44"/>
        <v>0</v>
      </c>
      <c r="AU32" s="63">
        <f t="shared" si="54"/>
        <v>5</v>
      </c>
      <c r="AV32" s="229">
        <f t="shared" si="55"/>
        <v>4</v>
      </c>
      <c r="AW32" s="229">
        <f t="shared" si="57"/>
        <v>1</v>
      </c>
      <c r="AX32" s="229">
        <f t="shared" si="34"/>
        <v>0</v>
      </c>
      <c r="AY32" s="229">
        <f t="shared" si="47"/>
        <v>0</v>
      </c>
      <c r="AZ32" s="229">
        <f t="shared" si="48"/>
        <v>0</v>
      </c>
      <c r="BA32" s="229">
        <f t="shared" si="49"/>
        <v>0</v>
      </c>
      <c r="BB32" s="229">
        <f t="shared" si="50"/>
        <v>0</v>
      </c>
      <c r="BC32" s="363"/>
    </row>
    <row r="33" spans="1:55" s="68" customFormat="1" ht="25.5" customHeight="1">
      <c r="B33" s="141" t="s">
        <v>85</v>
      </c>
      <c r="C33" s="396" t="s">
        <v>86</v>
      </c>
      <c r="D33" s="128" t="s">
        <v>87</v>
      </c>
      <c r="E33" s="292" t="s">
        <v>40</v>
      </c>
      <c r="F33" s="178" t="s">
        <v>41</v>
      </c>
      <c r="G33" s="179">
        <v>8</v>
      </c>
      <c r="H33" s="128" t="s">
        <v>33</v>
      </c>
      <c r="I33" s="300">
        <v>8</v>
      </c>
      <c r="J33" s="301">
        <v>8</v>
      </c>
      <c r="K33" s="301">
        <v>8</v>
      </c>
      <c r="L33" s="301" t="s">
        <v>372</v>
      </c>
      <c r="M33" s="301">
        <v>8</v>
      </c>
      <c r="N33" s="301">
        <v>8</v>
      </c>
      <c r="O33" s="301">
        <v>8</v>
      </c>
      <c r="P33" s="301">
        <v>8</v>
      </c>
      <c r="Q33" s="301">
        <v>8</v>
      </c>
      <c r="R33" s="301">
        <v>8</v>
      </c>
      <c r="S33" s="301">
        <v>8</v>
      </c>
      <c r="T33" s="301">
        <v>8</v>
      </c>
      <c r="U33" s="301">
        <v>8</v>
      </c>
      <c r="V33" s="301">
        <v>8</v>
      </c>
      <c r="W33" s="301" t="s">
        <v>372</v>
      </c>
      <c r="X33" s="301">
        <v>8</v>
      </c>
      <c r="Y33" s="301">
        <v>8</v>
      </c>
      <c r="Z33" s="301">
        <v>8</v>
      </c>
      <c r="AA33" s="301">
        <v>8</v>
      </c>
      <c r="AB33" s="301">
        <v>8</v>
      </c>
      <c r="AC33" s="301">
        <v>8</v>
      </c>
      <c r="AD33" s="301">
        <v>8</v>
      </c>
      <c r="AE33" s="301" t="s">
        <v>372</v>
      </c>
      <c r="AF33" s="301" t="s">
        <v>372</v>
      </c>
      <c r="AG33" s="301" t="s">
        <v>372</v>
      </c>
      <c r="AH33" s="301" t="s">
        <v>10</v>
      </c>
      <c r="AI33" s="301" t="s">
        <v>10</v>
      </c>
      <c r="AJ33" s="301">
        <v>8</v>
      </c>
      <c r="AK33" s="301">
        <v>8</v>
      </c>
      <c r="AL33" s="301">
        <v>8</v>
      </c>
      <c r="AM33" s="302">
        <v>8</v>
      </c>
      <c r="AN33" s="426">
        <f t="shared" si="51"/>
        <v>24</v>
      </c>
      <c r="AO33" s="180">
        <f t="shared" si="52"/>
        <v>192</v>
      </c>
      <c r="AP33" s="291">
        <f t="shared" si="41"/>
        <v>0</v>
      </c>
      <c r="AQ33" s="178">
        <f t="shared" si="53"/>
        <v>5</v>
      </c>
      <c r="AR33" s="63">
        <f t="shared" si="42"/>
        <v>2</v>
      </c>
      <c r="AS33" s="178">
        <f t="shared" si="43"/>
        <v>0</v>
      </c>
      <c r="AT33" s="178">
        <f t="shared" si="44"/>
        <v>0</v>
      </c>
      <c r="AU33" s="63">
        <f t="shared" si="54"/>
        <v>5</v>
      </c>
      <c r="AV33" s="221">
        <f t="shared" si="55"/>
        <v>5</v>
      </c>
      <c r="AW33" s="221">
        <f t="shared" si="57"/>
        <v>0</v>
      </c>
      <c r="AX33" s="221">
        <f t="shared" si="34"/>
        <v>0</v>
      </c>
      <c r="AY33" s="221">
        <f t="shared" si="47"/>
        <v>0</v>
      </c>
      <c r="AZ33" s="221">
        <f t="shared" si="48"/>
        <v>2</v>
      </c>
      <c r="BA33" s="221">
        <f t="shared" si="49"/>
        <v>0</v>
      </c>
      <c r="BB33" s="221">
        <f t="shared" si="50"/>
        <v>0</v>
      </c>
      <c r="BC33" s="360"/>
    </row>
    <row r="34" spans="1:55" s="68" customFormat="1" ht="25.5" customHeight="1">
      <c r="B34" s="141" t="s">
        <v>88</v>
      </c>
      <c r="C34" s="396" t="s">
        <v>89</v>
      </c>
      <c r="D34" s="128" t="s">
        <v>90</v>
      </c>
      <c r="E34" s="292" t="s">
        <v>40</v>
      </c>
      <c r="F34" s="178" t="s">
        <v>41</v>
      </c>
      <c r="G34" s="179">
        <v>8</v>
      </c>
      <c r="H34" s="128" t="s">
        <v>33</v>
      </c>
      <c r="I34" s="300">
        <v>8</v>
      </c>
      <c r="J34" s="301">
        <v>8</v>
      </c>
      <c r="K34" s="301" t="s">
        <v>372</v>
      </c>
      <c r="L34" s="301">
        <v>8</v>
      </c>
      <c r="M34" s="301">
        <v>8</v>
      </c>
      <c r="N34" s="301">
        <v>8</v>
      </c>
      <c r="O34" s="301">
        <v>8</v>
      </c>
      <c r="P34" s="301">
        <v>8</v>
      </c>
      <c r="Q34" s="301">
        <v>8</v>
      </c>
      <c r="R34" s="301" t="s">
        <v>372</v>
      </c>
      <c r="S34" s="301">
        <v>8</v>
      </c>
      <c r="T34" s="301">
        <v>8</v>
      </c>
      <c r="U34" s="301">
        <v>8</v>
      </c>
      <c r="V34" s="301">
        <v>8</v>
      </c>
      <c r="W34" s="301">
        <v>8</v>
      </c>
      <c r="X34" s="301">
        <v>8</v>
      </c>
      <c r="Y34" s="301" t="s">
        <v>372</v>
      </c>
      <c r="Z34" s="301">
        <v>8</v>
      </c>
      <c r="AA34" s="301">
        <v>8</v>
      </c>
      <c r="AB34" s="301">
        <v>8</v>
      </c>
      <c r="AC34" s="301">
        <v>8</v>
      </c>
      <c r="AD34" s="301">
        <v>8</v>
      </c>
      <c r="AE34" s="301">
        <v>8</v>
      </c>
      <c r="AF34" s="301">
        <v>8</v>
      </c>
      <c r="AG34" s="301">
        <v>8</v>
      </c>
      <c r="AH34" s="301">
        <v>8</v>
      </c>
      <c r="AI34" s="301">
        <v>8</v>
      </c>
      <c r="AJ34" s="301" t="s">
        <v>372</v>
      </c>
      <c r="AK34" s="301">
        <v>8</v>
      </c>
      <c r="AL34" s="301">
        <v>8</v>
      </c>
      <c r="AM34" s="302">
        <v>8</v>
      </c>
      <c r="AN34" s="426">
        <f t="shared" si="51"/>
        <v>27</v>
      </c>
      <c r="AO34" s="180">
        <f t="shared" si="52"/>
        <v>216</v>
      </c>
      <c r="AP34" s="291">
        <f t="shared" si="41"/>
        <v>0</v>
      </c>
      <c r="AQ34" s="178">
        <f t="shared" si="53"/>
        <v>4</v>
      </c>
      <c r="AR34" s="63">
        <f t="shared" si="42"/>
        <v>0</v>
      </c>
      <c r="AS34" s="178">
        <f t="shared" si="43"/>
        <v>0</v>
      </c>
      <c r="AT34" s="178">
        <f t="shared" si="44"/>
        <v>0</v>
      </c>
      <c r="AU34" s="63">
        <f t="shared" si="54"/>
        <v>5</v>
      </c>
      <c r="AV34" s="221">
        <f t="shared" si="55"/>
        <v>4</v>
      </c>
      <c r="AW34" s="221">
        <f t="shared" si="57"/>
        <v>1</v>
      </c>
      <c r="AX34" s="221">
        <f t="shared" si="34"/>
        <v>0</v>
      </c>
      <c r="AY34" s="221">
        <f t="shared" si="47"/>
        <v>0</v>
      </c>
      <c r="AZ34" s="221">
        <f t="shared" si="48"/>
        <v>0</v>
      </c>
      <c r="BA34" s="221">
        <f t="shared" si="49"/>
        <v>0</v>
      </c>
      <c r="BB34" s="221">
        <f t="shared" si="50"/>
        <v>0</v>
      </c>
      <c r="BC34" s="360"/>
    </row>
    <row r="35" spans="1:55" s="68" customFormat="1" ht="25.5" customHeight="1">
      <c r="A35" s="230" t="s">
        <v>54</v>
      </c>
      <c r="B35" s="141" t="s">
        <v>91</v>
      </c>
      <c r="C35" s="396" t="s">
        <v>92</v>
      </c>
      <c r="D35" s="128" t="s">
        <v>379</v>
      </c>
      <c r="E35" s="292" t="s">
        <v>40</v>
      </c>
      <c r="F35" s="178" t="s">
        <v>41</v>
      </c>
      <c r="G35" s="179">
        <v>8</v>
      </c>
      <c r="H35" s="128" t="s">
        <v>33</v>
      </c>
      <c r="I35" s="300">
        <v>8</v>
      </c>
      <c r="J35" s="301">
        <v>8</v>
      </c>
      <c r="K35" s="301">
        <v>8</v>
      </c>
      <c r="L35" s="301">
        <v>8</v>
      </c>
      <c r="M35" s="301" t="s">
        <v>372</v>
      </c>
      <c r="N35" s="301">
        <v>8</v>
      </c>
      <c r="O35" s="301">
        <v>8</v>
      </c>
      <c r="P35" s="301">
        <v>8</v>
      </c>
      <c r="Q35" s="301">
        <v>8</v>
      </c>
      <c r="R35" s="301">
        <v>8</v>
      </c>
      <c r="S35" s="301">
        <v>8</v>
      </c>
      <c r="T35" s="301">
        <v>8</v>
      </c>
      <c r="U35" s="301" t="s">
        <v>372</v>
      </c>
      <c r="V35" s="301">
        <v>8</v>
      </c>
      <c r="W35" s="301">
        <v>8</v>
      </c>
      <c r="X35" s="301">
        <v>8</v>
      </c>
      <c r="Y35" s="301">
        <v>8</v>
      </c>
      <c r="Z35" s="301">
        <v>8</v>
      </c>
      <c r="AA35" s="301" t="s">
        <v>372</v>
      </c>
      <c r="AB35" s="301">
        <v>8</v>
      </c>
      <c r="AC35" s="301">
        <v>8</v>
      </c>
      <c r="AD35" s="301">
        <v>8</v>
      </c>
      <c r="AE35" s="301">
        <v>8</v>
      </c>
      <c r="AF35" s="301">
        <v>8</v>
      </c>
      <c r="AG35" s="301">
        <v>8</v>
      </c>
      <c r="AH35" s="301">
        <v>8</v>
      </c>
      <c r="AI35" s="301">
        <v>8</v>
      </c>
      <c r="AJ35" s="301">
        <v>8</v>
      </c>
      <c r="AK35" s="301">
        <v>8</v>
      </c>
      <c r="AL35" s="301" t="s">
        <v>372</v>
      </c>
      <c r="AM35" s="302">
        <v>8</v>
      </c>
      <c r="AN35" s="426">
        <f t="shared" si="51"/>
        <v>27</v>
      </c>
      <c r="AO35" s="180">
        <f t="shared" si="52"/>
        <v>216</v>
      </c>
      <c r="AP35" s="292">
        <f t="shared" si="41"/>
        <v>0</v>
      </c>
      <c r="AQ35" s="178">
        <f t="shared" si="53"/>
        <v>4</v>
      </c>
      <c r="AR35" s="178">
        <f t="shared" si="42"/>
        <v>0</v>
      </c>
      <c r="AS35" s="178">
        <f t="shared" si="43"/>
        <v>0</v>
      </c>
      <c r="AT35" s="178">
        <f t="shared" si="44"/>
        <v>0</v>
      </c>
      <c r="AU35" s="63">
        <f t="shared" si="54"/>
        <v>5</v>
      </c>
      <c r="AV35" s="221">
        <f t="shared" si="55"/>
        <v>4</v>
      </c>
      <c r="AW35" s="221">
        <f t="shared" si="57"/>
        <v>1</v>
      </c>
      <c r="AX35" s="221">
        <f t="shared" si="34"/>
        <v>0</v>
      </c>
      <c r="AY35" s="221">
        <f t="shared" si="47"/>
        <v>0</v>
      </c>
      <c r="AZ35" s="221">
        <f t="shared" si="48"/>
        <v>0</v>
      </c>
      <c r="BA35" s="221">
        <f t="shared" si="49"/>
        <v>0</v>
      </c>
      <c r="BB35" s="221">
        <f t="shared" si="50"/>
        <v>0</v>
      </c>
      <c r="BC35" s="360"/>
    </row>
    <row r="36" spans="1:55" s="68" customFormat="1" ht="25.5" customHeight="1">
      <c r="B36" s="141" t="s">
        <v>93</v>
      </c>
      <c r="C36" s="396" t="s">
        <v>94</v>
      </c>
      <c r="D36" s="128" t="s">
        <v>95</v>
      </c>
      <c r="E36" s="292" t="s">
        <v>40</v>
      </c>
      <c r="F36" s="178" t="s">
        <v>41</v>
      </c>
      <c r="G36" s="179">
        <v>8</v>
      </c>
      <c r="H36" s="128" t="s">
        <v>33</v>
      </c>
      <c r="I36" s="300" t="s">
        <v>393</v>
      </c>
      <c r="J36" s="301" t="s">
        <v>394</v>
      </c>
      <c r="K36" s="301">
        <v>8</v>
      </c>
      <c r="L36" s="301">
        <v>8</v>
      </c>
      <c r="M36" s="301">
        <v>8</v>
      </c>
      <c r="N36" s="301" t="s">
        <v>372</v>
      </c>
      <c r="O36" s="301">
        <v>8</v>
      </c>
      <c r="P36" s="301">
        <v>8</v>
      </c>
      <c r="Q36" s="301" t="s">
        <v>394</v>
      </c>
      <c r="R36" s="301">
        <v>8</v>
      </c>
      <c r="S36" s="301">
        <v>8</v>
      </c>
      <c r="T36" s="301" t="s">
        <v>372</v>
      </c>
      <c r="U36" s="301">
        <v>8</v>
      </c>
      <c r="V36" s="301">
        <v>8</v>
      </c>
      <c r="W36" s="301">
        <v>8</v>
      </c>
      <c r="X36" s="301" t="s">
        <v>394</v>
      </c>
      <c r="Y36" s="301">
        <v>8</v>
      </c>
      <c r="Z36" s="301">
        <v>8</v>
      </c>
      <c r="AA36" s="301">
        <v>8</v>
      </c>
      <c r="AB36" s="301">
        <v>8</v>
      </c>
      <c r="AC36" s="301">
        <v>8</v>
      </c>
      <c r="AD36" s="301" t="s">
        <v>394</v>
      </c>
      <c r="AE36" s="301" t="s">
        <v>372</v>
      </c>
      <c r="AF36" s="301">
        <v>8</v>
      </c>
      <c r="AG36" s="301">
        <v>8</v>
      </c>
      <c r="AH36" s="301">
        <v>8</v>
      </c>
      <c r="AI36" s="301">
        <v>8</v>
      </c>
      <c r="AJ36" s="301" t="s">
        <v>394</v>
      </c>
      <c r="AK36" s="301">
        <v>8</v>
      </c>
      <c r="AL36" s="301" t="s">
        <v>372</v>
      </c>
      <c r="AM36" s="302" t="s">
        <v>372</v>
      </c>
      <c r="AN36" s="426">
        <f t="shared" si="51"/>
        <v>20</v>
      </c>
      <c r="AO36" s="180">
        <f t="shared" si="52"/>
        <v>160</v>
      </c>
      <c r="AP36" s="292">
        <f t="shared" si="41"/>
        <v>0</v>
      </c>
      <c r="AQ36" s="178">
        <f t="shared" si="53"/>
        <v>5</v>
      </c>
      <c r="AR36" s="178">
        <f t="shared" si="42"/>
        <v>0</v>
      </c>
      <c r="AS36" s="178">
        <f t="shared" si="43"/>
        <v>0</v>
      </c>
      <c r="AT36" s="178">
        <f t="shared" si="44"/>
        <v>0</v>
      </c>
      <c r="AU36" s="63">
        <f t="shared" si="54"/>
        <v>5</v>
      </c>
      <c r="AV36" s="221">
        <f t="shared" si="55"/>
        <v>5</v>
      </c>
      <c r="AW36" s="221">
        <f t="shared" si="57"/>
        <v>0</v>
      </c>
      <c r="AX36" s="221">
        <f t="shared" si="34"/>
        <v>0</v>
      </c>
      <c r="AY36" s="221">
        <f t="shared" si="47"/>
        <v>0</v>
      </c>
      <c r="AZ36" s="221">
        <f t="shared" si="48"/>
        <v>0</v>
      </c>
      <c r="BA36" s="221">
        <f t="shared" si="49"/>
        <v>0</v>
      </c>
      <c r="BB36" s="221">
        <f t="shared" si="50"/>
        <v>0</v>
      </c>
      <c r="BC36" s="360"/>
    </row>
    <row r="37" spans="1:55" s="68" customFormat="1" ht="25.5" customHeight="1">
      <c r="B37" s="141" t="s">
        <v>96</v>
      </c>
      <c r="C37" s="398" t="s">
        <v>97</v>
      </c>
      <c r="D37" s="128" t="s">
        <v>98</v>
      </c>
      <c r="E37" s="292" t="s">
        <v>40</v>
      </c>
      <c r="F37" s="178" t="s">
        <v>41</v>
      </c>
      <c r="G37" s="179">
        <v>8</v>
      </c>
      <c r="H37" s="128" t="s">
        <v>33</v>
      </c>
      <c r="I37" s="300">
        <v>8</v>
      </c>
      <c r="J37" s="301">
        <v>8</v>
      </c>
      <c r="K37" s="301" t="s">
        <v>372</v>
      </c>
      <c r="L37" s="301">
        <v>8</v>
      </c>
      <c r="M37" s="301">
        <v>8</v>
      </c>
      <c r="N37" s="301">
        <v>8</v>
      </c>
      <c r="O37" s="301">
        <v>8</v>
      </c>
      <c r="P37" s="301">
        <v>8</v>
      </c>
      <c r="Q37" s="301">
        <v>8</v>
      </c>
      <c r="R37" s="301" t="s">
        <v>372</v>
      </c>
      <c r="S37" s="301">
        <v>8</v>
      </c>
      <c r="T37" s="301">
        <v>8</v>
      </c>
      <c r="U37" s="301">
        <v>8</v>
      </c>
      <c r="V37" s="301">
        <v>8</v>
      </c>
      <c r="W37" s="301">
        <v>8</v>
      </c>
      <c r="X37" s="301" t="s">
        <v>372</v>
      </c>
      <c r="Y37" s="301">
        <v>8</v>
      </c>
      <c r="Z37" s="301">
        <v>8</v>
      </c>
      <c r="AA37" s="301" t="s">
        <v>372</v>
      </c>
      <c r="AB37" s="301">
        <v>8</v>
      </c>
      <c r="AC37" s="301">
        <v>8</v>
      </c>
      <c r="AD37" s="301">
        <v>8</v>
      </c>
      <c r="AE37" s="301">
        <v>8</v>
      </c>
      <c r="AF37" s="301">
        <v>8</v>
      </c>
      <c r="AG37" s="301">
        <v>8</v>
      </c>
      <c r="AH37" s="301" t="s">
        <v>372</v>
      </c>
      <c r="AI37" s="301" t="s">
        <v>10</v>
      </c>
      <c r="AJ37" s="301">
        <v>8</v>
      </c>
      <c r="AK37" s="301">
        <v>8</v>
      </c>
      <c r="AL37" s="301">
        <v>8</v>
      </c>
      <c r="AM37" s="302">
        <v>8</v>
      </c>
      <c r="AN37" s="426">
        <f t="shared" si="51"/>
        <v>25</v>
      </c>
      <c r="AO37" s="180">
        <f t="shared" si="52"/>
        <v>200</v>
      </c>
      <c r="AP37" s="292">
        <f t="shared" si="41"/>
        <v>0</v>
      </c>
      <c r="AQ37" s="178">
        <f t="shared" si="53"/>
        <v>5</v>
      </c>
      <c r="AR37" s="178">
        <f t="shared" si="42"/>
        <v>1</v>
      </c>
      <c r="AS37" s="178">
        <f t="shared" si="43"/>
        <v>0</v>
      </c>
      <c r="AT37" s="178">
        <f t="shared" si="44"/>
        <v>0</v>
      </c>
      <c r="AU37" s="63">
        <f t="shared" si="54"/>
        <v>5</v>
      </c>
      <c r="AV37" s="221">
        <f t="shared" si="55"/>
        <v>5</v>
      </c>
      <c r="AW37" s="221">
        <f t="shared" si="57"/>
        <v>0</v>
      </c>
      <c r="AX37" s="221">
        <f t="shared" si="34"/>
        <v>0</v>
      </c>
      <c r="AY37" s="221">
        <f t="shared" si="47"/>
        <v>0</v>
      </c>
      <c r="AZ37" s="221">
        <f t="shared" si="48"/>
        <v>1</v>
      </c>
      <c r="BA37" s="221">
        <f t="shared" si="49"/>
        <v>0</v>
      </c>
      <c r="BB37" s="221">
        <f t="shared" si="50"/>
        <v>0</v>
      </c>
      <c r="BC37" s="360"/>
    </row>
    <row r="38" spans="1:55" s="68" customFormat="1" ht="25.5" customHeight="1">
      <c r="B38" s="141" t="s">
        <v>99</v>
      </c>
      <c r="C38" s="398" t="s">
        <v>100</v>
      </c>
      <c r="D38" s="128" t="s">
        <v>101</v>
      </c>
      <c r="E38" s="292" t="s">
        <v>40</v>
      </c>
      <c r="F38" s="178" t="s">
        <v>41</v>
      </c>
      <c r="G38" s="179">
        <v>8</v>
      </c>
      <c r="H38" s="128" t="s">
        <v>33</v>
      </c>
      <c r="I38" s="300">
        <v>8</v>
      </c>
      <c r="J38" s="301">
        <v>8</v>
      </c>
      <c r="K38" s="301">
        <v>8</v>
      </c>
      <c r="L38" s="301">
        <v>8</v>
      </c>
      <c r="M38" s="301">
        <v>8</v>
      </c>
      <c r="N38" s="301" t="s">
        <v>372</v>
      </c>
      <c r="O38" s="301">
        <v>8</v>
      </c>
      <c r="P38" s="301">
        <v>8</v>
      </c>
      <c r="Q38" s="301">
        <v>8</v>
      </c>
      <c r="R38" s="301">
        <v>8</v>
      </c>
      <c r="S38" s="301">
        <v>8</v>
      </c>
      <c r="T38" s="301">
        <v>8</v>
      </c>
      <c r="U38" s="301" t="s">
        <v>372</v>
      </c>
      <c r="V38" s="301">
        <v>8</v>
      </c>
      <c r="W38" s="301">
        <v>8</v>
      </c>
      <c r="X38" s="301">
        <v>8</v>
      </c>
      <c r="Y38" s="301">
        <v>8</v>
      </c>
      <c r="Z38" s="301">
        <v>8</v>
      </c>
      <c r="AA38" s="301">
        <v>8</v>
      </c>
      <c r="AB38" s="301" t="s">
        <v>372</v>
      </c>
      <c r="AC38" s="301" t="s">
        <v>372</v>
      </c>
      <c r="AD38" s="301">
        <v>8</v>
      </c>
      <c r="AE38" s="301">
        <v>8</v>
      </c>
      <c r="AF38" s="301">
        <v>8</v>
      </c>
      <c r="AG38" s="301">
        <v>8</v>
      </c>
      <c r="AH38" s="301">
        <v>8</v>
      </c>
      <c r="AI38" s="301">
        <v>8</v>
      </c>
      <c r="AJ38" s="301">
        <v>8</v>
      </c>
      <c r="AK38" s="301">
        <v>8</v>
      </c>
      <c r="AL38" s="301">
        <v>8</v>
      </c>
      <c r="AM38" s="302" t="s">
        <v>372</v>
      </c>
      <c r="AN38" s="426">
        <f t="shared" si="51"/>
        <v>26</v>
      </c>
      <c r="AO38" s="180">
        <f t="shared" si="52"/>
        <v>208</v>
      </c>
      <c r="AP38" s="292">
        <f t="shared" si="41"/>
        <v>0</v>
      </c>
      <c r="AQ38" s="178">
        <f t="shared" si="53"/>
        <v>5</v>
      </c>
      <c r="AR38" s="178">
        <f t="shared" si="42"/>
        <v>0</v>
      </c>
      <c r="AS38" s="178">
        <f t="shared" si="43"/>
        <v>0</v>
      </c>
      <c r="AT38" s="178">
        <f t="shared" si="44"/>
        <v>0</v>
      </c>
      <c r="AU38" s="63">
        <f t="shared" si="54"/>
        <v>5</v>
      </c>
      <c r="AV38" s="221">
        <f t="shared" si="55"/>
        <v>5</v>
      </c>
      <c r="AW38" s="221">
        <f t="shared" si="57"/>
        <v>0</v>
      </c>
      <c r="AX38" s="221">
        <f t="shared" si="34"/>
        <v>0</v>
      </c>
      <c r="AY38" s="221">
        <f t="shared" si="47"/>
        <v>0</v>
      </c>
      <c r="AZ38" s="221">
        <f t="shared" si="48"/>
        <v>0</v>
      </c>
      <c r="BA38" s="221">
        <f t="shared" si="49"/>
        <v>0</v>
      </c>
      <c r="BB38" s="221">
        <f t="shared" si="50"/>
        <v>0</v>
      </c>
      <c r="BC38" s="360"/>
    </row>
    <row r="39" spans="1:55" s="75" customFormat="1" ht="25.5" customHeight="1">
      <c r="B39" s="141" t="s">
        <v>102</v>
      </c>
      <c r="C39" s="398" t="s">
        <v>103</v>
      </c>
      <c r="D39" s="128" t="s">
        <v>104</v>
      </c>
      <c r="E39" s="291" t="s">
        <v>40</v>
      </c>
      <c r="F39" s="63" t="s">
        <v>41</v>
      </c>
      <c r="G39" s="182">
        <v>8</v>
      </c>
      <c r="H39" s="128" t="s">
        <v>33</v>
      </c>
      <c r="I39" s="300">
        <v>8</v>
      </c>
      <c r="J39" s="301" t="s">
        <v>372</v>
      </c>
      <c r="K39" s="301">
        <v>8</v>
      </c>
      <c r="L39" s="301">
        <v>8</v>
      </c>
      <c r="M39" s="301">
        <v>8</v>
      </c>
      <c r="N39" s="301">
        <v>8</v>
      </c>
      <c r="O39" s="301" t="s">
        <v>372</v>
      </c>
      <c r="P39" s="301">
        <v>8</v>
      </c>
      <c r="Q39" s="301">
        <v>8</v>
      </c>
      <c r="R39" s="301">
        <v>8</v>
      </c>
      <c r="S39" s="301">
        <v>8</v>
      </c>
      <c r="T39" s="301">
        <v>8</v>
      </c>
      <c r="U39" s="301">
        <v>8</v>
      </c>
      <c r="V39" s="301">
        <v>8</v>
      </c>
      <c r="W39" s="301" t="s">
        <v>372</v>
      </c>
      <c r="X39" s="301">
        <v>8</v>
      </c>
      <c r="Y39" s="301">
        <v>8</v>
      </c>
      <c r="Z39" s="301">
        <v>8</v>
      </c>
      <c r="AA39" s="301">
        <v>8</v>
      </c>
      <c r="AB39" s="301">
        <v>8</v>
      </c>
      <c r="AC39" s="301">
        <v>8</v>
      </c>
      <c r="AD39" s="301" t="s">
        <v>372</v>
      </c>
      <c r="AE39" s="301">
        <v>8</v>
      </c>
      <c r="AF39" s="301">
        <v>8</v>
      </c>
      <c r="AG39" s="301">
        <v>8</v>
      </c>
      <c r="AH39" s="301">
        <v>8</v>
      </c>
      <c r="AI39" s="301">
        <v>8</v>
      </c>
      <c r="AJ39" s="301" t="s">
        <v>372</v>
      </c>
      <c r="AK39" s="301">
        <v>8</v>
      </c>
      <c r="AL39" s="301">
        <v>8</v>
      </c>
      <c r="AM39" s="302">
        <v>8</v>
      </c>
      <c r="AN39" s="128">
        <f t="shared" si="51"/>
        <v>26</v>
      </c>
      <c r="AO39" s="176">
        <f t="shared" si="52"/>
        <v>208</v>
      </c>
      <c r="AP39" s="291">
        <f t="shared" si="41"/>
        <v>0</v>
      </c>
      <c r="AQ39" s="63">
        <f t="shared" si="53"/>
        <v>5</v>
      </c>
      <c r="AR39" s="63">
        <f t="shared" si="42"/>
        <v>0</v>
      </c>
      <c r="AS39" s="63">
        <f t="shared" si="43"/>
        <v>0</v>
      </c>
      <c r="AT39" s="63">
        <f t="shared" si="44"/>
        <v>0</v>
      </c>
      <c r="AU39" s="63">
        <f t="shared" si="54"/>
        <v>5</v>
      </c>
      <c r="AV39" s="221">
        <f t="shared" si="55"/>
        <v>5</v>
      </c>
      <c r="AW39" s="221">
        <f t="shared" si="57"/>
        <v>0</v>
      </c>
      <c r="AX39" s="221">
        <f t="shared" si="34"/>
        <v>0</v>
      </c>
      <c r="AY39" s="221">
        <f t="shared" si="47"/>
        <v>0</v>
      </c>
      <c r="AZ39" s="221">
        <f t="shared" si="48"/>
        <v>0</v>
      </c>
      <c r="BA39" s="221">
        <f t="shared" si="49"/>
        <v>0</v>
      </c>
      <c r="BB39" s="221">
        <f t="shared" si="50"/>
        <v>0</v>
      </c>
      <c r="BC39" s="360"/>
    </row>
    <row r="40" spans="1:55" s="68" customFormat="1" ht="25.5" customHeight="1">
      <c r="B40" s="141" t="s">
        <v>105</v>
      </c>
      <c r="C40" s="398" t="s">
        <v>106</v>
      </c>
      <c r="D40" s="128" t="s">
        <v>107</v>
      </c>
      <c r="E40" s="292" t="s">
        <v>40</v>
      </c>
      <c r="F40" s="178" t="s">
        <v>41</v>
      </c>
      <c r="G40" s="179">
        <v>8</v>
      </c>
      <c r="H40" s="128" t="s">
        <v>33</v>
      </c>
      <c r="I40" s="300">
        <v>8</v>
      </c>
      <c r="J40" s="301">
        <v>8</v>
      </c>
      <c r="K40" s="301" t="s">
        <v>372</v>
      </c>
      <c r="L40" s="301">
        <v>8</v>
      </c>
      <c r="M40" s="301">
        <v>8</v>
      </c>
      <c r="N40" s="301">
        <v>8</v>
      </c>
      <c r="O40" s="301">
        <v>8</v>
      </c>
      <c r="P40" s="301">
        <v>8</v>
      </c>
      <c r="Q40" s="301" t="s">
        <v>372</v>
      </c>
      <c r="R40" s="301">
        <v>8</v>
      </c>
      <c r="S40" s="301">
        <v>8</v>
      </c>
      <c r="T40" s="301">
        <v>8</v>
      </c>
      <c r="U40" s="301">
        <v>8</v>
      </c>
      <c r="V40" s="301">
        <v>8</v>
      </c>
      <c r="W40" s="301">
        <v>8</v>
      </c>
      <c r="X40" s="301" t="s">
        <v>372</v>
      </c>
      <c r="Y40" s="301">
        <v>8</v>
      </c>
      <c r="Z40" s="301">
        <v>8</v>
      </c>
      <c r="AA40" s="301">
        <v>8</v>
      </c>
      <c r="AB40" s="301">
        <v>8</v>
      </c>
      <c r="AC40" s="301">
        <v>8</v>
      </c>
      <c r="AD40" s="301">
        <v>8</v>
      </c>
      <c r="AE40" s="301" t="s">
        <v>372</v>
      </c>
      <c r="AF40" s="301">
        <v>8</v>
      </c>
      <c r="AG40" s="301">
        <v>8</v>
      </c>
      <c r="AH40" s="301">
        <v>8</v>
      </c>
      <c r="AI40" s="301">
        <v>8</v>
      </c>
      <c r="AJ40" s="301">
        <v>8</v>
      </c>
      <c r="AK40" s="301" t="s">
        <v>372</v>
      </c>
      <c r="AL40" s="301">
        <v>8</v>
      </c>
      <c r="AM40" s="302">
        <v>8</v>
      </c>
      <c r="AN40" s="128">
        <f t="shared" si="51"/>
        <v>26</v>
      </c>
      <c r="AO40" s="176">
        <f t="shared" si="52"/>
        <v>208</v>
      </c>
      <c r="AP40" s="291">
        <f t="shared" si="41"/>
        <v>0</v>
      </c>
      <c r="AQ40" s="178">
        <f t="shared" si="53"/>
        <v>5</v>
      </c>
      <c r="AR40" s="178">
        <f t="shared" si="42"/>
        <v>0</v>
      </c>
      <c r="AS40" s="178">
        <f t="shared" si="43"/>
        <v>0</v>
      </c>
      <c r="AT40" s="178">
        <f t="shared" si="44"/>
        <v>0</v>
      </c>
      <c r="AU40" s="63">
        <f t="shared" si="54"/>
        <v>5</v>
      </c>
      <c r="AV40" s="221">
        <f t="shared" si="55"/>
        <v>5</v>
      </c>
      <c r="AW40" s="221">
        <f t="shared" si="57"/>
        <v>0</v>
      </c>
      <c r="AX40" s="221">
        <f t="shared" si="34"/>
        <v>0</v>
      </c>
      <c r="AY40" s="221">
        <f t="shared" si="47"/>
        <v>0</v>
      </c>
      <c r="AZ40" s="221">
        <f t="shared" si="48"/>
        <v>0</v>
      </c>
      <c r="BA40" s="221">
        <f t="shared" si="49"/>
        <v>0</v>
      </c>
      <c r="BB40" s="221">
        <f t="shared" si="50"/>
        <v>0</v>
      </c>
      <c r="BC40" s="360"/>
    </row>
    <row r="41" spans="1:55" s="75" customFormat="1" ht="25.5" customHeight="1">
      <c r="B41" s="141" t="s">
        <v>108</v>
      </c>
      <c r="C41" s="396" t="s">
        <v>109</v>
      </c>
      <c r="D41" s="128" t="s">
        <v>110</v>
      </c>
      <c r="E41" s="291" t="s">
        <v>40</v>
      </c>
      <c r="F41" s="63" t="s">
        <v>41</v>
      </c>
      <c r="G41" s="182">
        <v>8</v>
      </c>
      <c r="H41" s="128" t="s">
        <v>33</v>
      </c>
      <c r="I41" s="300">
        <v>8</v>
      </c>
      <c r="J41" s="301">
        <v>8</v>
      </c>
      <c r="K41" s="301">
        <v>8</v>
      </c>
      <c r="L41" s="301">
        <v>8</v>
      </c>
      <c r="M41" s="301" t="s">
        <v>372</v>
      </c>
      <c r="N41" s="301">
        <v>8</v>
      </c>
      <c r="O41" s="301">
        <v>8</v>
      </c>
      <c r="P41" s="301">
        <v>8</v>
      </c>
      <c r="Q41" s="301">
        <v>8</v>
      </c>
      <c r="R41" s="301">
        <v>8</v>
      </c>
      <c r="S41" s="301">
        <v>8</v>
      </c>
      <c r="T41" s="301" t="s">
        <v>372</v>
      </c>
      <c r="U41" s="301">
        <v>8</v>
      </c>
      <c r="V41" s="301">
        <v>8</v>
      </c>
      <c r="W41" s="301">
        <v>8</v>
      </c>
      <c r="X41" s="301">
        <v>8</v>
      </c>
      <c r="Y41" s="301">
        <v>8</v>
      </c>
      <c r="Z41" s="301">
        <v>8</v>
      </c>
      <c r="AA41" s="301" t="s">
        <v>372</v>
      </c>
      <c r="AB41" s="301">
        <v>8</v>
      </c>
      <c r="AC41" s="301">
        <v>8</v>
      </c>
      <c r="AD41" s="301">
        <v>8</v>
      </c>
      <c r="AE41" s="301">
        <v>8</v>
      </c>
      <c r="AF41" s="301">
        <v>8</v>
      </c>
      <c r="AG41" s="301">
        <v>8</v>
      </c>
      <c r="AH41" s="301" t="s">
        <v>372</v>
      </c>
      <c r="AI41" s="301">
        <v>8</v>
      </c>
      <c r="AJ41" s="301">
        <v>8</v>
      </c>
      <c r="AK41" s="301">
        <v>8</v>
      </c>
      <c r="AL41" s="301">
        <v>8</v>
      </c>
      <c r="AM41" s="302" t="s">
        <v>372</v>
      </c>
      <c r="AN41" s="128">
        <f t="shared" si="51"/>
        <v>26</v>
      </c>
      <c r="AO41" s="176">
        <f t="shared" si="52"/>
        <v>208</v>
      </c>
      <c r="AP41" s="291">
        <f t="shared" si="41"/>
        <v>0</v>
      </c>
      <c r="AQ41" s="63">
        <f t="shared" si="53"/>
        <v>5</v>
      </c>
      <c r="AR41" s="63">
        <f t="shared" si="42"/>
        <v>0</v>
      </c>
      <c r="AS41" s="63">
        <f t="shared" si="43"/>
        <v>0</v>
      </c>
      <c r="AT41" s="63">
        <f t="shared" si="44"/>
        <v>0</v>
      </c>
      <c r="AU41" s="63">
        <f t="shared" si="54"/>
        <v>5</v>
      </c>
      <c r="AV41" s="221">
        <f t="shared" si="55"/>
        <v>5</v>
      </c>
      <c r="AW41" s="221">
        <f t="shared" si="57"/>
        <v>0</v>
      </c>
      <c r="AX41" s="221">
        <f t="shared" si="34"/>
        <v>0</v>
      </c>
      <c r="AY41" s="221">
        <f t="shared" si="47"/>
        <v>0</v>
      </c>
      <c r="AZ41" s="221">
        <f t="shared" si="48"/>
        <v>0</v>
      </c>
      <c r="BA41" s="221">
        <f t="shared" si="49"/>
        <v>0</v>
      </c>
      <c r="BB41" s="221">
        <f t="shared" si="50"/>
        <v>0</v>
      </c>
      <c r="BC41" s="360"/>
    </row>
    <row r="42" spans="1:55" s="75" customFormat="1" ht="25.5" customHeight="1">
      <c r="B42" s="141" t="s">
        <v>111</v>
      </c>
      <c r="C42" s="396" t="s">
        <v>112</v>
      </c>
      <c r="D42" s="128" t="s">
        <v>113</v>
      </c>
      <c r="E42" s="291" t="s">
        <v>40</v>
      </c>
      <c r="F42" s="63" t="s">
        <v>41</v>
      </c>
      <c r="G42" s="182">
        <v>8</v>
      </c>
      <c r="H42" s="128" t="s">
        <v>33</v>
      </c>
      <c r="I42" s="300">
        <v>8</v>
      </c>
      <c r="J42" s="301">
        <v>8</v>
      </c>
      <c r="K42" s="301" t="s">
        <v>372</v>
      </c>
      <c r="L42" s="301">
        <v>8</v>
      </c>
      <c r="M42" s="301">
        <v>8</v>
      </c>
      <c r="N42" s="301">
        <v>8</v>
      </c>
      <c r="O42" s="301">
        <v>8</v>
      </c>
      <c r="P42" s="301" t="s">
        <v>372</v>
      </c>
      <c r="Q42" s="301" t="s">
        <v>372</v>
      </c>
      <c r="R42" s="301">
        <v>8</v>
      </c>
      <c r="S42" s="301">
        <v>8</v>
      </c>
      <c r="T42" s="301">
        <v>8</v>
      </c>
      <c r="U42" s="301">
        <v>8</v>
      </c>
      <c r="V42" s="301">
        <v>8</v>
      </c>
      <c r="W42" s="301" t="s">
        <v>372</v>
      </c>
      <c r="X42" s="301">
        <v>8</v>
      </c>
      <c r="Y42" s="301">
        <v>8</v>
      </c>
      <c r="Z42" s="301">
        <v>8</v>
      </c>
      <c r="AA42" s="301">
        <v>8</v>
      </c>
      <c r="AB42" s="301">
        <v>8</v>
      </c>
      <c r="AC42" s="301">
        <v>8</v>
      </c>
      <c r="AD42" s="301">
        <v>8</v>
      </c>
      <c r="AE42" s="301">
        <v>8</v>
      </c>
      <c r="AF42" s="301" t="s">
        <v>372</v>
      </c>
      <c r="AG42" s="301">
        <v>8</v>
      </c>
      <c r="AH42" s="301">
        <v>8</v>
      </c>
      <c r="AI42" s="301">
        <v>8</v>
      </c>
      <c r="AJ42" s="301">
        <v>8</v>
      </c>
      <c r="AK42" s="301">
        <v>8</v>
      </c>
      <c r="AL42" s="301" t="s">
        <v>10</v>
      </c>
      <c r="AM42" s="302">
        <v>8</v>
      </c>
      <c r="AN42" s="128">
        <f t="shared" si="51"/>
        <v>25</v>
      </c>
      <c r="AO42" s="176">
        <f t="shared" si="52"/>
        <v>200</v>
      </c>
      <c r="AP42" s="291">
        <f t="shared" si="41"/>
        <v>0</v>
      </c>
      <c r="AQ42" s="63">
        <f t="shared" si="53"/>
        <v>5</v>
      </c>
      <c r="AR42" s="63">
        <f t="shared" si="42"/>
        <v>1</v>
      </c>
      <c r="AS42" s="63">
        <f t="shared" si="43"/>
        <v>0</v>
      </c>
      <c r="AT42" s="63">
        <f t="shared" si="44"/>
        <v>0</v>
      </c>
      <c r="AU42" s="63">
        <f t="shared" si="54"/>
        <v>5</v>
      </c>
      <c r="AV42" s="220">
        <f t="shared" si="55"/>
        <v>5</v>
      </c>
      <c r="AW42" s="220">
        <f t="shared" si="57"/>
        <v>0</v>
      </c>
      <c r="AX42" s="220">
        <f t="shared" si="34"/>
        <v>0</v>
      </c>
      <c r="AY42" s="220">
        <f t="shared" si="47"/>
        <v>0</v>
      </c>
      <c r="AZ42" s="220">
        <f t="shared" si="48"/>
        <v>1</v>
      </c>
      <c r="BA42" s="220">
        <f t="shared" si="49"/>
        <v>0</v>
      </c>
      <c r="BB42" s="220">
        <f t="shared" si="50"/>
        <v>0</v>
      </c>
      <c r="BC42" s="359"/>
    </row>
    <row r="43" spans="1:55" s="75" customFormat="1" ht="25.5" customHeight="1">
      <c r="B43" s="141" t="s">
        <v>114</v>
      </c>
      <c r="C43" s="396" t="s">
        <v>115</v>
      </c>
      <c r="D43" s="128" t="s">
        <v>116</v>
      </c>
      <c r="E43" s="291"/>
      <c r="F43" s="63"/>
      <c r="G43" s="182"/>
      <c r="H43" s="128" t="s">
        <v>33</v>
      </c>
      <c r="I43" s="300" t="s">
        <v>372</v>
      </c>
      <c r="J43" s="301">
        <v>8</v>
      </c>
      <c r="K43" s="301">
        <v>8</v>
      </c>
      <c r="L43" s="301">
        <v>8</v>
      </c>
      <c r="M43" s="301">
        <v>8</v>
      </c>
      <c r="N43" s="301">
        <v>8</v>
      </c>
      <c r="O43" s="301">
        <v>8</v>
      </c>
      <c r="P43" s="301" t="s">
        <v>372</v>
      </c>
      <c r="Q43" s="301">
        <v>8</v>
      </c>
      <c r="R43" s="301">
        <v>8</v>
      </c>
      <c r="S43" s="301">
        <v>8</v>
      </c>
      <c r="T43" s="301">
        <v>8</v>
      </c>
      <c r="U43" s="301">
        <v>8</v>
      </c>
      <c r="V43" s="301">
        <v>8</v>
      </c>
      <c r="W43" s="301">
        <v>8</v>
      </c>
      <c r="X43" s="301">
        <v>8</v>
      </c>
      <c r="Y43" s="301">
        <v>8</v>
      </c>
      <c r="Z43" s="301" t="s">
        <v>372</v>
      </c>
      <c r="AA43" s="301">
        <v>8</v>
      </c>
      <c r="AB43" s="301">
        <v>8</v>
      </c>
      <c r="AC43" s="301">
        <v>8</v>
      </c>
      <c r="AD43" s="301">
        <v>8</v>
      </c>
      <c r="AE43" s="301" t="s">
        <v>372</v>
      </c>
      <c r="AF43" s="301">
        <v>8</v>
      </c>
      <c r="AG43" s="301">
        <v>8</v>
      </c>
      <c r="AH43" s="301">
        <v>8</v>
      </c>
      <c r="AI43" s="301">
        <v>8</v>
      </c>
      <c r="AJ43" s="301">
        <v>8</v>
      </c>
      <c r="AK43" s="301" t="s">
        <v>372</v>
      </c>
      <c r="AL43" s="301">
        <v>8</v>
      </c>
      <c r="AM43" s="302">
        <v>8</v>
      </c>
      <c r="AN43" s="128">
        <f t="shared" ref="AN43" si="58">COUNT(I43:AM43)</f>
        <v>26</v>
      </c>
      <c r="AO43" s="176">
        <f t="shared" ref="AO43" si="59">SUM(I43:AM43)</f>
        <v>208</v>
      </c>
      <c r="AP43" s="291">
        <f t="shared" si="41"/>
        <v>0</v>
      </c>
      <c r="AQ43" s="63">
        <f t="shared" si="53"/>
        <v>5</v>
      </c>
      <c r="AR43" s="63">
        <f t="shared" si="42"/>
        <v>0</v>
      </c>
      <c r="AS43" s="63">
        <f t="shared" si="43"/>
        <v>0</v>
      </c>
      <c r="AT43" s="63">
        <f t="shared" si="44"/>
        <v>0</v>
      </c>
      <c r="AU43" s="63">
        <f t="shared" si="54"/>
        <v>5</v>
      </c>
      <c r="AV43" s="221">
        <f t="shared" si="55"/>
        <v>5</v>
      </c>
      <c r="AW43" s="221">
        <f t="shared" ref="AW43" si="60">AU43-AV43</f>
        <v>0</v>
      </c>
      <c r="AX43" s="221">
        <f t="shared" si="34"/>
        <v>0</v>
      </c>
      <c r="AY43" s="221">
        <f t="shared" ref="AY43" si="61">COUNTIF(I43:AM43,"SL")</f>
        <v>0</v>
      </c>
      <c r="AZ43" s="221">
        <f t="shared" ref="AZ43" si="62">COUNTIF(I43:AM43,"np")</f>
        <v>0</v>
      </c>
      <c r="BA43" s="221">
        <f t="shared" ref="BA43" si="63">COUNTIF(I43:AM43,"AL*")</f>
        <v>0</v>
      </c>
      <c r="BB43" s="221">
        <f t="shared" ref="BB43" si="64">COUNTIF(I43:AM43,"NC*")</f>
        <v>0</v>
      </c>
      <c r="BC43" s="360"/>
    </row>
    <row r="44" spans="1:55" s="75" customFormat="1" ht="25.5" customHeight="1" thickBot="1">
      <c r="B44" s="141" t="s">
        <v>117</v>
      </c>
      <c r="C44" s="396" t="s">
        <v>118</v>
      </c>
      <c r="D44" s="128" t="s">
        <v>119</v>
      </c>
      <c r="E44" s="321" t="s">
        <v>40</v>
      </c>
      <c r="F44" s="186" t="s">
        <v>41</v>
      </c>
      <c r="G44" s="187">
        <v>8</v>
      </c>
      <c r="H44" s="128" t="s">
        <v>33</v>
      </c>
      <c r="I44" s="300">
        <v>8</v>
      </c>
      <c r="J44" s="301">
        <v>8</v>
      </c>
      <c r="K44" s="301">
        <v>8</v>
      </c>
      <c r="L44" s="301">
        <v>8</v>
      </c>
      <c r="M44" s="301">
        <v>8</v>
      </c>
      <c r="N44" s="301" t="s">
        <v>372</v>
      </c>
      <c r="O44" s="301">
        <v>8</v>
      </c>
      <c r="P44" s="301">
        <v>8</v>
      </c>
      <c r="Q44" s="301">
        <v>8</v>
      </c>
      <c r="R44" s="301">
        <v>8</v>
      </c>
      <c r="S44" s="301">
        <v>8</v>
      </c>
      <c r="T44" s="301">
        <v>8</v>
      </c>
      <c r="U44" s="301" t="s">
        <v>372</v>
      </c>
      <c r="V44" s="301">
        <v>8</v>
      </c>
      <c r="W44" s="301">
        <v>8</v>
      </c>
      <c r="X44" s="301">
        <v>8</v>
      </c>
      <c r="Y44" s="301">
        <v>8</v>
      </c>
      <c r="Z44" s="301">
        <v>8</v>
      </c>
      <c r="AA44" s="301">
        <v>8</v>
      </c>
      <c r="AB44" s="301">
        <v>8</v>
      </c>
      <c r="AC44" s="301" t="s">
        <v>372</v>
      </c>
      <c r="AD44" s="301" t="s">
        <v>372</v>
      </c>
      <c r="AE44" s="301">
        <v>8</v>
      </c>
      <c r="AF44" s="301">
        <v>8</v>
      </c>
      <c r="AG44" s="301">
        <v>8</v>
      </c>
      <c r="AH44" s="301">
        <v>8</v>
      </c>
      <c r="AI44" s="301">
        <v>8</v>
      </c>
      <c r="AJ44" s="301">
        <v>8</v>
      </c>
      <c r="AK44" s="301">
        <v>8</v>
      </c>
      <c r="AL44" s="301" t="s">
        <v>372</v>
      </c>
      <c r="AM44" s="302">
        <v>8</v>
      </c>
      <c r="AN44" s="128">
        <f>COUNT(I44:AM44)</f>
        <v>26</v>
      </c>
      <c r="AO44" s="176">
        <f>SUM(I44:AM44)</f>
        <v>208</v>
      </c>
      <c r="AP44" s="291">
        <f t="shared" si="41"/>
        <v>0</v>
      </c>
      <c r="AQ44" s="63">
        <f t="shared" si="53"/>
        <v>5</v>
      </c>
      <c r="AR44" s="63">
        <f t="shared" si="42"/>
        <v>0</v>
      </c>
      <c r="AS44" s="63">
        <f t="shared" si="43"/>
        <v>0</v>
      </c>
      <c r="AT44" s="63">
        <f t="shared" si="44"/>
        <v>0</v>
      </c>
      <c r="AU44" s="63">
        <f t="shared" si="54"/>
        <v>5</v>
      </c>
      <c r="AV44" s="221">
        <f t="shared" si="55"/>
        <v>5</v>
      </c>
      <c r="AW44" s="221">
        <f>AU44-AV44</f>
        <v>0</v>
      </c>
      <c r="AX44" s="221">
        <f t="shared" si="34"/>
        <v>0</v>
      </c>
      <c r="AY44" s="221">
        <f>COUNTIF(I44:AM44,"SL")</f>
        <v>0</v>
      </c>
      <c r="AZ44" s="221">
        <f>COUNTIF(I44:AM44,"np")</f>
        <v>0</v>
      </c>
      <c r="BA44" s="221">
        <f>COUNTIF(I44:AM44,"AL*")</f>
        <v>0</v>
      </c>
      <c r="BB44" s="221">
        <f>COUNTIF(I44:AM44,"NC*")</f>
        <v>0</v>
      </c>
      <c r="BC44" s="360"/>
    </row>
    <row r="45" spans="1:55" s="68" customFormat="1" ht="25.5" customHeight="1">
      <c r="B45" s="141" t="s">
        <v>120</v>
      </c>
      <c r="C45" s="396" t="s">
        <v>121</v>
      </c>
      <c r="D45" s="128" t="s">
        <v>122</v>
      </c>
      <c r="E45" s="292" t="s">
        <v>40</v>
      </c>
      <c r="F45" s="178" t="s">
        <v>41</v>
      </c>
      <c r="G45" s="179">
        <v>8</v>
      </c>
      <c r="H45" s="128" t="s">
        <v>33</v>
      </c>
      <c r="I45" s="300">
        <v>8</v>
      </c>
      <c r="J45" s="301">
        <v>8</v>
      </c>
      <c r="K45" s="301">
        <v>8</v>
      </c>
      <c r="L45" s="301">
        <v>8</v>
      </c>
      <c r="M45" s="301" t="s">
        <v>372</v>
      </c>
      <c r="N45" s="301">
        <v>8</v>
      </c>
      <c r="O45" s="301">
        <v>8</v>
      </c>
      <c r="P45" s="301">
        <v>8</v>
      </c>
      <c r="Q45" s="301">
        <v>8</v>
      </c>
      <c r="R45" s="301">
        <v>8</v>
      </c>
      <c r="S45" s="301" t="s">
        <v>372</v>
      </c>
      <c r="T45" s="301">
        <v>8</v>
      </c>
      <c r="U45" s="301">
        <v>8</v>
      </c>
      <c r="V45" s="301">
        <v>8</v>
      </c>
      <c r="W45" s="301">
        <v>8</v>
      </c>
      <c r="X45" s="301">
        <v>8</v>
      </c>
      <c r="Y45" s="301">
        <v>8</v>
      </c>
      <c r="Z45" s="301" t="s">
        <v>372</v>
      </c>
      <c r="AA45" s="301">
        <v>8</v>
      </c>
      <c r="AB45" s="301">
        <v>8</v>
      </c>
      <c r="AC45" s="301">
        <v>8</v>
      </c>
      <c r="AD45" s="301">
        <v>8</v>
      </c>
      <c r="AE45" s="301">
        <v>8</v>
      </c>
      <c r="AF45" s="301">
        <v>8</v>
      </c>
      <c r="AG45" s="301" t="s">
        <v>372</v>
      </c>
      <c r="AH45" s="301" t="s">
        <v>372</v>
      </c>
      <c r="AI45" s="301">
        <v>8</v>
      </c>
      <c r="AJ45" s="301">
        <v>8</v>
      </c>
      <c r="AK45" s="301">
        <v>8</v>
      </c>
      <c r="AL45" s="301">
        <v>8</v>
      </c>
      <c r="AM45" s="302">
        <v>8</v>
      </c>
      <c r="AN45" s="128">
        <f t="shared" ref="AN45" si="65">COUNT(I45:AM45)</f>
        <v>26</v>
      </c>
      <c r="AO45" s="176">
        <f t="shared" ref="AO45" si="66">SUM(I45:AM45)</f>
        <v>208</v>
      </c>
      <c r="AP45" s="291">
        <f t="shared" si="41"/>
        <v>0</v>
      </c>
      <c r="AQ45" s="178">
        <f t="shared" si="53"/>
        <v>5</v>
      </c>
      <c r="AR45" s="178">
        <f t="shared" si="42"/>
        <v>0</v>
      </c>
      <c r="AS45" s="178">
        <f t="shared" si="43"/>
        <v>0</v>
      </c>
      <c r="AT45" s="178">
        <f t="shared" si="44"/>
        <v>0</v>
      </c>
      <c r="AU45" s="63">
        <f t="shared" si="54"/>
        <v>5</v>
      </c>
      <c r="AV45" s="221">
        <f t="shared" ref="AV45" si="67">COUNTIF(I45:AM45,"RD")</f>
        <v>5</v>
      </c>
      <c r="AW45" s="221">
        <f t="shared" ref="AW45" si="68">AU45-AV45</f>
        <v>0</v>
      </c>
      <c r="AX45" s="221">
        <f t="shared" si="34"/>
        <v>0</v>
      </c>
      <c r="AY45" s="221">
        <f t="shared" ref="AY45" si="69">COUNTIF(I45:AM45,"SL")</f>
        <v>0</v>
      </c>
      <c r="AZ45" s="221">
        <f t="shared" ref="AZ45" si="70">COUNTIF(I45:AM45,"np")</f>
        <v>0</v>
      </c>
      <c r="BA45" s="221">
        <f t="shared" ref="BA45" si="71">COUNTIF(I45:AM45,"AL*")</f>
        <v>0</v>
      </c>
      <c r="BB45" s="221">
        <f t="shared" ref="BB45" si="72">COUNTIF(I45:AM45,"NC*")</f>
        <v>0</v>
      </c>
      <c r="BC45" s="360"/>
    </row>
    <row r="46" spans="1:55" s="228" customFormat="1" ht="25.5" customHeight="1">
      <c r="B46" s="141" t="s">
        <v>123</v>
      </c>
      <c r="C46" s="397" t="s">
        <v>127</v>
      </c>
      <c r="D46" s="128" t="s">
        <v>128</v>
      </c>
      <c r="E46" s="332" t="s">
        <v>40</v>
      </c>
      <c r="F46" s="183" t="s">
        <v>41</v>
      </c>
      <c r="G46" s="184">
        <v>8</v>
      </c>
      <c r="H46" s="128" t="s">
        <v>33</v>
      </c>
      <c r="I46" s="300">
        <v>8</v>
      </c>
      <c r="J46" s="301">
        <v>8</v>
      </c>
      <c r="K46" s="301" t="s">
        <v>372</v>
      </c>
      <c r="L46" s="301">
        <v>8</v>
      </c>
      <c r="M46" s="301">
        <v>8</v>
      </c>
      <c r="N46" s="301">
        <v>8</v>
      </c>
      <c r="O46" s="301">
        <v>8</v>
      </c>
      <c r="P46" s="301">
        <v>8</v>
      </c>
      <c r="Q46" s="301" t="s">
        <v>372</v>
      </c>
      <c r="R46" s="301">
        <v>8</v>
      </c>
      <c r="S46" s="301">
        <v>8</v>
      </c>
      <c r="T46" s="301">
        <v>8</v>
      </c>
      <c r="U46" s="301">
        <v>8</v>
      </c>
      <c r="V46" s="301" t="s">
        <v>372</v>
      </c>
      <c r="W46" s="301">
        <v>8</v>
      </c>
      <c r="X46" s="301">
        <v>8</v>
      </c>
      <c r="Y46" s="301" t="s">
        <v>372</v>
      </c>
      <c r="Z46" s="301">
        <v>8</v>
      </c>
      <c r="AA46" s="301">
        <v>8</v>
      </c>
      <c r="AB46" s="301">
        <v>8</v>
      </c>
      <c r="AC46" s="301">
        <v>8</v>
      </c>
      <c r="AD46" s="301">
        <v>8</v>
      </c>
      <c r="AE46" s="301">
        <v>8</v>
      </c>
      <c r="AF46" s="301">
        <v>8</v>
      </c>
      <c r="AG46" s="301" t="s">
        <v>372</v>
      </c>
      <c r="AH46" s="301">
        <v>8</v>
      </c>
      <c r="AI46" s="301">
        <v>8</v>
      </c>
      <c r="AJ46" s="301">
        <v>8</v>
      </c>
      <c r="AK46" s="301">
        <v>8</v>
      </c>
      <c r="AL46" s="301">
        <v>8</v>
      </c>
      <c r="AM46" s="302">
        <v>8</v>
      </c>
      <c r="AN46" s="427">
        <f>COUNT(I46:AM46)</f>
        <v>26</v>
      </c>
      <c r="AO46" s="185">
        <f>SUM(I46:AM46)</f>
        <v>208</v>
      </c>
      <c r="AP46" s="332">
        <f t="shared" si="41"/>
        <v>0</v>
      </c>
      <c r="AQ46" s="183">
        <f t="shared" si="53"/>
        <v>5</v>
      </c>
      <c r="AR46" s="183">
        <f t="shared" si="42"/>
        <v>0</v>
      </c>
      <c r="AS46" s="183">
        <f t="shared" si="43"/>
        <v>0</v>
      </c>
      <c r="AT46" s="183">
        <f t="shared" si="44"/>
        <v>0</v>
      </c>
      <c r="AU46" s="63">
        <f t="shared" si="54"/>
        <v>5</v>
      </c>
      <c r="AV46" s="229">
        <f>COUNTIF(I46:AM46,"RD")</f>
        <v>5</v>
      </c>
      <c r="AW46" s="229">
        <f>AU46-AV46</f>
        <v>0</v>
      </c>
      <c r="AX46" s="229">
        <f t="shared" ref="AX46" si="73">COUNTIF(H46:AM46,"SH")</f>
        <v>0</v>
      </c>
      <c r="AY46" s="229">
        <f>COUNTIF(I46:AM46,"SL")</f>
        <v>0</v>
      </c>
      <c r="AZ46" s="229">
        <f>COUNTIF(I46:AM46,"np")</f>
        <v>0</v>
      </c>
      <c r="BA46" s="229">
        <f>COUNTIF(I46:AM46,"AL*")</f>
        <v>0</v>
      </c>
      <c r="BB46" s="229">
        <f>COUNTIF(I46:AM46,"NC*")</f>
        <v>0</v>
      </c>
      <c r="BC46" s="363"/>
    </row>
    <row r="47" spans="1:55" s="75" customFormat="1" ht="25.5" customHeight="1">
      <c r="B47" s="141" t="s">
        <v>126</v>
      </c>
      <c r="C47" s="396" t="s">
        <v>124</v>
      </c>
      <c r="D47" s="128" t="s">
        <v>125</v>
      </c>
      <c r="E47" s="291" t="s">
        <v>40</v>
      </c>
      <c r="F47" s="63" t="s">
        <v>41</v>
      </c>
      <c r="G47" s="182">
        <v>8</v>
      </c>
      <c r="H47" s="128" t="s">
        <v>33</v>
      </c>
      <c r="I47" s="300">
        <v>8</v>
      </c>
      <c r="J47" s="301">
        <v>8</v>
      </c>
      <c r="K47" s="301">
        <v>8</v>
      </c>
      <c r="L47" s="301">
        <v>8</v>
      </c>
      <c r="M47" s="301">
        <v>8</v>
      </c>
      <c r="N47" s="301" t="s">
        <v>372</v>
      </c>
      <c r="O47" s="301">
        <v>8</v>
      </c>
      <c r="P47" s="301">
        <v>8</v>
      </c>
      <c r="Q47" s="301">
        <v>8</v>
      </c>
      <c r="R47" s="301">
        <v>8</v>
      </c>
      <c r="S47" s="301">
        <v>8</v>
      </c>
      <c r="T47" s="301">
        <v>8</v>
      </c>
      <c r="U47" s="301">
        <v>8</v>
      </c>
      <c r="V47" s="301">
        <v>8</v>
      </c>
      <c r="W47" s="301" t="s">
        <v>372</v>
      </c>
      <c r="X47" s="301">
        <v>8</v>
      </c>
      <c r="Y47" s="301">
        <v>8</v>
      </c>
      <c r="Z47" s="301">
        <v>8</v>
      </c>
      <c r="AA47" s="301">
        <v>8</v>
      </c>
      <c r="AB47" s="301">
        <v>8</v>
      </c>
      <c r="AC47" s="301" t="s">
        <v>372</v>
      </c>
      <c r="AD47" s="301">
        <v>8</v>
      </c>
      <c r="AE47" s="301">
        <v>8</v>
      </c>
      <c r="AF47" s="301">
        <v>8</v>
      </c>
      <c r="AG47" s="301">
        <v>8</v>
      </c>
      <c r="AH47" s="301" t="s">
        <v>372</v>
      </c>
      <c r="AI47" s="301" t="s">
        <v>372</v>
      </c>
      <c r="AJ47" s="301">
        <v>8</v>
      </c>
      <c r="AK47" s="301">
        <v>8</v>
      </c>
      <c r="AL47" s="301">
        <v>8</v>
      </c>
      <c r="AM47" s="302">
        <v>8</v>
      </c>
      <c r="AN47" s="128">
        <f>COUNT(I47:AM47)</f>
        <v>26</v>
      </c>
      <c r="AO47" s="176">
        <f>SUM(I47:AM47)</f>
        <v>208</v>
      </c>
      <c r="AP47" s="291">
        <f t="shared" si="41"/>
        <v>0</v>
      </c>
      <c r="AQ47" s="63">
        <f t="shared" si="53"/>
        <v>5</v>
      </c>
      <c r="AR47" s="63">
        <f t="shared" si="42"/>
        <v>0</v>
      </c>
      <c r="AS47" s="63">
        <f t="shared" si="43"/>
        <v>0</v>
      </c>
      <c r="AT47" s="63">
        <f t="shared" si="44"/>
        <v>0</v>
      </c>
      <c r="AU47" s="63">
        <f t="shared" si="54"/>
        <v>5</v>
      </c>
      <c r="AV47" s="221">
        <f>COUNTIF(I47:AM47,"RD")</f>
        <v>5</v>
      </c>
      <c r="AW47" s="221">
        <f>AU47-AV47</f>
        <v>0</v>
      </c>
      <c r="AX47" s="221">
        <f t="shared" si="34"/>
        <v>0</v>
      </c>
      <c r="AY47" s="221">
        <f>COUNTIF(I47:AM47,"SL")</f>
        <v>0</v>
      </c>
      <c r="AZ47" s="221">
        <f>COUNTIF(I47:AM47,"np")</f>
        <v>0</v>
      </c>
      <c r="BA47" s="221">
        <f>COUNTIF(I47:AM47,"AL*")</f>
        <v>0</v>
      </c>
      <c r="BB47" s="221">
        <f>COUNTIF(I47:AM47,"NC*")</f>
        <v>0</v>
      </c>
      <c r="BC47" s="360"/>
    </row>
    <row r="48" spans="1:55" s="75" customFormat="1" ht="25.5" customHeight="1">
      <c r="B48" s="141" t="s">
        <v>129</v>
      </c>
      <c r="C48" s="396" t="s">
        <v>130</v>
      </c>
      <c r="D48" s="128" t="s">
        <v>131</v>
      </c>
      <c r="E48" s="291"/>
      <c r="F48" s="63"/>
      <c r="G48" s="182"/>
      <c r="H48" s="128" t="s">
        <v>33</v>
      </c>
      <c r="I48" s="300" t="s">
        <v>372</v>
      </c>
      <c r="J48" s="301" t="s">
        <v>372</v>
      </c>
      <c r="K48" s="301">
        <v>8</v>
      </c>
      <c r="L48" s="301">
        <v>8</v>
      </c>
      <c r="M48" s="301">
        <v>8</v>
      </c>
      <c r="N48" s="301">
        <v>8</v>
      </c>
      <c r="O48" s="301">
        <v>8</v>
      </c>
      <c r="P48" s="301">
        <v>8</v>
      </c>
      <c r="Q48" s="301">
        <v>8</v>
      </c>
      <c r="R48" s="301" t="s">
        <v>372</v>
      </c>
      <c r="S48" s="301">
        <v>8</v>
      </c>
      <c r="T48" s="301">
        <v>8</v>
      </c>
      <c r="U48" s="301">
        <v>8</v>
      </c>
      <c r="V48" s="301">
        <v>8</v>
      </c>
      <c r="W48" s="301">
        <v>8</v>
      </c>
      <c r="X48" s="301">
        <v>8</v>
      </c>
      <c r="Y48" s="301" t="s">
        <v>372</v>
      </c>
      <c r="Z48" s="301">
        <v>8</v>
      </c>
      <c r="AA48" s="301">
        <v>8</v>
      </c>
      <c r="AB48" s="301">
        <v>8</v>
      </c>
      <c r="AC48" s="301">
        <v>8</v>
      </c>
      <c r="AD48" s="301">
        <v>8</v>
      </c>
      <c r="AE48" s="301">
        <v>8</v>
      </c>
      <c r="AF48" s="301" t="s">
        <v>372</v>
      </c>
      <c r="AG48" s="301">
        <v>8</v>
      </c>
      <c r="AH48" s="301">
        <v>8</v>
      </c>
      <c r="AI48" s="301">
        <v>8</v>
      </c>
      <c r="AJ48" s="301">
        <v>8</v>
      </c>
      <c r="AK48" s="301">
        <v>8</v>
      </c>
      <c r="AL48" s="301">
        <v>8</v>
      </c>
      <c r="AM48" s="302">
        <v>8</v>
      </c>
      <c r="AN48" s="128">
        <f>COUNT(I48:AM48)</f>
        <v>26</v>
      </c>
      <c r="AO48" s="176">
        <f>SUM(I48:AM48)</f>
        <v>208</v>
      </c>
      <c r="AP48" s="291">
        <f t="shared" si="41"/>
        <v>0</v>
      </c>
      <c r="AQ48" s="63">
        <f t="shared" si="53"/>
        <v>5</v>
      </c>
      <c r="AR48" s="63">
        <f t="shared" si="42"/>
        <v>0</v>
      </c>
      <c r="AS48" s="63">
        <f t="shared" si="43"/>
        <v>0</v>
      </c>
      <c r="AT48" s="63">
        <f t="shared" si="44"/>
        <v>0</v>
      </c>
      <c r="AU48" s="63">
        <f t="shared" si="54"/>
        <v>5</v>
      </c>
      <c r="AV48" s="221">
        <f>COUNTIF(I48:AM48,"RD")</f>
        <v>5</v>
      </c>
      <c r="AW48" s="221">
        <f>AU48-AV48</f>
        <v>0</v>
      </c>
      <c r="AX48" s="221">
        <f t="shared" si="34"/>
        <v>0</v>
      </c>
      <c r="AY48" s="221">
        <f>COUNTIF(I48:AM48,"SL")</f>
        <v>0</v>
      </c>
      <c r="AZ48" s="221">
        <f>COUNTIF(I48:AM48,"np")</f>
        <v>0</v>
      </c>
      <c r="BA48" s="221">
        <f>COUNTIF(I48:AM48,"AL*")</f>
        <v>0</v>
      </c>
      <c r="BB48" s="221">
        <f>COUNTIF(I48:AM48,"NC*")</f>
        <v>0</v>
      </c>
      <c r="BC48" s="360"/>
    </row>
    <row r="49" spans="2:55" s="75" customFormat="1" ht="25.5" customHeight="1" thickBot="1">
      <c r="B49" s="141" t="s">
        <v>132</v>
      </c>
      <c r="C49" s="396" t="s">
        <v>133</v>
      </c>
      <c r="D49" s="128" t="s">
        <v>134</v>
      </c>
      <c r="E49" s="321" t="s">
        <v>40</v>
      </c>
      <c r="F49" s="186" t="s">
        <v>41</v>
      </c>
      <c r="G49" s="187">
        <v>8</v>
      </c>
      <c r="H49" s="128" t="s">
        <v>33</v>
      </c>
      <c r="I49" s="300">
        <v>8</v>
      </c>
      <c r="J49" s="301">
        <v>8</v>
      </c>
      <c r="K49" s="301">
        <v>8</v>
      </c>
      <c r="L49" s="301">
        <v>8</v>
      </c>
      <c r="M49" s="301">
        <v>8</v>
      </c>
      <c r="N49" s="301" t="s">
        <v>372</v>
      </c>
      <c r="O49" s="301">
        <v>8</v>
      </c>
      <c r="P49" s="301">
        <v>8</v>
      </c>
      <c r="Q49" s="301">
        <v>8</v>
      </c>
      <c r="R49" s="301">
        <v>8</v>
      </c>
      <c r="S49" s="301">
        <v>8</v>
      </c>
      <c r="T49" s="301" t="s">
        <v>372</v>
      </c>
      <c r="U49" s="301">
        <v>8</v>
      </c>
      <c r="V49" s="301">
        <v>8</v>
      </c>
      <c r="W49" s="301">
        <v>8</v>
      </c>
      <c r="X49" s="301">
        <v>8</v>
      </c>
      <c r="Y49" s="301" t="s">
        <v>372</v>
      </c>
      <c r="Z49" s="301" t="s">
        <v>372</v>
      </c>
      <c r="AA49" s="301">
        <v>8</v>
      </c>
      <c r="AB49" s="301">
        <v>8</v>
      </c>
      <c r="AC49" s="301">
        <v>8</v>
      </c>
      <c r="AD49" s="301">
        <v>8</v>
      </c>
      <c r="AE49" s="301">
        <v>8</v>
      </c>
      <c r="AF49" s="301">
        <v>8</v>
      </c>
      <c r="AG49" s="301">
        <v>8</v>
      </c>
      <c r="AH49" s="301" t="s">
        <v>372</v>
      </c>
      <c r="AI49" s="301">
        <v>8</v>
      </c>
      <c r="AJ49" s="301">
        <v>8</v>
      </c>
      <c r="AK49" s="301">
        <v>8</v>
      </c>
      <c r="AL49" s="301">
        <v>8</v>
      </c>
      <c r="AM49" s="302">
        <v>8</v>
      </c>
      <c r="AN49" s="128">
        <f t="shared" ref="AN49:AN54" si="74">COUNT(I49:AM49)</f>
        <v>26</v>
      </c>
      <c r="AO49" s="176">
        <f>SUM(I49:AM49)</f>
        <v>208</v>
      </c>
      <c r="AP49" s="291">
        <f t="shared" si="41"/>
        <v>0</v>
      </c>
      <c r="AQ49" s="63">
        <f t="shared" si="53"/>
        <v>5</v>
      </c>
      <c r="AR49" s="63">
        <f t="shared" si="42"/>
        <v>0</v>
      </c>
      <c r="AS49" s="63">
        <f t="shared" si="43"/>
        <v>0</v>
      </c>
      <c r="AT49" s="63">
        <f t="shared" si="44"/>
        <v>0</v>
      </c>
      <c r="AU49" s="63">
        <f t="shared" si="54"/>
        <v>5</v>
      </c>
      <c r="AV49" s="221">
        <f>COUNTIF(I49:AM49,"RD")</f>
        <v>5</v>
      </c>
      <c r="AW49" s="221">
        <f>AU49-AV49</f>
        <v>0</v>
      </c>
      <c r="AX49" s="221">
        <f t="shared" si="34"/>
        <v>0</v>
      </c>
      <c r="AY49" s="221">
        <f>COUNTIF(I49:AM49,"SL")</f>
        <v>0</v>
      </c>
      <c r="AZ49" s="221">
        <f>COUNTIF(I49:AM49,"np")</f>
        <v>0</v>
      </c>
      <c r="BA49" s="221">
        <f>COUNTIF(I49:AM49,"AL*")</f>
        <v>0</v>
      </c>
      <c r="BB49" s="221">
        <f>COUNTIF(I49:AM49,"NC*")</f>
        <v>0</v>
      </c>
      <c r="BC49" s="360"/>
    </row>
    <row r="50" spans="2:55" s="68" customFormat="1" ht="25.5" customHeight="1">
      <c r="B50" s="141" t="s">
        <v>135</v>
      </c>
      <c r="C50" s="396" t="s">
        <v>136</v>
      </c>
      <c r="D50" s="128" t="s">
        <v>137</v>
      </c>
      <c r="E50" s="292" t="s">
        <v>40</v>
      </c>
      <c r="F50" s="178" t="s">
        <v>41</v>
      </c>
      <c r="G50" s="179">
        <v>8</v>
      </c>
      <c r="H50" s="128" t="s">
        <v>33</v>
      </c>
      <c r="I50" s="300">
        <v>8</v>
      </c>
      <c r="J50" s="301">
        <v>8</v>
      </c>
      <c r="K50" s="301">
        <v>8</v>
      </c>
      <c r="L50" s="301">
        <v>8</v>
      </c>
      <c r="M50" s="301" t="s">
        <v>372</v>
      </c>
      <c r="N50" s="301" t="s">
        <v>372</v>
      </c>
      <c r="O50" s="301">
        <v>8</v>
      </c>
      <c r="P50" s="301">
        <v>8</v>
      </c>
      <c r="Q50" s="301">
        <v>8</v>
      </c>
      <c r="R50" s="301">
        <v>8</v>
      </c>
      <c r="S50" s="301">
        <v>8</v>
      </c>
      <c r="T50" s="301">
        <v>8</v>
      </c>
      <c r="U50" s="301">
        <v>8</v>
      </c>
      <c r="V50" s="301">
        <v>8</v>
      </c>
      <c r="W50" s="301" t="s">
        <v>372</v>
      </c>
      <c r="X50" s="301">
        <v>8</v>
      </c>
      <c r="Y50" s="301">
        <v>8</v>
      </c>
      <c r="Z50" s="301">
        <v>8</v>
      </c>
      <c r="AA50" s="301">
        <v>8</v>
      </c>
      <c r="AB50" s="301">
        <v>8</v>
      </c>
      <c r="AC50" s="301" t="s">
        <v>372</v>
      </c>
      <c r="AD50" s="301">
        <v>8</v>
      </c>
      <c r="AE50" s="301">
        <v>8</v>
      </c>
      <c r="AF50" s="301">
        <v>8</v>
      </c>
      <c r="AG50" s="301">
        <v>8</v>
      </c>
      <c r="AH50" s="301">
        <v>8</v>
      </c>
      <c r="AI50" s="301">
        <v>8</v>
      </c>
      <c r="AJ50" s="301" t="s">
        <v>372</v>
      </c>
      <c r="AK50" s="301">
        <v>8</v>
      </c>
      <c r="AL50" s="301">
        <v>8</v>
      </c>
      <c r="AM50" s="302">
        <v>8</v>
      </c>
      <c r="AN50" s="128">
        <f t="shared" si="74"/>
        <v>26</v>
      </c>
      <c r="AO50" s="176">
        <f t="shared" ref="AO50" si="75">SUM(I50:AM50)</f>
        <v>208</v>
      </c>
      <c r="AP50" s="291">
        <f t="shared" si="41"/>
        <v>0</v>
      </c>
      <c r="AQ50" s="178">
        <f t="shared" si="53"/>
        <v>5</v>
      </c>
      <c r="AR50" s="178">
        <f t="shared" si="42"/>
        <v>0</v>
      </c>
      <c r="AS50" s="178">
        <f t="shared" si="43"/>
        <v>0</v>
      </c>
      <c r="AT50" s="178">
        <f t="shared" si="44"/>
        <v>0</v>
      </c>
      <c r="AU50" s="63">
        <f t="shared" si="54"/>
        <v>5</v>
      </c>
      <c r="AV50" s="221">
        <f t="shared" ref="AV50" si="76">COUNTIF(I50:AM50,"RD")</f>
        <v>5</v>
      </c>
      <c r="AW50" s="221">
        <f t="shared" ref="AW50" si="77">AU50-AV50</f>
        <v>0</v>
      </c>
      <c r="AX50" s="221">
        <f t="shared" si="34"/>
        <v>0</v>
      </c>
      <c r="AY50" s="221">
        <f t="shared" ref="AY50" si="78">COUNTIF(I50:AM50,"SL")</f>
        <v>0</v>
      </c>
      <c r="AZ50" s="221">
        <f t="shared" ref="AZ50" si="79">COUNTIF(I50:AM50,"np")</f>
        <v>0</v>
      </c>
      <c r="BA50" s="221">
        <f t="shared" ref="BA50" si="80">COUNTIF(I50:AM50,"AL*")</f>
        <v>0</v>
      </c>
      <c r="BB50" s="221">
        <f t="shared" ref="BB50" si="81">COUNTIF(I50:AM50,"NC*")</f>
        <v>0</v>
      </c>
      <c r="BC50" s="360"/>
    </row>
    <row r="51" spans="2:55" s="75" customFormat="1" ht="25.5" customHeight="1">
      <c r="B51" s="141" t="s">
        <v>138</v>
      </c>
      <c r="C51" s="396" t="s">
        <v>139</v>
      </c>
      <c r="D51" s="128" t="s">
        <v>140</v>
      </c>
      <c r="E51" s="291" t="s">
        <v>40</v>
      </c>
      <c r="F51" s="63" t="s">
        <v>41</v>
      </c>
      <c r="G51" s="182">
        <v>8</v>
      </c>
      <c r="H51" s="128" t="s">
        <v>33</v>
      </c>
      <c r="I51" s="300" t="s">
        <v>395</v>
      </c>
      <c r="J51" s="301">
        <v>8</v>
      </c>
      <c r="K51" s="301">
        <v>8</v>
      </c>
      <c r="L51" s="301" t="s">
        <v>372</v>
      </c>
      <c r="M51" s="301">
        <v>8</v>
      </c>
      <c r="N51" s="301">
        <v>8</v>
      </c>
      <c r="O51" s="301">
        <v>8</v>
      </c>
      <c r="P51" s="301" t="s">
        <v>395</v>
      </c>
      <c r="Q51" s="301">
        <v>8</v>
      </c>
      <c r="R51" s="301">
        <v>8</v>
      </c>
      <c r="S51" s="301">
        <v>8</v>
      </c>
      <c r="T51" s="301" t="s">
        <v>372</v>
      </c>
      <c r="U51" s="301" t="s">
        <v>372</v>
      </c>
      <c r="V51" s="301" t="s">
        <v>395</v>
      </c>
      <c r="W51" s="301">
        <v>8</v>
      </c>
      <c r="X51" s="301">
        <v>8</v>
      </c>
      <c r="Y51" s="301">
        <v>8</v>
      </c>
      <c r="Z51" s="301">
        <v>8</v>
      </c>
      <c r="AA51" s="301" t="s">
        <v>372</v>
      </c>
      <c r="AB51" s="301">
        <v>8</v>
      </c>
      <c r="AC51" s="301">
        <v>8</v>
      </c>
      <c r="AD51" s="301" t="s">
        <v>395</v>
      </c>
      <c r="AE51" s="301">
        <v>8</v>
      </c>
      <c r="AF51" s="301">
        <v>8</v>
      </c>
      <c r="AG51" s="301">
        <v>8</v>
      </c>
      <c r="AH51" s="301">
        <v>8</v>
      </c>
      <c r="AI51" s="301" t="s">
        <v>372</v>
      </c>
      <c r="AJ51" s="301">
        <v>8</v>
      </c>
      <c r="AK51" s="301" t="s">
        <v>395</v>
      </c>
      <c r="AL51" s="301">
        <v>8</v>
      </c>
      <c r="AM51" s="302">
        <v>8</v>
      </c>
      <c r="AN51" s="128">
        <f t="shared" si="74"/>
        <v>21</v>
      </c>
      <c r="AO51" s="176">
        <f t="shared" ref="AO51:AO57" si="82">SUM(I51:AM51)</f>
        <v>168</v>
      </c>
      <c r="AP51" s="291">
        <f t="shared" si="41"/>
        <v>0</v>
      </c>
      <c r="AQ51" s="63">
        <f t="shared" si="53"/>
        <v>5</v>
      </c>
      <c r="AR51" s="63">
        <f t="shared" si="42"/>
        <v>0</v>
      </c>
      <c r="AS51" s="63">
        <f t="shared" si="43"/>
        <v>0</v>
      </c>
      <c r="AT51" s="63">
        <f t="shared" si="44"/>
        <v>0</v>
      </c>
      <c r="AU51" s="63">
        <f t="shared" si="54"/>
        <v>5</v>
      </c>
      <c r="AV51" s="221">
        <f>COUNTIF(I51:AM51,"RD")</f>
        <v>5</v>
      </c>
      <c r="AW51" s="221">
        <f t="shared" ref="AW51:AW57" si="83">AU51-AV51</f>
        <v>0</v>
      </c>
      <c r="AX51" s="221">
        <f t="shared" si="34"/>
        <v>0</v>
      </c>
      <c r="AY51" s="221">
        <f t="shared" ref="AY51:AY57" si="84">COUNTIF(I51:AM51,"SL")</f>
        <v>0</v>
      </c>
      <c r="AZ51" s="221">
        <f t="shared" ref="AZ51:AZ57" si="85">COUNTIF(I51:AM51,"np")</f>
        <v>0</v>
      </c>
      <c r="BA51" s="221">
        <f t="shared" ref="BA51:BA57" si="86">COUNTIF(I51:AM51,"AL*")</f>
        <v>0</v>
      </c>
      <c r="BB51" s="221">
        <f t="shared" ref="BB51:BB57" si="87">COUNTIF(I51:AM51,"NC*")</f>
        <v>0</v>
      </c>
      <c r="BC51" s="360"/>
    </row>
    <row r="52" spans="2:55" s="75" customFormat="1" ht="25.5" customHeight="1">
      <c r="B52" s="141" t="s">
        <v>141</v>
      </c>
      <c r="C52" s="396" t="s">
        <v>142</v>
      </c>
      <c r="D52" s="128" t="s">
        <v>143</v>
      </c>
      <c r="E52" s="291" t="s">
        <v>40</v>
      </c>
      <c r="F52" s="63" t="s">
        <v>41</v>
      </c>
      <c r="G52" s="182">
        <v>8</v>
      </c>
      <c r="H52" s="128" t="s">
        <v>33</v>
      </c>
      <c r="I52" s="300" t="s">
        <v>396</v>
      </c>
      <c r="J52" s="301" t="s">
        <v>396</v>
      </c>
      <c r="K52" s="301" t="s">
        <v>396</v>
      </c>
      <c r="L52" s="301" t="s">
        <v>396</v>
      </c>
      <c r="M52" s="301" t="s">
        <v>396</v>
      </c>
      <c r="N52" s="301" t="s">
        <v>396</v>
      </c>
      <c r="O52" s="301" t="s">
        <v>396</v>
      </c>
      <c r="P52" s="301" t="s">
        <v>396</v>
      </c>
      <c r="Q52" s="301" t="s">
        <v>396</v>
      </c>
      <c r="R52" s="301" t="s">
        <v>396</v>
      </c>
      <c r="S52" s="301" t="s">
        <v>396</v>
      </c>
      <c r="T52" s="301" t="s">
        <v>396</v>
      </c>
      <c r="U52" s="301" t="s">
        <v>396</v>
      </c>
      <c r="V52" s="301" t="s">
        <v>396</v>
      </c>
      <c r="W52" s="301" t="s">
        <v>396</v>
      </c>
      <c r="X52" s="301" t="s">
        <v>396</v>
      </c>
      <c r="Y52" s="301" t="s">
        <v>396</v>
      </c>
      <c r="Z52" s="301" t="s">
        <v>396</v>
      </c>
      <c r="AA52" s="301" t="s">
        <v>396</v>
      </c>
      <c r="AB52" s="301" t="s">
        <v>396</v>
      </c>
      <c r="AC52" s="301" t="s">
        <v>396</v>
      </c>
      <c r="AD52" s="301" t="s">
        <v>396</v>
      </c>
      <c r="AE52" s="301" t="s">
        <v>396</v>
      </c>
      <c r="AF52" s="301" t="s">
        <v>396</v>
      </c>
      <c r="AG52" s="301" t="s">
        <v>396</v>
      </c>
      <c r="AH52" s="301" t="s">
        <v>396</v>
      </c>
      <c r="AI52" s="301" t="s">
        <v>396</v>
      </c>
      <c r="AJ52" s="301" t="s">
        <v>396</v>
      </c>
      <c r="AK52" s="301" t="s">
        <v>396</v>
      </c>
      <c r="AL52" s="301" t="s">
        <v>396</v>
      </c>
      <c r="AM52" s="302" t="s">
        <v>396</v>
      </c>
      <c r="AN52" s="128">
        <f t="shared" si="74"/>
        <v>0</v>
      </c>
      <c r="AO52" s="366">
        <f t="shared" si="82"/>
        <v>0</v>
      </c>
      <c r="AP52" s="291">
        <f t="shared" si="41"/>
        <v>0</v>
      </c>
      <c r="AQ52" s="63">
        <f t="shared" si="53"/>
        <v>0</v>
      </c>
      <c r="AR52" s="63">
        <f t="shared" si="42"/>
        <v>0</v>
      </c>
      <c r="AS52" s="63">
        <f t="shared" si="43"/>
        <v>0</v>
      </c>
      <c r="AT52" s="63">
        <f t="shared" si="44"/>
        <v>0</v>
      </c>
      <c r="AU52" s="63">
        <f t="shared" si="54"/>
        <v>5</v>
      </c>
      <c r="AV52" s="221">
        <f>COUNTIF(I52:AM52,"RD")</f>
        <v>0</v>
      </c>
      <c r="AW52" s="221">
        <f t="shared" si="83"/>
        <v>5</v>
      </c>
      <c r="AX52" s="221">
        <f t="shared" si="34"/>
        <v>0</v>
      </c>
      <c r="AY52" s="221">
        <f t="shared" si="84"/>
        <v>0</v>
      </c>
      <c r="AZ52" s="221">
        <f t="shared" si="85"/>
        <v>0</v>
      </c>
      <c r="BA52" s="221">
        <f t="shared" si="86"/>
        <v>0</v>
      </c>
      <c r="BB52" s="221">
        <f t="shared" si="87"/>
        <v>0</v>
      </c>
      <c r="BC52" s="360"/>
    </row>
    <row r="53" spans="2:55" s="75" customFormat="1" ht="25.5" customHeight="1">
      <c r="B53" s="141" t="s">
        <v>144</v>
      </c>
      <c r="C53" s="396" t="s">
        <v>145</v>
      </c>
      <c r="D53" s="128" t="s">
        <v>146</v>
      </c>
      <c r="E53" s="291"/>
      <c r="F53" s="63"/>
      <c r="G53" s="182"/>
      <c r="H53" s="128" t="s">
        <v>33</v>
      </c>
      <c r="I53" s="300">
        <v>8</v>
      </c>
      <c r="J53" s="301">
        <v>8</v>
      </c>
      <c r="K53" s="301">
        <v>8</v>
      </c>
      <c r="L53" s="301">
        <v>8</v>
      </c>
      <c r="M53" s="301" t="s">
        <v>372</v>
      </c>
      <c r="N53" s="301">
        <v>8</v>
      </c>
      <c r="O53" s="301">
        <v>8</v>
      </c>
      <c r="P53" s="301">
        <v>8</v>
      </c>
      <c r="Q53" s="301">
        <v>8</v>
      </c>
      <c r="R53" s="301">
        <v>8</v>
      </c>
      <c r="S53" s="301" t="s">
        <v>372</v>
      </c>
      <c r="T53" s="301" t="s">
        <v>372</v>
      </c>
      <c r="U53" s="301">
        <v>8</v>
      </c>
      <c r="V53" s="301">
        <v>8</v>
      </c>
      <c r="W53" s="301">
        <v>8</v>
      </c>
      <c r="X53" s="301">
        <v>8</v>
      </c>
      <c r="Y53" s="301">
        <v>8</v>
      </c>
      <c r="Z53" s="301">
        <v>8</v>
      </c>
      <c r="AA53" s="301">
        <v>8</v>
      </c>
      <c r="AB53" s="301" t="s">
        <v>372</v>
      </c>
      <c r="AC53" s="301">
        <v>8</v>
      </c>
      <c r="AD53" s="301">
        <v>8</v>
      </c>
      <c r="AE53" s="301">
        <v>8</v>
      </c>
      <c r="AF53" s="301">
        <v>8</v>
      </c>
      <c r="AG53" s="301">
        <v>8</v>
      </c>
      <c r="AH53" s="301">
        <v>8</v>
      </c>
      <c r="AI53" s="301" t="s">
        <v>372</v>
      </c>
      <c r="AJ53" s="301">
        <v>8</v>
      </c>
      <c r="AK53" s="301">
        <v>8</v>
      </c>
      <c r="AL53" s="301">
        <v>8</v>
      </c>
      <c r="AM53" s="302">
        <v>8</v>
      </c>
      <c r="AN53" s="128">
        <f t="shared" si="74"/>
        <v>26</v>
      </c>
      <c r="AO53" s="176">
        <f t="shared" si="82"/>
        <v>208</v>
      </c>
      <c r="AP53" s="291">
        <f t="shared" si="41"/>
        <v>0</v>
      </c>
      <c r="AQ53" s="63">
        <f t="shared" si="53"/>
        <v>5</v>
      </c>
      <c r="AR53" s="63">
        <f t="shared" si="42"/>
        <v>0</v>
      </c>
      <c r="AS53" s="63">
        <f t="shared" si="43"/>
        <v>0</v>
      </c>
      <c r="AT53" s="63">
        <f t="shared" si="44"/>
        <v>0</v>
      </c>
      <c r="AU53" s="63">
        <f t="shared" si="54"/>
        <v>5</v>
      </c>
      <c r="AV53" s="221">
        <f>COUNTIF(I53:AM53,"RD")</f>
        <v>5</v>
      </c>
      <c r="AW53" s="221">
        <f t="shared" si="83"/>
        <v>0</v>
      </c>
      <c r="AX53" s="221">
        <f t="shared" si="34"/>
        <v>0</v>
      </c>
      <c r="AY53" s="221">
        <f t="shared" si="84"/>
        <v>0</v>
      </c>
      <c r="AZ53" s="221">
        <f t="shared" si="85"/>
        <v>0</v>
      </c>
      <c r="BA53" s="221">
        <f t="shared" si="86"/>
        <v>0</v>
      </c>
      <c r="BB53" s="221">
        <f t="shared" si="87"/>
        <v>0</v>
      </c>
      <c r="BC53" s="360"/>
    </row>
    <row r="54" spans="2:55" s="228" customFormat="1" ht="25.5" customHeight="1" thickBot="1">
      <c r="B54" s="394" t="s">
        <v>147</v>
      </c>
      <c r="C54" s="397" t="s">
        <v>148</v>
      </c>
      <c r="D54" s="128" t="s">
        <v>149</v>
      </c>
      <c r="E54" s="333" t="s">
        <v>40</v>
      </c>
      <c r="F54" s="188" t="s">
        <v>41</v>
      </c>
      <c r="G54" s="189">
        <v>8</v>
      </c>
      <c r="H54" s="128" t="s">
        <v>33</v>
      </c>
      <c r="I54" s="300">
        <v>8</v>
      </c>
      <c r="J54" s="301" t="s">
        <v>372</v>
      </c>
      <c r="K54" s="301">
        <v>8</v>
      </c>
      <c r="L54" s="301">
        <v>8</v>
      </c>
      <c r="M54" s="301">
        <v>8</v>
      </c>
      <c r="N54" s="301">
        <v>8</v>
      </c>
      <c r="O54" s="301">
        <v>8</v>
      </c>
      <c r="P54" s="301" t="s">
        <v>372</v>
      </c>
      <c r="Q54" s="301" t="s">
        <v>372</v>
      </c>
      <c r="R54" s="301">
        <v>8</v>
      </c>
      <c r="S54" s="301">
        <v>8</v>
      </c>
      <c r="T54" s="301">
        <v>8</v>
      </c>
      <c r="U54" s="301">
        <v>8</v>
      </c>
      <c r="V54" s="301">
        <v>8</v>
      </c>
      <c r="W54" s="301">
        <v>8</v>
      </c>
      <c r="X54" s="301">
        <v>8</v>
      </c>
      <c r="Y54" s="301" t="s">
        <v>372</v>
      </c>
      <c r="Z54" s="301">
        <v>8</v>
      </c>
      <c r="AA54" s="301">
        <v>8</v>
      </c>
      <c r="AB54" s="301">
        <v>8</v>
      </c>
      <c r="AC54" s="301">
        <v>8</v>
      </c>
      <c r="AD54" s="301">
        <v>8</v>
      </c>
      <c r="AE54" s="301">
        <v>8</v>
      </c>
      <c r="AF54" s="301">
        <v>8</v>
      </c>
      <c r="AG54" s="301" t="s">
        <v>372</v>
      </c>
      <c r="AH54" s="301">
        <v>8</v>
      </c>
      <c r="AI54" s="301">
        <v>8</v>
      </c>
      <c r="AJ54" s="301">
        <v>8</v>
      </c>
      <c r="AK54" s="301">
        <v>8</v>
      </c>
      <c r="AL54" s="301">
        <v>8</v>
      </c>
      <c r="AM54" s="302">
        <v>8</v>
      </c>
      <c r="AN54" s="128">
        <f t="shared" si="74"/>
        <v>26</v>
      </c>
      <c r="AO54" s="185">
        <f t="shared" si="82"/>
        <v>208</v>
      </c>
      <c r="AP54" s="332">
        <f t="shared" si="41"/>
        <v>0</v>
      </c>
      <c r="AQ54" s="183">
        <f t="shared" si="53"/>
        <v>5</v>
      </c>
      <c r="AR54" s="183">
        <f t="shared" si="42"/>
        <v>0</v>
      </c>
      <c r="AS54" s="183">
        <f t="shared" si="43"/>
        <v>0</v>
      </c>
      <c r="AT54" s="183">
        <f t="shared" si="44"/>
        <v>0</v>
      </c>
      <c r="AU54" s="63">
        <f t="shared" si="54"/>
        <v>5</v>
      </c>
      <c r="AV54" s="229">
        <f>COUNTIF(I54:AM54,"RD")</f>
        <v>5</v>
      </c>
      <c r="AW54" s="229">
        <f t="shared" si="83"/>
        <v>0</v>
      </c>
      <c r="AX54" s="229">
        <f t="shared" si="34"/>
        <v>0</v>
      </c>
      <c r="AY54" s="229">
        <f t="shared" si="84"/>
        <v>0</v>
      </c>
      <c r="AZ54" s="229">
        <f t="shared" si="85"/>
        <v>0</v>
      </c>
      <c r="BA54" s="229">
        <f t="shared" si="86"/>
        <v>0</v>
      </c>
      <c r="BB54" s="229">
        <f t="shared" si="87"/>
        <v>0</v>
      </c>
      <c r="BC54" s="363"/>
    </row>
    <row r="55" spans="2:55" s="75" customFormat="1" ht="25.5" customHeight="1" thickBot="1">
      <c r="B55" s="141" t="s">
        <v>150</v>
      </c>
      <c r="C55" s="396" t="s">
        <v>151</v>
      </c>
      <c r="D55" s="128" t="s">
        <v>152</v>
      </c>
      <c r="E55" s="321" t="s">
        <v>40</v>
      </c>
      <c r="F55" s="186" t="s">
        <v>41</v>
      </c>
      <c r="G55" s="187">
        <v>8</v>
      </c>
      <c r="H55" s="128" t="s">
        <v>33</v>
      </c>
      <c r="I55" s="300">
        <v>8</v>
      </c>
      <c r="J55" s="301">
        <v>8</v>
      </c>
      <c r="K55" s="301">
        <v>8</v>
      </c>
      <c r="L55" s="301">
        <v>8</v>
      </c>
      <c r="M55" s="301">
        <v>8</v>
      </c>
      <c r="N55" s="301">
        <v>8</v>
      </c>
      <c r="O55" s="301" t="s">
        <v>372</v>
      </c>
      <c r="P55" s="301">
        <v>8</v>
      </c>
      <c r="Q55" s="301">
        <v>8</v>
      </c>
      <c r="R55" s="301">
        <v>8</v>
      </c>
      <c r="S55" s="301">
        <v>8</v>
      </c>
      <c r="T55" s="301">
        <v>8</v>
      </c>
      <c r="U55" s="301" t="s">
        <v>372</v>
      </c>
      <c r="V55" s="301" t="s">
        <v>372</v>
      </c>
      <c r="W55" s="301">
        <v>8</v>
      </c>
      <c r="X55" s="301">
        <v>8</v>
      </c>
      <c r="Y55" s="301">
        <v>8</v>
      </c>
      <c r="Z55" s="301">
        <v>8</v>
      </c>
      <c r="AA55" s="301">
        <v>8</v>
      </c>
      <c r="AB55" s="301">
        <v>8</v>
      </c>
      <c r="AC55" s="301" t="s">
        <v>372</v>
      </c>
      <c r="AD55" s="301">
        <v>8</v>
      </c>
      <c r="AE55" s="301">
        <v>8</v>
      </c>
      <c r="AF55" s="301">
        <v>8</v>
      </c>
      <c r="AG55" s="301">
        <v>8</v>
      </c>
      <c r="AH55" s="301">
        <v>8</v>
      </c>
      <c r="AI55" s="301" t="s">
        <v>372</v>
      </c>
      <c r="AJ55" s="301">
        <v>8</v>
      </c>
      <c r="AK55" s="301">
        <v>8</v>
      </c>
      <c r="AL55" s="301">
        <v>8</v>
      </c>
      <c r="AM55" s="302">
        <v>8</v>
      </c>
      <c r="AN55" s="128">
        <f t="shared" ref="AN55:AN57" si="88">COUNT(I55:AM55)</f>
        <v>26</v>
      </c>
      <c r="AO55" s="176">
        <f t="shared" si="82"/>
        <v>208</v>
      </c>
      <c r="AP55" s="291">
        <f t="shared" si="41"/>
        <v>0</v>
      </c>
      <c r="AQ55" s="63">
        <f t="shared" si="53"/>
        <v>5</v>
      </c>
      <c r="AR55" s="63">
        <f t="shared" si="42"/>
        <v>0</v>
      </c>
      <c r="AS55" s="63">
        <f t="shared" si="43"/>
        <v>0</v>
      </c>
      <c r="AT55" s="63">
        <f t="shared" si="44"/>
        <v>0</v>
      </c>
      <c r="AU55" s="63">
        <f t="shared" si="54"/>
        <v>5</v>
      </c>
      <c r="AV55" s="221">
        <f t="shared" ref="AV55" si="89">COUNTIF(I55:AM55,"RD")</f>
        <v>5</v>
      </c>
      <c r="AW55" s="221">
        <f t="shared" si="83"/>
        <v>0</v>
      </c>
      <c r="AX55" s="221">
        <f t="shared" si="34"/>
        <v>0</v>
      </c>
      <c r="AY55" s="221">
        <f t="shared" si="84"/>
        <v>0</v>
      </c>
      <c r="AZ55" s="221">
        <f t="shared" si="85"/>
        <v>0</v>
      </c>
      <c r="BA55" s="221">
        <f t="shared" si="86"/>
        <v>0</v>
      </c>
      <c r="BB55" s="221">
        <f t="shared" si="87"/>
        <v>0</v>
      </c>
      <c r="BC55" s="360"/>
    </row>
    <row r="56" spans="2:55" s="75" customFormat="1" ht="25.5" customHeight="1" thickBot="1">
      <c r="B56" s="141" t="s">
        <v>153</v>
      </c>
      <c r="C56" s="396" t="s">
        <v>154</v>
      </c>
      <c r="D56" s="128" t="s">
        <v>155</v>
      </c>
      <c r="E56" s="321" t="s">
        <v>40</v>
      </c>
      <c r="F56" s="186" t="s">
        <v>41</v>
      </c>
      <c r="G56" s="187">
        <v>8</v>
      </c>
      <c r="H56" s="128" t="s">
        <v>33</v>
      </c>
      <c r="I56" s="300">
        <v>8</v>
      </c>
      <c r="J56" s="301">
        <v>8</v>
      </c>
      <c r="K56" s="301">
        <v>8</v>
      </c>
      <c r="L56" s="301" t="s">
        <v>372</v>
      </c>
      <c r="M56" s="301">
        <v>8</v>
      </c>
      <c r="N56" s="301">
        <v>8</v>
      </c>
      <c r="O56" s="301">
        <v>8</v>
      </c>
      <c r="P56" s="301">
        <v>8</v>
      </c>
      <c r="Q56" s="301">
        <v>8</v>
      </c>
      <c r="R56" s="301" t="s">
        <v>372</v>
      </c>
      <c r="S56" s="301">
        <v>8</v>
      </c>
      <c r="T56" s="301">
        <v>8</v>
      </c>
      <c r="U56" s="301">
        <v>8</v>
      </c>
      <c r="V56" s="301">
        <v>8</v>
      </c>
      <c r="W56" s="301">
        <v>8</v>
      </c>
      <c r="X56" s="301" t="s">
        <v>372</v>
      </c>
      <c r="Y56" s="301">
        <v>8</v>
      </c>
      <c r="Z56" s="301">
        <v>8</v>
      </c>
      <c r="AA56" s="301">
        <v>8</v>
      </c>
      <c r="AB56" s="301">
        <v>8</v>
      </c>
      <c r="AC56" s="301">
        <v>8</v>
      </c>
      <c r="AD56" s="301">
        <v>8</v>
      </c>
      <c r="AE56" s="301" t="s">
        <v>372</v>
      </c>
      <c r="AF56" s="301">
        <v>8</v>
      </c>
      <c r="AG56" s="301">
        <v>8</v>
      </c>
      <c r="AH56" s="301">
        <v>8</v>
      </c>
      <c r="AI56" s="301">
        <v>8</v>
      </c>
      <c r="AJ56" s="301" t="s">
        <v>372</v>
      </c>
      <c r="AK56" s="301">
        <v>8</v>
      </c>
      <c r="AL56" s="301">
        <v>8</v>
      </c>
      <c r="AM56" s="302">
        <v>8</v>
      </c>
      <c r="AN56" s="128">
        <f t="shared" si="88"/>
        <v>26</v>
      </c>
      <c r="AO56" s="176">
        <f t="shared" si="82"/>
        <v>208</v>
      </c>
      <c r="AP56" s="291">
        <f t="shared" si="41"/>
        <v>0</v>
      </c>
      <c r="AQ56" s="63">
        <f t="shared" si="53"/>
        <v>5</v>
      </c>
      <c r="AR56" s="63">
        <f t="shared" si="42"/>
        <v>0</v>
      </c>
      <c r="AS56" s="63">
        <f t="shared" si="43"/>
        <v>0</v>
      </c>
      <c r="AT56" s="63">
        <f t="shared" si="44"/>
        <v>0</v>
      </c>
      <c r="AU56" s="63">
        <f t="shared" si="54"/>
        <v>5</v>
      </c>
      <c r="AV56" s="221">
        <f>COUNTIF(I56:AM56,"RD")</f>
        <v>5</v>
      </c>
      <c r="AW56" s="221">
        <f t="shared" si="83"/>
        <v>0</v>
      </c>
      <c r="AX56" s="221">
        <f t="shared" si="34"/>
        <v>0</v>
      </c>
      <c r="AY56" s="221">
        <f t="shared" si="84"/>
        <v>0</v>
      </c>
      <c r="AZ56" s="221">
        <f t="shared" si="85"/>
        <v>0</v>
      </c>
      <c r="BA56" s="221">
        <f t="shared" si="86"/>
        <v>0</v>
      </c>
      <c r="BB56" s="221">
        <f t="shared" si="87"/>
        <v>0</v>
      </c>
      <c r="BC56" s="360"/>
    </row>
    <row r="57" spans="2:55" s="75" customFormat="1" ht="25.5" customHeight="1" thickBot="1">
      <c r="B57" s="141" t="s">
        <v>156</v>
      </c>
      <c r="C57" s="396" t="s">
        <v>397</v>
      </c>
      <c r="D57" s="128" t="s">
        <v>398</v>
      </c>
      <c r="E57" s="321" t="s">
        <v>40</v>
      </c>
      <c r="F57" s="186" t="s">
        <v>41</v>
      </c>
      <c r="G57" s="187">
        <v>8</v>
      </c>
      <c r="H57" s="128" t="s">
        <v>33</v>
      </c>
      <c r="I57" s="300" t="s">
        <v>372</v>
      </c>
      <c r="J57" s="301">
        <v>8</v>
      </c>
      <c r="K57" s="301">
        <v>8</v>
      </c>
      <c r="L57" s="301">
        <v>8</v>
      </c>
      <c r="M57" s="301">
        <v>8</v>
      </c>
      <c r="N57" s="301">
        <v>8</v>
      </c>
      <c r="O57" s="301" t="s">
        <v>372</v>
      </c>
      <c r="P57" s="301">
        <v>8</v>
      </c>
      <c r="Q57" s="301">
        <v>8</v>
      </c>
      <c r="R57" s="301">
        <v>8</v>
      </c>
      <c r="S57" s="301">
        <v>8</v>
      </c>
      <c r="T57" s="301">
        <v>8</v>
      </c>
      <c r="U57" s="301">
        <v>8</v>
      </c>
      <c r="V57" s="301" t="s">
        <v>372</v>
      </c>
      <c r="W57" s="301">
        <v>8</v>
      </c>
      <c r="X57" s="301">
        <v>8</v>
      </c>
      <c r="Y57" s="301">
        <v>8</v>
      </c>
      <c r="Z57" s="301">
        <v>8</v>
      </c>
      <c r="AA57" s="301">
        <v>8</v>
      </c>
      <c r="AB57" s="301" t="s">
        <v>372</v>
      </c>
      <c r="AC57" s="301">
        <v>8</v>
      </c>
      <c r="AD57" s="301">
        <v>8</v>
      </c>
      <c r="AE57" s="301">
        <v>8</v>
      </c>
      <c r="AF57" s="301">
        <v>8</v>
      </c>
      <c r="AG57" s="301">
        <v>8</v>
      </c>
      <c r="AH57" s="301">
        <v>8</v>
      </c>
      <c r="AI57" s="301" t="s">
        <v>372</v>
      </c>
      <c r="AJ57" s="301">
        <v>8</v>
      </c>
      <c r="AK57" s="301">
        <v>8</v>
      </c>
      <c r="AL57" s="301">
        <v>8</v>
      </c>
      <c r="AM57" s="302">
        <v>8</v>
      </c>
      <c r="AN57" s="128">
        <f t="shared" si="88"/>
        <v>26</v>
      </c>
      <c r="AO57" s="176">
        <f t="shared" si="82"/>
        <v>208</v>
      </c>
      <c r="AP57" s="291">
        <f t="shared" si="41"/>
        <v>0</v>
      </c>
      <c r="AQ57" s="63">
        <f t="shared" si="53"/>
        <v>5</v>
      </c>
      <c r="AR57" s="63">
        <f t="shared" si="42"/>
        <v>0</v>
      </c>
      <c r="AS57" s="63">
        <f t="shared" si="43"/>
        <v>0</v>
      </c>
      <c r="AT57" s="63">
        <f t="shared" si="44"/>
        <v>0</v>
      </c>
      <c r="AU57" s="63">
        <f t="shared" si="54"/>
        <v>5</v>
      </c>
      <c r="AV57" s="221">
        <f t="shared" ref="AV57" si="90">COUNTIF(I57:AM57,"RD")</f>
        <v>5</v>
      </c>
      <c r="AW57" s="221">
        <f t="shared" si="83"/>
        <v>0</v>
      </c>
      <c r="AX57" s="221">
        <f t="shared" si="34"/>
        <v>0</v>
      </c>
      <c r="AY57" s="221">
        <f t="shared" si="84"/>
        <v>0</v>
      </c>
      <c r="AZ57" s="221">
        <f t="shared" si="85"/>
        <v>0</v>
      </c>
      <c r="BA57" s="221">
        <f t="shared" si="86"/>
        <v>0</v>
      </c>
      <c r="BB57" s="221">
        <f t="shared" si="87"/>
        <v>0</v>
      </c>
      <c r="BC57" s="360"/>
    </row>
    <row r="58" spans="2:55" s="75" customFormat="1" ht="25.5" customHeight="1" thickBot="1">
      <c r="B58" s="393" t="s">
        <v>401</v>
      </c>
      <c r="C58" s="399" t="s">
        <v>399</v>
      </c>
      <c r="D58" s="135" t="s">
        <v>400</v>
      </c>
      <c r="E58" s="321" t="s">
        <v>40</v>
      </c>
      <c r="F58" s="186" t="s">
        <v>41</v>
      </c>
      <c r="G58" s="187">
        <v>8</v>
      </c>
      <c r="H58" s="135" t="s">
        <v>33</v>
      </c>
      <c r="I58" s="306">
        <v>8</v>
      </c>
      <c r="J58" s="298">
        <v>8</v>
      </c>
      <c r="K58" s="298">
        <v>8</v>
      </c>
      <c r="L58" s="298">
        <v>8</v>
      </c>
      <c r="M58" s="298">
        <v>8</v>
      </c>
      <c r="N58" s="298">
        <v>8</v>
      </c>
      <c r="O58" s="298" t="s">
        <v>372</v>
      </c>
      <c r="P58" s="298">
        <v>8</v>
      </c>
      <c r="Q58" s="298">
        <v>8</v>
      </c>
      <c r="R58" s="298">
        <v>8</v>
      </c>
      <c r="S58" s="298">
        <v>8</v>
      </c>
      <c r="T58" s="298">
        <v>8</v>
      </c>
      <c r="U58" s="298" t="s">
        <v>372</v>
      </c>
      <c r="V58" s="298">
        <v>8</v>
      </c>
      <c r="W58" s="298">
        <v>8</v>
      </c>
      <c r="X58" s="298">
        <v>8</v>
      </c>
      <c r="Y58" s="298">
        <v>8</v>
      </c>
      <c r="Z58" s="298" t="s">
        <v>372</v>
      </c>
      <c r="AA58" s="298">
        <v>8</v>
      </c>
      <c r="AB58" s="298">
        <v>8</v>
      </c>
      <c r="AC58" s="298">
        <v>8</v>
      </c>
      <c r="AD58" s="298">
        <v>8</v>
      </c>
      <c r="AE58" s="298">
        <v>8</v>
      </c>
      <c r="AF58" s="298" t="s">
        <v>372</v>
      </c>
      <c r="AG58" s="298">
        <v>8</v>
      </c>
      <c r="AH58" s="298">
        <v>8</v>
      </c>
      <c r="AI58" s="298">
        <v>8</v>
      </c>
      <c r="AJ58" s="298">
        <v>8</v>
      </c>
      <c r="AK58" s="298">
        <v>8</v>
      </c>
      <c r="AL58" s="298" t="s">
        <v>372</v>
      </c>
      <c r="AM58" s="237">
        <v>8</v>
      </c>
      <c r="AN58" s="135">
        <f t="shared" ref="AN58" si="91">COUNT(I58:AM58)</f>
        <v>26</v>
      </c>
      <c r="AO58" s="325">
        <f t="shared" ref="AO58" si="92">SUM(I58:AM58)</f>
        <v>208</v>
      </c>
      <c r="AP58" s="136">
        <f t="shared" si="41"/>
        <v>0</v>
      </c>
      <c r="AQ58" s="137">
        <f t="shared" si="53"/>
        <v>5</v>
      </c>
      <c r="AR58" s="137">
        <f t="shared" si="42"/>
        <v>0</v>
      </c>
      <c r="AS58" s="137">
        <f t="shared" si="43"/>
        <v>0</v>
      </c>
      <c r="AT58" s="137">
        <f t="shared" si="44"/>
        <v>0</v>
      </c>
      <c r="AU58" s="137">
        <f t="shared" si="54"/>
        <v>5</v>
      </c>
      <c r="AV58" s="72">
        <f t="shared" ref="AV58" si="93">COUNTIF(I58:AM58,"RD")</f>
        <v>5</v>
      </c>
      <c r="AW58" s="72">
        <f t="shared" ref="AW58" si="94">AU58-AV58</f>
        <v>0</v>
      </c>
      <c r="AX58" s="72">
        <f t="shared" ref="AX58" si="95">COUNTIF(H58:AM58,"SH")</f>
        <v>0</v>
      </c>
      <c r="AY58" s="72">
        <f t="shared" ref="AY58" si="96">COUNTIF(I58:AM58,"SL")</f>
        <v>0</v>
      </c>
      <c r="AZ58" s="72">
        <f t="shared" ref="AZ58" si="97">COUNTIF(I58:AM58,"np")</f>
        <v>0</v>
      </c>
      <c r="BA58" s="72">
        <f t="shared" ref="BA58" si="98">COUNTIF(I58:AM58,"AL*")</f>
        <v>0</v>
      </c>
      <c r="BB58" s="72">
        <f t="shared" ref="BB58" si="99">COUNTIF(I58:AM58,"NC*")</f>
        <v>0</v>
      </c>
      <c r="BC58" s="362"/>
    </row>
    <row r="59" spans="2:55" s="40" customFormat="1" ht="25.5" customHeight="1" thickBot="1">
      <c r="B59" s="456" t="s">
        <v>157</v>
      </c>
      <c r="C59" s="457"/>
      <c r="D59" s="458" t="s">
        <v>158</v>
      </c>
      <c r="E59" s="459"/>
      <c r="F59" s="459"/>
      <c r="G59" s="459"/>
      <c r="H59" s="458"/>
      <c r="I59" s="75">
        <f>COUNTIF((I20:I58),"8")</f>
        <v>31</v>
      </c>
      <c r="J59" s="75">
        <f t="shared" ref="J59:AM59" si="100">COUNTIF((J20:J58),"8")</f>
        <v>31</v>
      </c>
      <c r="K59" s="75">
        <f t="shared" si="100"/>
        <v>31</v>
      </c>
      <c r="L59" s="75">
        <f t="shared" si="100"/>
        <v>31</v>
      </c>
      <c r="M59" s="75">
        <f t="shared" si="100"/>
        <v>31</v>
      </c>
      <c r="N59" s="75">
        <f t="shared" si="100"/>
        <v>31</v>
      </c>
      <c r="O59" s="75">
        <f t="shared" si="100"/>
        <v>31</v>
      </c>
      <c r="P59" s="75">
        <f t="shared" si="100"/>
        <v>31</v>
      </c>
      <c r="Q59" s="75">
        <f t="shared" si="100"/>
        <v>31</v>
      </c>
      <c r="R59" s="75">
        <f t="shared" si="100"/>
        <v>31</v>
      </c>
      <c r="S59" s="75">
        <f t="shared" si="100"/>
        <v>31</v>
      </c>
      <c r="T59" s="75">
        <f t="shared" si="100"/>
        <v>31</v>
      </c>
      <c r="U59" s="75">
        <f t="shared" si="100"/>
        <v>31</v>
      </c>
      <c r="V59" s="75">
        <f t="shared" si="100"/>
        <v>31</v>
      </c>
      <c r="W59" s="75">
        <f t="shared" si="100"/>
        <v>31</v>
      </c>
      <c r="X59" s="75">
        <f t="shared" si="100"/>
        <v>31</v>
      </c>
      <c r="Y59" s="75">
        <f t="shared" si="100"/>
        <v>31</v>
      </c>
      <c r="Z59" s="75">
        <f t="shared" si="100"/>
        <v>31</v>
      </c>
      <c r="AA59" s="75">
        <f t="shared" si="100"/>
        <v>31</v>
      </c>
      <c r="AB59" s="75">
        <f t="shared" si="100"/>
        <v>31</v>
      </c>
      <c r="AC59" s="75">
        <f t="shared" si="100"/>
        <v>31</v>
      </c>
      <c r="AD59" s="75">
        <f t="shared" si="100"/>
        <v>31</v>
      </c>
      <c r="AE59" s="75">
        <f t="shared" si="100"/>
        <v>31</v>
      </c>
      <c r="AF59" s="75">
        <f t="shared" si="100"/>
        <v>31</v>
      </c>
      <c r="AG59" s="75">
        <f t="shared" si="100"/>
        <v>31</v>
      </c>
      <c r="AH59" s="75">
        <f t="shared" si="100"/>
        <v>31</v>
      </c>
      <c r="AI59" s="75">
        <f t="shared" si="100"/>
        <v>31</v>
      </c>
      <c r="AJ59" s="75">
        <f t="shared" si="100"/>
        <v>31</v>
      </c>
      <c r="AK59" s="75">
        <f t="shared" si="100"/>
        <v>31</v>
      </c>
      <c r="AL59" s="75">
        <f t="shared" si="100"/>
        <v>31</v>
      </c>
      <c r="AM59" s="75">
        <f t="shared" si="100"/>
        <v>31</v>
      </c>
      <c r="AN59" s="190">
        <f>SUM(AN20:AN58)</f>
        <v>961</v>
      </c>
      <c r="AO59" s="365">
        <f>SUM(AO20:AO58)</f>
        <v>7688</v>
      </c>
      <c r="AP59" s="78"/>
      <c r="AU59" s="75"/>
      <c r="AV59" s="69"/>
      <c r="AW59" s="69"/>
      <c r="AX59" s="69"/>
      <c r="AY59" s="69"/>
      <c r="AZ59" s="69"/>
      <c r="BA59" s="69"/>
      <c r="BB59" s="69"/>
      <c r="BC59" s="68"/>
    </row>
    <row r="60" spans="2:55" s="40" customFormat="1" ht="24.75" customHeight="1" thickBot="1">
      <c r="B60" s="75"/>
      <c r="C60" s="75"/>
      <c r="D60" s="75"/>
      <c r="E60" s="75"/>
      <c r="F60" s="75"/>
      <c r="G60" s="75"/>
      <c r="H60" s="75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191"/>
      <c r="AJ60" s="88"/>
      <c r="AK60" s="88"/>
      <c r="AL60" s="88"/>
      <c r="AM60" s="88"/>
      <c r="AN60" s="75"/>
      <c r="AO60" s="75"/>
      <c r="AP60" s="78"/>
      <c r="AU60" s="75"/>
      <c r="AV60" s="69"/>
      <c r="AW60" s="69"/>
      <c r="AX60" s="69"/>
      <c r="AY60" s="69"/>
      <c r="AZ60" s="69"/>
      <c r="BA60" s="69"/>
      <c r="BB60" s="69"/>
      <c r="BC60" s="68"/>
    </row>
    <row r="61" spans="2:55" ht="21.95" customHeight="1" thickBot="1">
      <c r="B61" s="192"/>
      <c r="C61" s="75"/>
      <c r="D61" s="75"/>
      <c r="E61" s="75"/>
      <c r="F61" s="75"/>
      <c r="G61" s="75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3" t="s">
        <v>387</v>
      </c>
      <c r="AO61" s="149" t="s">
        <v>388</v>
      </c>
    </row>
    <row r="62" spans="2:55" ht="21.95" customHeight="1">
      <c r="B62" s="437" t="s">
        <v>159</v>
      </c>
      <c r="C62" s="438"/>
      <c r="D62" s="439"/>
      <c r="E62" s="152"/>
      <c r="F62" s="152"/>
      <c r="G62" s="152"/>
      <c r="H62" s="153" t="s">
        <v>2</v>
      </c>
      <c r="I62" s="154">
        <v>2</v>
      </c>
      <c r="J62" s="154">
        <v>2</v>
      </c>
      <c r="K62" s="154">
        <v>2</v>
      </c>
      <c r="L62" s="154">
        <v>2</v>
      </c>
      <c r="M62" s="154">
        <v>2</v>
      </c>
      <c r="N62" s="154">
        <v>2</v>
      </c>
      <c r="O62" s="154">
        <v>2</v>
      </c>
      <c r="P62" s="154">
        <v>2</v>
      </c>
      <c r="Q62" s="154">
        <v>2</v>
      </c>
      <c r="R62" s="154">
        <v>2</v>
      </c>
      <c r="S62" s="154">
        <v>2</v>
      </c>
      <c r="T62" s="154">
        <v>2</v>
      </c>
      <c r="U62" s="154">
        <v>2</v>
      </c>
      <c r="V62" s="154">
        <v>2</v>
      </c>
      <c r="W62" s="154">
        <v>2</v>
      </c>
      <c r="X62" s="154">
        <v>2</v>
      </c>
      <c r="Y62" s="154">
        <v>2</v>
      </c>
      <c r="Z62" s="154">
        <v>2</v>
      </c>
      <c r="AA62" s="154">
        <v>2</v>
      </c>
      <c r="AB62" s="154">
        <v>2</v>
      </c>
      <c r="AC62" s="154">
        <v>2</v>
      </c>
      <c r="AD62" s="154">
        <v>2</v>
      </c>
      <c r="AE62" s="154">
        <v>2</v>
      </c>
      <c r="AF62" s="154">
        <v>2</v>
      </c>
      <c r="AG62" s="154">
        <v>2</v>
      </c>
      <c r="AH62" s="154">
        <v>2</v>
      </c>
      <c r="AI62" s="154">
        <v>2</v>
      </c>
      <c r="AJ62" s="154">
        <v>2</v>
      </c>
      <c r="AK62" s="154">
        <v>2</v>
      </c>
      <c r="AL62" s="154">
        <v>2</v>
      </c>
      <c r="AM62" s="154">
        <v>2</v>
      </c>
      <c r="AN62" s="194">
        <f t="shared" ref="AN62" si="101">SUM(I62:AM62)</f>
        <v>62</v>
      </c>
      <c r="AO62" s="195">
        <f t="shared" ref="AO62:AO67" si="102">AN62*8</f>
        <v>496</v>
      </c>
    </row>
    <row r="63" spans="2:55" ht="21.95" customHeight="1">
      <c r="B63" s="440" t="s">
        <v>160</v>
      </c>
      <c r="C63" s="441"/>
      <c r="D63" s="442"/>
      <c r="E63" s="157"/>
      <c r="F63" s="157"/>
      <c r="G63" s="157"/>
      <c r="H63" s="158"/>
      <c r="I63" s="159">
        <v>2</v>
      </c>
      <c r="J63" s="160">
        <v>2</v>
      </c>
      <c r="K63" s="160">
        <v>2</v>
      </c>
      <c r="L63" s="160">
        <v>2</v>
      </c>
      <c r="M63" s="160">
        <v>2</v>
      </c>
      <c r="N63" s="160">
        <v>2</v>
      </c>
      <c r="O63" s="160">
        <v>2</v>
      </c>
      <c r="P63" s="160">
        <v>2</v>
      </c>
      <c r="Q63" s="160">
        <v>2</v>
      </c>
      <c r="R63" s="160">
        <v>2</v>
      </c>
      <c r="S63" s="160">
        <v>2</v>
      </c>
      <c r="T63" s="160">
        <v>2</v>
      </c>
      <c r="U63" s="160">
        <v>2</v>
      </c>
      <c r="V63" s="160">
        <v>2</v>
      </c>
      <c r="W63" s="160">
        <v>2</v>
      </c>
      <c r="X63" s="160">
        <v>2</v>
      </c>
      <c r="Y63" s="160">
        <v>2</v>
      </c>
      <c r="Z63" s="160">
        <v>2</v>
      </c>
      <c r="AA63" s="160">
        <v>2</v>
      </c>
      <c r="AB63" s="160">
        <v>2</v>
      </c>
      <c r="AC63" s="160">
        <v>2</v>
      </c>
      <c r="AD63" s="160">
        <v>2</v>
      </c>
      <c r="AE63" s="160">
        <v>2</v>
      </c>
      <c r="AF63" s="160">
        <v>2</v>
      </c>
      <c r="AG63" s="160">
        <v>2</v>
      </c>
      <c r="AH63" s="160">
        <v>2</v>
      </c>
      <c r="AI63" s="160">
        <v>2</v>
      </c>
      <c r="AJ63" s="160">
        <v>2</v>
      </c>
      <c r="AK63" s="160">
        <v>2</v>
      </c>
      <c r="AL63" s="160">
        <v>2</v>
      </c>
      <c r="AM63" s="160">
        <v>2</v>
      </c>
      <c r="AN63" s="196">
        <f t="shared" ref="AN63:AN70" si="103">SUM(I63:AM63)</f>
        <v>62</v>
      </c>
      <c r="AO63" s="158">
        <f t="shared" si="102"/>
        <v>496</v>
      </c>
    </row>
    <row r="64" spans="2:55" ht="21.95" customHeight="1" thickBot="1">
      <c r="B64" s="443" t="s">
        <v>161</v>
      </c>
      <c r="C64" s="444"/>
      <c r="D64" s="445"/>
      <c r="E64" s="163"/>
      <c r="F64" s="163"/>
      <c r="G64" s="163"/>
      <c r="H64" s="164"/>
      <c r="I64" s="165">
        <f>IF((I62-I63)&lt;0,I62-I63,0)</f>
        <v>0</v>
      </c>
      <c r="J64" s="197">
        <f t="shared" ref="J64" si="104">IF((J62-J63)&lt;0,J62-J63,0)</f>
        <v>0</v>
      </c>
      <c r="K64" s="197">
        <f t="shared" ref="K64:AM64" si="105">IF((K62-K63)&lt;0,K62-K63,0)</f>
        <v>0</v>
      </c>
      <c r="L64" s="197">
        <f t="shared" si="105"/>
        <v>0</v>
      </c>
      <c r="M64" s="197">
        <f t="shared" si="105"/>
        <v>0</v>
      </c>
      <c r="N64" s="197">
        <f t="shared" si="105"/>
        <v>0</v>
      </c>
      <c r="O64" s="197">
        <f t="shared" si="105"/>
        <v>0</v>
      </c>
      <c r="P64" s="197">
        <f t="shared" si="105"/>
        <v>0</v>
      </c>
      <c r="Q64" s="197">
        <f t="shared" si="105"/>
        <v>0</v>
      </c>
      <c r="R64" s="197">
        <f t="shared" si="105"/>
        <v>0</v>
      </c>
      <c r="S64" s="197">
        <f t="shared" si="105"/>
        <v>0</v>
      </c>
      <c r="T64" s="197">
        <f t="shared" si="105"/>
        <v>0</v>
      </c>
      <c r="U64" s="197">
        <f t="shared" si="105"/>
        <v>0</v>
      </c>
      <c r="V64" s="197">
        <f t="shared" si="105"/>
        <v>0</v>
      </c>
      <c r="W64" s="197">
        <f t="shared" si="105"/>
        <v>0</v>
      </c>
      <c r="X64" s="197">
        <f t="shared" si="105"/>
        <v>0</v>
      </c>
      <c r="Y64" s="197">
        <f t="shared" si="105"/>
        <v>0</v>
      </c>
      <c r="Z64" s="197">
        <f t="shared" si="105"/>
        <v>0</v>
      </c>
      <c r="AA64" s="197">
        <f t="shared" si="105"/>
        <v>0</v>
      </c>
      <c r="AB64" s="197">
        <f t="shared" si="105"/>
        <v>0</v>
      </c>
      <c r="AC64" s="197">
        <f t="shared" si="105"/>
        <v>0</v>
      </c>
      <c r="AD64" s="197">
        <f t="shared" si="105"/>
        <v>0</v>
      </c>
      <c r="AE64" s="197">
        <f t="shared" si="105"/>
        <v>0</v>
      </c>
      <c r="AF64" s="197">
        <f t="shared" si="105"/>
        <v>0</v>
      </c>
      <c r="AG64" s="197">
        <f t="shared" si="105"/>
        <v>0</v>
      </c>
      <c r="AH64" s="197">
        <f t="shared" si="105"/>
        <v>0</v>
      </c>
      <c r="AI64" s="197">
        <f t="shared" si="105"/>
        <v>0</v>
      </c>
      <c r="AJ64" s="197">
        <f t="shared" si="105"/>
        <v>0</v>
      </c>
      <c r="AK64" s="197">
        <f t="shared" si="105"/>
        <v>0</v>
      </c>
      <c r="AL64" s="197">
        <f t="shared" si="105"/>
        <v>0</v>
      </c>
      <c r="AM64" s="197">
        <f t="shared" si="105"/>
        <v>0</v>
      </c>
      <c r="AN64" s="198">
        <f t="shared" si="103"/>
        <v>0</v>
      </c>
      <c r="AO64" s="199">
        <f t="shared" si="102"/>
        <v>0</v>
      </c>
    </row>
    <row r="65" spans="2:41" ht="21.95" customHeight="1">
      <c r="B65" s="437" t="s">
        <v>162</v>
      </c>
      <c r="C65" s="438"/>
      <c r="D65" s="439"/>
      <c r="E65" s="200"/>
      <c r="F65" s="200"/>
      <c r="G65" s="200"/>
      <c r="H65" s="195" t="s">
        <v>3</v>
      </c>
      <c r="I65" s="374">
        <f>I59-I62</f>
        <v>29</v>
      </c>
      <c r="J65" s="202">
        <f t="shared" ref="J65:AM65" si="106">J59-J62</f>
        <v>29</v>
      </c>
      <c r="K65" s="202">
        <f t="shared" si="106"/>
        <v>29</v>
      </c>
      <c r="L65" s="202">
        <f t="shared" si="106"/>
        <v>29</v>
      </c>
      <c r="M65" s="202">
        <f t="shared" si="106"/>
        <v>29</v>
      </c>
      <c r="N65" s="202">
        <f t="shared" si="106"/>
        <v>29</v>
      </c>
      <c r="O65" s="202">
        <f t="shared" si="106"/>
        <v>29</v>
      </c>
      <c r="P65" s="202">
        <f t="shared" si="106"/>
        <v>29</v>
      </c>
      <c r="Q65" s="202">
        <f t="shared" si="106"/>
        <v>29</v>
      </c>
      <c r="R65" s="202">
        <f t="shared" si="106"/>
        <v>29</v>
      </c>
      <c r="S65" s="202">
        <f t="shared" si="106"/>
        <v>29</v>
      </c>
      <c r="T65" s="202">
        <f t="shared" si="106"/>
        <v>29</v>
      </c>
      <c r="U65" s="202">
        <f t="shared" si="106"/>
        <v>29</v>
      </c>
      <c r="V65" s="202">
        <f t="shared" si="106"/>
        <v>29</v>
      </c>
      <c r="W65" s="202">
        <f t="shared" si="106"/>
        <v>29</v>
      </c>
      <c r="X65" s="202">
        <f t="shared" si="106"/>
        <v>29</v>
      </c>
      <c r="Y65" s="202">
        <f t="shared" si="106"/>
        <v>29</v>
      </c>
      <c r="Z65" s="202">
        <f t="shared" si="106"/>
        <v>29</v>
      </c>
      <c r="AA65" s="202">
        <f t="shared" si="106"/>
        <v>29</v>
      </c>
      <c r="AB65" s="202">
        <f t="shared" si="106"/>
        <v>29</v>
      </c>
      <c r="AC65" s="202">
        <f t="shared" si="106"/>
        <v>29</v>
      </c>
      <c r="AD65" s="202">
        <f t="shared" si="106"/>
        <v>29</v>
      </c>
      <c r="AE65" s="202">
        <f t="shared" si="106"/>
        <v>29</v>
      </c>
      <c r="AF65" s="202">
        <f t="shared" si="106"/>
        <v>29</v>
      </c>
      <c r="AG65" s="202">
        <f t="shared" si="106"/>
        <v>29</v>
      </c>
      <c r="AH65" s="202">
        <f t="shared" si="106"/>
        <v>29</v>
      </c>
      <c r="AI65" s="202">
        <f t="shared" si="106"/>
        <v>29</v>
      </c>
      <c r="AJ65" s="202">
        <f t="shared" si="106"/>
        <v>29</v>
      </c>
      <c r="AK65" s="202">
        <f t="shared" si="106"/>
        <v>29</v>
      </c>
      <c r="AL65" s="202">
        <f t="shared" si="106"/>
        <v>29</v>
      </c>
      <c r="AM65" s="202">
        <f t="shared" si="106"/>
        <v>29</v>
      </c>
      <c r="AN65" s="210">
        <f>SUM(I65:AM65)</f>
        <v>899</v>
      </c>
      <c r="AO65" s="195">
        <f>AN65*8</f>
        <v>7192</v>
      </c>
    </row>
    <row r="66" spans="2:41" ht="21.95" customHeight="1">
      <c r="B66" s="440" t="s">
        <v>163</v>
      </c>
      <c r="C66" s="441"/>
      <c r="D66" s="442"/>
      <c r="E66" s="157"/>
      <c r="F66" s="157"/>
      <c r="G66" s="157"/>
      <c r="H66" s="158"/>
      <c r="I66" s="159">
        <v>29</v>
      </c>
      <c r="J66" s="160">
        <v>29</v>
      </c>
      <c r="K66" s="160">
        <v>29</v>
      </c>
      <c r="L66" s="160">
        <v>29</v>
      </c>
      <c r="M66" s="160">
        <v>29</v>
      </c>
      <c r="N66" s="160">
        <v>29</v>
      </c>
      <c r="O66" s="160">
        <v>29</v>
      </c>
      <c r="P66" s="160">
        <v>29</v>
      </c>
      <c r="Q66" s="160">
        <v>29</v>
      </c>
      <c r="R66" s="160">
        <v>29</v>
      </c>
      <c r="S66" s="160">
        <v>29</v>
      </c>
      <c r="T66" s="160">
        <v>29</v>
      </c>
      <c r="U66" s="160">
        <v>29</v>
      </c>
      <c r="V66" s="160">
        <v>29</v>
      </c>
      <c r="W66" s="160">
        <v>29</v>
      </c>
      <c r="X66" s="160">
        <v>29</v>
      </c>
      <c r="Y66" s="160">
        <v>29</v>
      </c>
      <c r="Z66" s="160">
        <v>29</v>
      </c>
      <c r="AA66" s="160">
        <v>29</v>
      </c>
      <c r="AB66" s="160">
        <v>29</v>
      </c>
      <c r="AC66" s="160">
        <v>29</v>
      </c>
      <c r="AD66" s="160">
        <v>29</v>
      </c>
      <c r="AE66" s="160">
        <v>29</v>
      </c>
      <c r="AF66" s="160">
        <v>29</v>
      </c>
      <c r="AG66" s="160">
        <v>29</v>
      </c>
      <c r="AH66" s="160">
        <v>29</v>
      </c>
      <c r="AI66" s="160">
        <v>29</v>
      </c>
      <c r="AJ66" s="160">
        <v>29</v>
      </c>
      <c r="AK66" s="160">
        <v>29</v>
      </c>
      <c r="AL66" s="160">
        <v>29</v>
      </c>
      <c r="AM66" s="160">
        <v>29</v>
      </c>
      <c r="AN66" s="196">
        <f t="shared" si="103"/>
        <v>899</v>
      </c>
      <c r="AO66" s="158">
        <f t="shared" si="102"/>
        <v>7192</v>
      </c>
    </row>
    <row r="67" spans="2:41" ht="21.95" customHeight="1" thickBot="1">
      <c r="B67" s="443" t="s">
        <v>164</v>
      </c>
      <c r="C67" s="444"/>
      <c r="D67" s="445"/>
      <c r="E67" s="203"/>
      <c r="F67" s="203"/>
      <c r="G67" s="203"/>
      <c r="H67" s="377"/>
      <c r="I67" s="375">
        <f>IF((I65-I66)&lt;2,I65-I66,2)</f>
        <v>0</v>
      </c>
      <c r="J67" s="204">
        <f t="shared" ref="J67" si="107">IF((J65-J66)&lt;2,J65-J66,2)</f>
        <v>0</v>
      </c>
      <c r="K67" s="204">
        <f t="shared" ref="K67:AM67" si="108">IF((K65-K66)&lt;2,K65-K66,2)</f>
        <v>0</v>
      </c>
      <c r="L67" s="204">
        <f t="shared" si="108"/>
        <v>0</v>
      </c>
      <c r="M67" s="204">
        <f t="shared" si="108"/>
        <v>0</v>
      </c>
      <c r="N67" s="204">
        <f t="shared" si="108"/>
        <v>0</v>
      </c>
      <c r="O67" s="204">
        <f t="shared" si="108"/>
        <v>0</v>
      </c>
      <c r="P67" s="204">
        <f t="shared" si="108"/>
        <v>0</v>
      </c>
      <c r="Q67" s="204">
        <f t="shared" si="108"/>
        <v>0</v>
      </c>
      <c r="R67" s="204">
        <f t="shared" si="108"/>
        <v>0</v>
      </c>
      <c r="S67" s="204">
        <f t="shared" si="108"/>
        <v>0</v>
      </c>
      <c r="T67" s="204">
        <f t="shared" si="108"/>
        <v>0</v>
      </c>
      <c r="U67" s="204">
        <f t="shared" si="108"/>
        <v>0</v>
      </c>
      <c r="V67" s="204">
        <f t="shared" si="108"/>
        <v>0</v>
      </c>
      <c r="W67" s="204">
        <f t="shared" si="108"/>
        <v>0</v>
      </c>
      <c r="X67" s="204">
        <f t="shared" si="108"/>
        <v>0</v>
      </c>
      <c r="Y67" s="204">
        <f t="shared" si="108"/>
        <v>0</v>
      </c>
      <c r="Z67" s="204">
        <f t="shared" si="108"/>
        <v>0</v>
      </c>
      <c r="AA67" s="204">
        <f t="shared" si="108"/>
        <v>0</v>
      </c>
      <c r="AB67" s="204">
        <f t="shared" si="108"/>
        <v>0</v>
      </c>
      <c r="AC67" s="204">
        <f t="shared" si="108"/>
        <v>0</v>
      </c>
      <c r="AD67" s="204">
        <f t="shared" si="108"/>
        <v>0</v>
      </c>
      <c r="AE67" s="204">
        <f t="shared" si="108"/>
        <v>0</v>
      </c>
      <c r="AF67" s="204">
        <f t="shared" si="108"/>
        <v>0</v>
      </c>
      <c r="AG67" s="204">
        <f t="shared" si="108"/>
        <v>0</v>
      </c>
      <c r="AH67" s="204">
        <f t="shared" si="108"/>
        <v>0</v>
      </c>
      <c r="AI67" s="204">
        <f t="shared" si="108"/>
        <v>0</v>
      </c>
      <c r="AJ67" s="204">
        <f t="shared" si="108"/>
        <v>0</v>
      </c>
      <c r="AK67" s="204">
        <f t="shared" si="108"/>
        <v>0</v>
      </c>
      <c r="AL67" s="204">
        <f t="shared" si="108"/>
        <v>0</v>
      </c>
      <c r="AM67" s="204">
        <f t="shared" si="108"/>
        <v>0</v>
      </c>
      <c r="AN67" s="209">
        <f t="shared" si="103"/>
        <v>0</v>
      </c>
      <c r="AO67" s="205">
        <f t="shared" si="102"/>
        <v>0</v>
      </c>
    </row>
    <row r="68" spans="2:41" ht="21.95" customHeight="1">
      <c r="B68" s="437" t="s">
        <v>165</v>
      </c>
      <c r="C68" s="438"/>
      <c r="D68" s="439"/>
      <c r="E68" s="152"/>
      <c r="F68" s="152"/>
      <c r="G68" s="152"/>
      <c r="H68" s="153"/>
      <c r="I68" s="376">
        <f>SUM(I15+I62+I65)</f>
        <v>33</v>
      </c>
      <c r="J68" s="206">
        <f t="shared" ref="J68:AM68" si="109">SUM(J15+J62+J65)</f>
        <v>33</v>
      </c>
      <c r="K68" s="206">
        <f t="shared" si="109"/>
        <v>33</v>
      </c>
      <c r="L68" s="206">
        <f t="shared" si="109"/>
        <v>33</v>
      </c>
      <c r="M68" s="206">
        <f t="shared" si="109"/>
        <v>33</v>
      </c>
      <c r="N68" s="206">
        <f t="shared" si="109"/>
        <v>33</v>
      </c>
      <c r="O68" s="206">
        <f t="shared" si="109"/>
        <v>33</v>
      </c>
      <c r="P68" s="206">
        <f t="shared" si="109"/>
        <v>33</v>
      </c>
      <c r="Q68" s="206">
        <f t="shared" si="109"/>
        <v>33</v>
      </c>
      <c r="R68" s="206">
        <f t="shared" si="109"/>
        <v>33</v>
      </c>
      <c r="S68" s="206">
        <f t="shared" si="109"/>
        <v>33</v>
      </c>
      <c r="T68" s="206">
        <f t="shared" si="109"/>
        <v>33</v>
      </c>
      <c r="U68" s="206">
        <f t="shared" si="109"/>
        <v>33</v>
      </c>
      <c r="V68" s="206">
        <f t="shared" si="109"/>
        <v>33</v>
      </c>
      <c r="W68" s="206">
        <f t="shared" si="109"/>
        <v>33</v>
      </c>
      <c r="X68" s="206">
        <f t="shared" si="109"/>
        <v>33</v>
      </c>
      <c r="Y68" s="206">
        <f t="shared" si="109"/>
        <v>33</v>
      </c>
      <c r="Z68" s="206">
        <f t="shared" si="109"/>
        <v>33</v>
      </c>
      <c r="AA68" s="206">
        <f t="shared" si="109"/>
        <v>33</v>
      </c>
      <c r="AB68" s="206">
        <f t="shared" si="109"/>
        <v>33</v>
      </c>
      <c r="AC68" s="206">
        <f t="shared" si="109"/>
        <v>33</v>
      </c>
      <c r="AD68" s="206">
        <f t="shared" si="109"/>
        <v>33</v>
      </c>
      <c r="AE68" s="206">
        <f t="shared" si="109"/>
        <v>33</v>
      </c>
      <c r="AF68" s="206">
        <f t="shared" si="109"/>
        <v>33</v>
      </c>
      <c r="AG68" s="206">
        <f t="shared" si="109"/>
        <v>33</v>
      </c>
      <c r="AH68" s="206">
        <f t="shared" si="109"/>
        <v>33</v>
      </c>
      <c r="AI68" s="206">
        <f t="shared" si="109"/>
        <v>33</v>
      </c>
      <c r="AJ68" s="206">
        <f t="shared" si="109"/>
        <v>33</v>
      </c>
      <c r="AK68" s="206">
        <f t="shared" si="109"/>
        <v>33</v>
      </c>
      <c r="AL68" s="206">
        <f t="shared" si="109"/>
        <v>33</v>
      </c>
      <c r="AM68" s="206">
        <f t="shared" si="109"/>
        <v>33</v>
      </c>
      <c r="AN68" s="208">
        <f>SUM(I68:AM68)</f>
        <v>1023</v>
      </c>
      <c r="AO68" s="155">
        <f>AN68*8</f>
        <v>8184</v>
      </c>
    </row>
    <row r="69" spans="2:41" ht="21.95" customHeight="1">
      <c r="B69" s="440" t="s">
        <v>166</v>
      </c>
      <c r="C69" s="441"/>
      <c r="D69" s="442"/>
      <c r="E69" s="157"/>
      <c r="F69" s="157"/>
      <c r="G69" s="157"/>
      <c r="H69" s="158"/>
      <c r="I69" s="159">
        <f>SUM(I16+I63+I66)</f>
        <v>33</v>
      </c>
      <c r="J69" s="160">
        <f t="shared" ref="J69:AM69" si="110">SUM(J16+J63+J66)</f>
        <v>33</v>
      </c>
      <c r="K69" s="160">
        <f t="shared" si="110"/>
        <v>33</v>
      </c>
      <c r="L69" s="160">
        <f t="shared" si="110"/>
        <v>33</v>
      </c>
      <c r="M69" s="160">
        <f t="shared" si="110"/>
        <v>33</v>
      </c>
      <c r="N69" s="160">
        <f t="shared" si="110"/>
        <v>33</v>
      </c>
      <c r="O69" s="160">
        <f t="shared" si="110"/>
        <v>33</v>
      </c>
      <c r="P69" s="160">
        <f t="shared" si="110"/>
        <v>33</v>
      </c>
      <c r="Q69" s="160">
        <f t="shared" si="110"/>
        <v>33</v>
      </c>
      <c r="R69" s="160">
        <f t="shared" si="110"/>
        <v>33</v>
      </c>
      <c r="S69" s="160">
        <f t="shared" si="110"/>
        <v>33</v>
      </c>
      <c r="T69" s="160">
        <f t="shared" si="110"/>
        <v>33</v>
      </c>
      <c r="U69" s="160">
        <f t="shared" si="110"/>
        <v>33</v>
      </c>
      <c r="V69" s="160">
        <f t="shared" si="110"/>
        <v>33</v>
      </c>
      <c r="W69" s="160">
        <f t="shared" si="110"/>
        <v>33</v>
      </c>
      <c r="X69" s="160">
        <f t="shared" si="110"/>
        <v>33</v>
      </c>
      <c r="Y69" s="160">
        <f t="shared" si="110"/>
        <v>33</v>
      </c>
      <c r="Z69" s="160">
        <f t="shared" si="110"/>
        <v>33</v>
      </c>
      <c r="AA69" s="160">
        <f t="shared" si="110"/>
        <v>33</v>
      </c>
      <c r="AB69" s="160">
        <f t="shared" si="110"/>
        <v>33</v>
      </c>
      <c r="AC69" s="160">
        <f t="shared" si="110"/>
        <v>33</v>
      </c>
      <c r="AD69" s="160">
        <f t="shared" si="110"/>
        <v>33</v>
      </c>
      <c r="AE69" s="160">
        <f t="shared" si="110"/>
        <v>33</v>
      </c>
      <c r="AF69" s="160">
        <f t="shared" si="110"/>
        <v>33</v>
      </c>
      <c r="AG69" s="160">
        <f t="shared" si="110"/>
        <v>33</v>
      </c>
      <c r="AH69" s="160">
        <f t="shared" si="110"/>
        <v>33</v>
      </c>
      <c r="AI69" s="160">
        <f t="shared" si="110"/>
        <v>33</v>
      </c>
      <c r="AJ69" s="160">
        <f t="shared" si="110"/>
        <v>33</v>
      </c>
      <c r="AK69" s="160">
        <f t="shared" si="110"/>
        <v>33</v>
      </c>
      <c r="AL69" s="160">
        <f t="shared" si="110"/>
        <v>33</v>
      </c>
      <c r="AM69" s="160">
        <f t="shared" si="110"/>
        <v>33</v>
      </c>
      <c r="AN69" s="196">
        <f>SUM(I69:AM69)</f>
        <v>1023</v>
      </c>
      <c r="AO69" s="158">
        <f>AN69*8</f>
        <v>8184</v>
      </c>
    </row>
    <row r="70" spans="2:41" ht="21.95" customHeight="1" thickBot="1">
      <c r="B70" s="443" t="s">
        <v>389</v>
      </c>
      <c r="C70" s="444"/>
      <c r="D70" s="445"/>
      <c r="E70" s="163"/>
      <c r="F70" s="163"/>
      <c r="G70" s="163"/>
      <c r="H70" s="164"/>
      <c r="I70" s="165">
        <f>I68-I69</f>
        <v>0</v>
      </c>
      <c r="J70" s="197">
        <f t="shared" ref="J70:AM70" si="111">J68-J69</f>
        <v>0</v>
      </c>
      <c r="K70" s="197">
        <f t="shared" si="111"/>
        <v>0</v>
      </c>
      <c r="L70" s="197">
        <f t="shared" si="111"/>
        <v>0</v>
      </c>
      <c r="M70" s="197">
        <f t="shared" si="111"/>
        <v>0</v>
      </c>
      <c r="N70" s="197">
        <f t="shared" si="111"/>
        <v>0</v>
      </c>
      <c r="O70" s="197">
        <f t="shared" si="111"/>
        <v>0</v>
      </c>
      <c r="P70" s="197">
        <f t="shared" si="111"/>
        <v>0</v>
      </c>
      <c r="Q70" s="197">
        <f t="shared" si="111"/>
        <v>0</v>
      </c>
      <c r="R70" s="197">
        <f t="shared" si="111"/>
        <v>0</v>
      </c>
      <c r="S70" s="197">
        <f t="shared" si="111"/>
        <v>0</v>
      </c>
      <c r="T70" s="197">
        <f t="shared" si="111"/>
        <v>0</v>
      </c>
      <c r="U70" s="197">
        <f t="shared" si="111"/>
        <v>0</v>
      </c>
      <c r="V70" s="197">
        <f t="shared" si="111"/>
        <v>0</v>
      </c>
      <c r="W70" s="197">
        <f t="shared" si="111"/>
        <v>0</v>
      </c>
      <c r="X70" s="197">
        <f t="shared" si="111"/>
        <v>0</v>
      </c>
      <c r="Y70" s="197">
        <f t="shared" si="111"/>
        <v>0</v>
      </c>
      <c r="Z70" s="197">
        <f t="shared" si="111"/>
        <v>0</v>
      </c>
      <c r="AA70" s="197">
        <f t="shared" si="111"/>
        <v>0</v>
      </c>
      <c r="AB70" s="197">
        <f t="shared" si="111"/>
        <v>0</v>
      </c>
      <c r="AC70" s="197">
        <f t="shared" si="111"/>
        <v>0</v>
      </c>
      <c r="AD70" s="197">
        <f t="shared" si="111"/>
        <v>0</v>
      </c>
      <c r="AE70" s="197">
        <f t="shared" si="111"/>
        <v>0</v>
      </c>
      <c r="AF70" s="197">
        <f t="shared" si="111"/>
        <v>0</v>
      </c>
      <c r="AG70" s="197">
        <f t="shared" si="111"/>
        <v>0</v>
      </c>
      <c r="AH70" s="197">
        <f t="shared" si="111"/>
        <v>0</v>
      </c>
      <c r="AI70" s="197">
        <f t="shared" si="111"/>
        <v>0</v>
      </c>
      <c r="AJ70" s="197">
        <f t="shared" si="111"/>
        <v>0</v>
      </c>
      <c r="AK70" s="197">
        <f t="shared" si="111"/>
        <v>0</v>
      </c>
      <c r="AL70" s="197">
        <f t="shared" si="111"/>
        <v>0</v>
      </c>
      <c r="AM70" s="197">
        <f t="shared" si="111"/>
        <v>0</v>
      </c>
      <c r="AN70" s="211">
        <f t="shared" si="103"/>
        <v>0</v>
      </c>
      <c r="AO70" s="207">
        <f>AO68-AO69</f>
        <v>0</v>
      </c>
    </row>
    <row r="71" spans="2:41" ht="21.95" customHeight="1">
      <c r="AF71" s="3"/>
    </row>
    <row r="72" spans="2:41" ht="21.95" customHeight="1">
      <c r="D72" s="115" t="s">
        <v>168</v>
      </c>
      <c r="I72" s="3" t="s">
        <v>169</v>
      </c>
      <c r="J72" s="42"/>
      <c r="K72" s="42"/>
      <c r="L72" s="42"/>
      <c r="M72" s="42"/>
      <c r="N72" s="42"/>
      <c r="O72" s="42"/>
      <c r="P72" s="42"/>
      <c r="Q72" s="42"/>
      <c r="R72" s="67"/>
      <c r="S72" s="40"/>
      <c r="X72" s="40"/>
      <c r="Y72" s="40"/>
      <c r="Z72" s="40"/>
      <c r="AA72" s="434" t="s">
        <v>416</v>
      </c>
      <c r="AB72" s="434"/>
      <c r="AC72" s="44" t="s">
        <v>9</v>
      </c>
      <c r="AD72" s="364" t="s">
        <v>390</v>
      </c>
      <c r="AE72" s="45" t="s">
        <v>11</v>
      </c>
      <c r="AF72" s="46" t="s">
        <v>12</v>
      </c>
      <c r="AG72" s="119" t="s">
        <v>170</v>
      </c>
      <c r="AH72" s="129" t="s">
        <v>14</v>
      </c>
      <c r="AI72" s="431" t="s">
        <v>376</v>
      </c>
      <c r="AJ72" s="432"/>
      <c r="AK72" s="433"/>
      <c r="AL72" s="40"/>
      <c r="AM72" s="40"/>
    </row>
    <row r="73" spans="2:41" ht="21.95" customHeight="1">
      <c r="I73" s="3" t="s">
        <v>417</v>
      </c>
      <c r="O73" s="40"/>
      <c r="AF73" s="3"/>
    </row>
    <row r="74" spans="2:41" ht="21.95" customHeight="1">
      <c r="C74" s="5"/>
      <c r="AF74" s="3"/>
    </row>
    <row r="75" spans="2:41" ht="21.95" customHeight="1">
      <c r="B75" s="116"/>
      <c r="C75" s="117"/>
      <c r="D75" s="117"/>
      <c r="F75" s="82"/>
      <c r="G75" s="83"/>
      <c r="H75" s="118"/>
      <c r="AF75" s="3"/>
      <c r="AH75" s="84"/>
      <c r="AI75" s="85"/>
      <c r="AN75" s="3"/>
      <c r="AO75" s="3"/>
    </row>
    <row r="76" spans="2:41" ht="21.95" customHeight="1">
      <c r="F76" s="82"/>
      <c r="G76" s="78"/>
      <c r="H76" s="107"/>
      <c r="AF76" s="3"/>
      <c r="AN76" s="3"/>
      <c r="AO76" s="3"/>
    </row>
    <row r="77" spans="2:41" ht="21.95" customHeight="1">
      <c r="D77" s="3"/>
      <c r="H77" s="40"/>
      <c r="I77" s="40"/>
      <c r="J77" s="40"/>
      <c r="AF77" s="3"/>
    </row>
    <row r="78" spans="2:41" ht="21.95" customHeight="1">
      <c r="D78" s="3"/>
      <c r="H78" s="40"/>
      <c r="AF78" s="3"/>
    </row>
    <row r="79" spans="2:41" ht="21.95" customHeight="1">
      <c r="AF79" s="3"/>
      <c r="AH79" s="84"/>
      <c r="AI79" s="4"/>
      <c r="AJ79" s="4"/>
      <c r="AK79" s="4"/>
      <c r="AL79" s="4"/>
      <c r="AM79" s="4"/>
      <c r="AN79" s="4"/>
      <c r="AO79" s="4"/>
    </row>
    <row r="80" spans="2:41" ht="21.95" customHeight="1">
      <c r="I80" s="32"/>
      <c r="AF80" s="3"/>
      <c r="AH80" s="4"/>
      <c r="AI80" s="4"/>
      <c r="AJ80" s="4"/>
      <c r="AK80" s="4"/>
      <c r="AL80" s="4"/>
      <c r="AM80" s="4"/>
      <c r="AN80" s="4"/>
      <c r="AO80" s="4"/>
    </row>
    <row r="81" spans="32:41" ht="21.95" customHeight="1">
      <c r="AF81" s="3"/>
      <c r="AH81" s="4"/>
      <c r="AI81" s="4"/>
      <c r="AJ81" s="4"/>
      <c r="AK81" s="4"/>
      <c r="AL81" s="4"/>
      <c r="AM81" s="4"/>
      <c r="AN81" s="2"/>
      <c r="AO81" s="2"/>
    </row>
    <row r="82" spans="32:41" ht="21.95" customHeight="1">
      <c r="AF82" s="3"/>
      <c r="AH82" s="4"/>
      <c r="AI82" s="4"/>
      <c r="AJ82" s="4"/>
      <c r="AK82" s="4"/>
      <c r="AL82" s="4"/>
      <c r="AM82" s="4"/>
      <c r="AN82" s="2"/>
      <c r="AO82" s="2"/>
    </row>
    <row r="83" spans="32:41" ht="21.95" customHeight="1">
      <c r="AF83" s="3"/>
      <c r="AH83" s="84"/>
      <c r="AI83" s="86"/>
      <c r="AJ83" s="120"/>
      <c r="AK83" s="120"/>
      <c r="AL83" s="120"/>
      <c r="AM83" s="120"/>
      <c r="AN83" s="120"/>
      <c r="AO83" s="120"/>
    </row>
    <row r="84" spans="32:41" ht="21.95" customHeight="1"/>
    <row r="85" spans="32:41" ht="21.95" customHeight="1"/>
    <row r="86" spans="32:41" ht="21.95" customHeight="1"/>
    <row r="87" spans="32:41" ht="21.95" customHeight="1"/>
    <row r="88" spans="32:41" ht="21.95" customHeight="1"/>
    <row r="89" spans="32:41" ht="21.95" customHeight="1"/>
    <row r="90" spans="32:41" ht="21.95" customHeight="1"/>
    <row r="91" spans="32:41" ht="21.95" customHeight="1"/>
    <row r="92" spans="32:41" ht="21.95" customHeight="1"/>
    <row r="93" spans="32:41" ht="21.95" customHeight="1"/>
    <row r="94" spans="32:41" ht="21.95" customHeight="1"/>
    <row r="95" spans="32:41" ht="21.95" customHeight="1"/>
    <row r="96" spans="32:41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  <row r="119" ht="21.95" customHeight="1"/>
    <row r="120" ht="21.95" customHeight="1"/>
    <row r="121" ht="21.95" customHeight="1"/>
    <row r="122" ht="21.95" customHeight="1"/>
    <row r="123" ht="21.95" customHeight="1"/>
    <row r="124" ht="21.95" customHeight="1"/>
    <row r="125" ht="21.95" customHeight="1"/>
    <row r="126" ht="21.95" customHeight="1"/>
    <row r="127" ht="21.95" customHeight="1"/>
    <row r="128" ht="21.95" customHeight="1"/>
    <row r="129" ht="21.95" customHeight="1"/>
    <row r="130" ht="21.95" customHeight="1"/>
    <row r="131" ht="21.95" customHeight="1"/>
    <row r="132" ht="21.95" customHeight="1"/>
    <row r="133" ht="21.95" customHeight="1"/>
    <row r="134" ht="21.95" customHeight="1"/>
    <row r="135" ht="21.95" customHeight="1"/>
    <row r="136" ht="21.95" customHeight="1"/>
    <row r="137" ht="21.95" customHeight="1"/>
    <row r="138" ht="21.95" customHeight="1"/>
    <row r="139" ht="21.95" customHeight="1"/>
    <row r="140" ht="21.95" customHeight="1"/>
    <row r="141" ht="21.95" customHeight="1"/>
    <row r="142" ht="21.95" customHeight="1"/>
    <row r="143" ht="21.95" customHeight="1"/>
    <row r="144" ht="21.95" customHeight="1"/>
    <row r="145" ht="21.95" customHeight="1"/>
    <row r="146" ht="21.95" customHeight="1"/>
    <row r="147" ht="21.95" customHeight="1"/>
    <row r="148" ht="21.95" customHeight="1"/>
    <row r="149" ht="21.95" customHeight="1"/>
    <row r="150" ht="21.95" customHeight="1"/>
    <row r="151" ht="21.95" customHeight="1"/>
    <row r="152" ht="21.95" customHeight="1"/>
    <row r="153" ht="21.95" customHeight="1"/>
    <row r="154" ht="21.95" customHeight="1"/>
    <row r="155" ht="21.95" customHeight="1"/>
    <row r="156" ht="21.95" customHeight="1"/>
    <row r="157" ht="21.95" customHeight="1"/>
    <row r="158" ht="21.95" customHeight="1"/>
    <row r="159" ht="21.95" customHeight="1"/>
    <row r="160" ht="21.95" customHeight="1"/>
    <row r="161" ht="21.95" customHeight="1"/>
    <row r="162" ht="21.95" customHeight="1"/>
    <row r="163" ht="21.95" customHeight="1"/>
    <row r="164" ht="21.95" customHeight="1"/>
    <row r="165" ht="21.95" customHeight="1"/>
    <row r="166" ht="21.95" customHeight="1"/>
    <row r="167" ht="21.95" customHeight="1"/>
  </sheetData>
  <mergeCells count="23">
    <mergeCell ref="D59:H59"/>
    <mergeCell ref="B1:AO1"/>
    <mergeCell ref="B62:D62"/>
    <mergeCell ref="B15:D15"/>
    <mergeCell ref="B4:AO4"/>
    <mergeCell ref="B3:AO3"/>
    <mergeCell ref="B2:AO2"/>
    <mergeCell ref="AI72:AK72"/>
    <mergeCell ref="AA72:AB72"/>
    <mergeCell ref="BC6:BC7"/>
    <mergeCell ref="B68:D68"/>
    <mergeCell ref="B69:D69"/>
    <mergeCell ref="B70:D70"/>
    <mergeCell ref="AN6:AN7"/>
    <mergeCell ref="AO6:AO7"/>
    <mergeCell ref="B63:D63"/>
    <mergeCell ref="B64:D64"/>
    <mergeCell ref="B65:D65"/>
    <mergeCell ref="B66:D66"/>
    <mergeCell ref="B67:D67"/>
    <mergeCell ref="B16:D16"/>
    <mergeCell ref="B17:D17"/>
    <mergeCell ref="B59:C59"/>
  </mergeCells>
  <phoneticPr fontId="22" type="noConversion"/>
  <conditionalFormatting sqref="B1:B2">
    <cfRule type="cellIs" dxfId="2496" priority="817" stopIfTrue="1" operator="equal">
      <formula>"NC"</formula>
    </cfRule>
    <cfRule type="cellIs" dxfId="2495" priority="818" stopIfTrue="1" operator="equal">
      <formula>"R"</formula>
    </cfRule>
    <cfRule type="cellIs" dxfId="2494" priority="819" stopIfTrue="1" operator="equal">
      <formula>"RD"</formula>
    </cfRule>
  </conditionalFormatting>
  <conditionalFormatting sqref="B4:AO4">
    <cfRule type="cellIs" dxfId="2493" priority="2" operator="equal">
      <formula>"NSH"</formula>
    </cfRule>
  </conditionalFormatting>
  <conditionalFormatting sqref="C74">
    <cfRule type="cellIs" dxfId="2492" priority="758" stopIfTrue="1" operator="equal">
      <formula>"NC"</formula>
    </cfRule>
    <cfRule type="cellIs" dxfId="2491" priority="759" stopIfTrue="1" operator="equal">
      <formula>"NP"</formula>
    </cfRule>
    <cfRule type="cellIs" dxfId="2490" priority="760" stopIfTrue="1" operator="equal">
      <formula>"RD"</formula>
    </cfRule>
  </conditionalFormatting>
  <conditionalFormatting sqref="I8">
    <cfRule type="cellIs" dxfId="2489" priority="755" operator="equal">
      <formula>"SEC"</formula>
    </cfRule>
    <cfRule type="cellIs" dxfId="2488" priority="823" stopIfTrue="1" operator="equal">
      <formula>"SG"</formula>
    </cfRule>
    <cfRule type="cellIs" dxfId="2487" priority="824" stopIfTrue="1" operator="equal">
      <formula>"GS"</formula>
    </cfRule>
  </conditionalFormatting>
  <conditionalFormatting sqref="I10:I11">
    <cfRule type="cellIs" dxfId="2486" priority="748" operator="equal">
      <formula>"SEC"</formula>
    </cfRule>
    <cfRule type="cellIs" dxfId="2485" priority="749" stopIfTrue="1" operator="equal">
      <formula>"SG"</formula>
    </cfRule>
    <cfRule type="cellIs" dxfId="2484" priority="750" stopIfTrue="1" operator="equal">
      <formula>"GS"</formula>
    </cfRule>
  </conditionalFormatting>
  <conditionalFormatting sqref="I20:I21">
    <cfRule type="cellIs" dxfId="2483" priority="702" operator="equal">
      <formula>"SEC"</formula>
    </cfRule>
    <cfRule type="cellIs" dxfId="2482" priority="703" stopIfTrue="1" operator="equal">
      <formula>"SG"</formula>
    </cfRule>
    <cfRule type="cellIs" dxfId="2481" priority="704" stopIfTrue="1" operator="equal">
      <formula>"GS"</formula>
    </cfRule>
  </conditionalFormatting>
  <conditionalFormatting sqref="I23">
    <cfRule type="containsText" dxfId="2480" priority="662" operator="containsText" text="G">
      <formula>NOT(ISERROR(SEARCH("G",I23)))</formula>
    </cfRule>
    <cfRule type="cellIs" dxfId="2479" priority="663" operator="equal">
      <formula>"SEC"</formula>
    </cfRule>
    <cfRule type="cellIs" dxfId="2478" priority="664" stopIfTrue="1" operator="equal">
      <formula>"SG"</formula>
    </cfRule>
    <cfRule type="cellIs" dxfId="2477" priority="665" stopIfTrue="1" operator="equal">
      <formula>"GS"</formula>
    </cfRule>
  </conditionalFormatting>
  <conditionalFormatting sqref="I43">
    <cfRule type="containsText" dxfId="2476" priority="298" operator="containsText" text="G">
      <formula>NOT(ISERROR(SEARCH("G",I43)))</formula>
    </cfRule>
    <cfRule type="cellIs" dxfId="2475" priority="299" operator="equal">
      <formula>"SEC"</formula>
    </cfRule>
    <cfRule type="cellIs" dxfId="2474" priority="300" stopIfTrue="1" operator="equal">
      <formula>"SG"</formula>
    </cfRule>
    <cfRule type="cellIs" dxfId="2473" priority="301" stopIfTrue="1" operator="equal">
      <formula>"GS"</formula>
    </cfRule>
  </conditionalFormatting>
  <conditionalFormatting sqref="I57">
    <cfRule type="containsText" dxfId="2472" priority="56" operator="containsText" text="G">
      <formula>NOT(ISERROR(SEARCH("G",I57)))</formula>
    </cfRule>
    <cfRule type="cellIs" dxfId="2471" priority="57" operator="equal">
      <formula>"SEC"</formula>
    </cfRule>
    <cfRule type="cellIs" dxfId="2470" priority="58" stopIfTrue="1" operator="equal">
      <formula>"SG"</formula>
    </cfRule>
    <cfRule type="cellIs" dxfId="2469" priority="59" stopIfTrue="1" operator="equal">
      <formula>"GS"</formula>
    </cfRule>
  </conditionalFormatting>
  <conditionalFormatting sqref="I73">
    <cfRule type="cellIs" dxfId="2468" priority="756" operator="equal">
      <formula>"NP"</formula>
    </cfRule>
  </conditionalFormatting>
  <conditionalFormatting sqref="I48:J48">
    <cfRule type="containsText" dxfId="2467" priority="210" operator="containsText" text="G">
      <formula>NOT(ISERROR(SEARCH("G",I48)))</formula>
    </cfRule>
    <cfRule type="cellIs" dxfId="2466" priority="211" operator="equal">
      <formula>"SEC"</formula>
    </cfRule>
    <cfRule type="cellIs" dxfId="2465" priority="212" stopIfTrue="1" operator="equal">
      <formula>"SG"</formula>
    </cfRule>
    <cfRule type="cellIs" dxfId="2464" priority="213" stopIfTrue="1" operator="equal">
      <formula>"GS"</formula>
    </cfRule>
  </conditionalFormatting>
  <conditionalFormatting sqref="I6:K7 M6:AM7">
    <cfRule type="expression" dxfId="2463" priority="1809" stopIfTrue="1">
      <formula>(WEEKDAY($I1048574,5)&gt;1)</formula>
    </cfRule>
    <cfRule type="expression" dxfId="2462" priority="1810" stopIfTrue="1">
      <formula>LEFT(#REF!,1)="H"</formula>
    </cfRule>
    <cfRule type="expression" dxfId="2461" priority="1811" stopIfTrue="1">
      <formula>WEEKDAY(I$6,2)&gt;6</formula>
    </cfRule>
  </conditionalFormatting>
  <conditionalFormatting sqref="I8:AM9 I12:AM13">
    <cfRule type="cellIs" dxfId="2460" priority="763" operator="equal">
      <formula>"SEC"</formula>
    </cfRule>
  </conditionalFormatting>
  <conditionalFormatting sqref="I8:AM11 I20:AM51 I53:AM58">
    <cfRule type="cellIs" dxfId="2459" priority="757" operator="equal">
      <formula>"NSH"</formula>
    </cfRule>
  </conditionalFormatting>
  <conditionalFormatting sqref="I8:AM51 I53:AM58">
    <cfRule type="containsText" dxfId="2458" priority="801" operator="containsText" text="WTT">
      <formula>NOT(ISERROR(SEARCH("WTT",I8)))</formula>
    </cfRule>
    <cfRule type="containsText" dxfId="2457" priority="802" operator="containsText" text="RD">
      <formula>NOT(ISERROR(SEARCH("RD",I8)))</formula>
    </cfRule>
    <cfRule type="containsText" dxfId="2456" priority="807" operator="containsText" text="NP">
      <formula>NOT(ISERROR(SEARCH("NP",I8)))</formula>
    </cfRule>
    <cfRule type="containsText" dxfId="2455" priority="808" operator="containsText" text="GS">
      <formula>NOT(ISERROR(SEARCH("GS",I8)))</formula>
    </cfRule>
    <cfRule type="containsText" dxfId="2454" priority="809" operator="containsText" text="SEC">
      <formula>NOT(ISERROR(SEARCH("SEC",I8)))</formula>
    </cfRule>
    <cfRule type="containsText" dxfId="2453" priority="810" operator="containsText" text="FS">
      <formula>NOT(ISERROR(SEARCH("FS",I8)))</formula>
    </cfRule>
    <cfRule type="containsText" dxfId="2452" priority="811" operator="containsText" text="FH">
      <formula>NOT(ISERROR(SEARCH("FH",I8)))</formula>
    </cfRule>
    <cfRule type="containsText" dxfId="2451" priority="812" operator="containsText" text="RD">
      <formula>NOT(ISERROR(SEARCH("RD",I8)))</formula>
    </cfRule>
    <cfRule type="containsText" dxfId="2450" priority="813" operator="containsText" text="SHNP">
      <formula>NOT(ISERROR(SEARCH("SHNP",I8)))</formula>
    </cfRule>
    <cfRule type="cellIs" dxfId="2449" priority="846" stopIfTrue="1" operator="equal">
      <formula>"CL"</formula>
    </cfRule>
  </conditionalFormatting>
  <conditionalFormatting sqref="I8:AM70">
    <cfRule type="cellIs" dxfId="2448" priority="1" operator="equal">
      <formula>"NSH"</formula>
    </cfRule>
  </conditionalFormatting>
  <conditionalFormatting sqref="I10:AM11">
    <cfRule type="containsText" dxfId="2447" priority="728" operator="containsText" text="G">
      <formula>NOT(ISERROR(SEARCH("G",I10)))</formula>
    </cfRule>
  </conditionalFormatting>
  <conditionalFormatting sqref="I20:AM21">
    <cfRule type="containsText" dxfId="2446" priority="682" operator="containsText" text="G">
      <formula>NOT(ISERROR(SEARCH("G",I20)))</formula>
    </cfRule>
  </conditionalFormatting>
  <conditionalFormatting sqref="I52:AM52">
    <cfRule type="containsText" dxfId="2445" priority="128" operator="containsText" text="EC">
      <formula>NOT(ISERROR(SEARCH("EC",I52)))</formula>
    </cfRule>
  </conditionalFormatting>
  <conditionalFormatting sqref="I60:AM60 I80">
    <cfRule type="expression" dxfId="2444" priority="862" stopIfTrue="1">
      <formula>NOT(ISERROR(SEARCH("OTE",I60)))</formula>
    </cfRule>
    <cfRule type="expression" dxfId="2443" priority="863" stopIfTrue="1">
      <formula>NOT(ISERROR(SEARCH("AL",I60)))</formula>
    </cfRule>
    <cfRule type="expression" dxfId="2442" priority="864" stopIfTrue="1">
      <formula>NOT(ISERROR(SEARCH("SL",I60)))</formula>
    </cfRule>
  </conditionalFormatting>
  <conditionalFormatting sqref="I60:AM60 I12:Y14 AA12:AM14 I15:AM15 AM15:AM18 AA16:AL18 I16:Y19 Z17 AA19:AM19">
    <cfRule type="expression" dxfId="2441" priority="865" stopIfTrue="1">
      <formula>NOT(ISERROR(SEARCH("OTE",I12)))</formula>
    </cfRule>
  </conditionalFormatting>
  <conditionalFormatting sqref="I60:AM60">
    <cfRule type="cellIs" dxfId="2440" priority="866" stopIfTrue="1" operator="equal">
      <formula>"TPN"</formula>
    </cfRule>
    <cfRule type="cellIs" dxfId="2439" priority="867" stopIfTrue="1" operator="equal">
      <formula>"CL"</formula>
    </cfRule>
    <cfRule type="cellIs" dxfId="2438" priority="868" stopIfTrue="1" operator="equal">
      <formula>"GS"</formula>
    </cfRule>
  </conditionalFormatting>
  <conditionalFormatting sqref="J26">
    <cfRule type="containsText" dxfId="2437" priority="602" operator="containsText" text="G">
      <formula>NOT(ISERROR(SEARCH("G",J26)))</formula>
    </cfRule>
    <cfRule type="cellIs" dxfId="2436" priority="603" operator="equal">
      <formula>"SEC"</formula>
    </cfRule>
    <cfRule type="cellIs" dxfId="2435" priority="604" stopIfTrue="1" operator="equal">
      <formula>"SG"</formula>
    </cfRule>
    <cfRule type="cellIs" dxfId="2434" priority="605" stopIfTrue="1" operator="equal">
      <formula>"GS"</formula>
    </cfRule>
  </conditionalFormatting>
  <conditionalFormatting sqref="J31:J32">
    <cfRule type="containsText" dxfId="2433" priority="498" operator="containsText" text="G">
      <formula>NOT(ISERROR(SEARCH("G",J31)))</formula>
    </cfRule>
    <cfRule type="cellIs" dxfId="2432" priority="499" operator="equal">
      <formula>"SEC"</formula>
    </cfRule>
    <cfRule type="cellIs" dxfId="2431" priority="500" stopIfTrue="1" operator="equal">
      <formula>"SG"</formula>
    </cfRule>
    <cfRule type="cellIs" dxfId="2430" priority="501" stopIfTrue="1" operator="equal">
      <formula>"GS"</formula>
    </cfRule>
  </conditionalFormatting>
  <conditionalFormatting sqref="J39">
    <cfRule type="containsText" dxfId="2429" priority="374" operator="containsText" text="G">
      <formula>NOT(ISERROR(SEARCH("G",J39)))</formula>
    </cfRule>
    <cfRule type="cellIs" dxfId="2428" priority="375" operator="equal">
      <formula>"SEC"</formula>
    </cfRule>
    <cfRule type="cellIs" dxfId="2427" priority="376" stopIfTrue="1" operator="equal">
      <formula>"SG"</formula>
    </cfRule>
    <cfRule type="cellIs" dxfId="2426" priority="377" stopIfTrue="1" operator="equal">
      <formula>"GS"</formula>
    </cfRule>
  </conditionalFormatting>
  <conditionalFormatting sqref="J54">
    <cfRule type="containsText" dxfId="2425" priority="108" operator="containsText" text="G">
      <formula>NOT(ISERROR(SEARCH("G",J54)))</formula>
    </cfRule>
    <cfRule type="cellIs" dxfId="2424" priority="109" operator="equal">
      <formula>"SEC"</formula>
    </cfRule>
    <cfRule type="cellIs" dxfId="2423" priority="110" stopIfTrue="1" operator="equal">
      <formula>"SG"</formula>
    </cfRule>
    <cfRule type="cellIs" dxfId="2422" priority="111" stopIfTrue="1" operator="equal">
      <formula>"GS"</formula>
    </cfRule>
  </conditionalFormatting>
  <conditionalFormatting sqref="K8:K9">
    <cfRule type="cellIs" dxfId="2421" priority="886" stopIfTrue="1" operator="equal">
      <formula>"SG"</formula>
    </cfRule>
    <cfRule type="cellIs" dxfId="2420" priority="887" stopIfTrue="1" operator="equal">
      <formula>"GS"</formula>
    </cfRule>
  </conditionalFormatting>
  <conditionalFormatting sqref="K28">
    <cfRule type="containsText" dxfId="2419" priority="570" operator="containsText" text="G">
      <formula>NOT(ISERROR(SEARCH("G",K28)))</formula>
    </cfRule>
    <cfRule type="cellIs" dxfId="2418" priority="571" operator="equal">
      <formula>"SEC"</formula>
    </cfRule>
    <cfRule type="cellIs" dxfId="2417" priority="572" stopIfTrue="1" operator="equal">
      <formula>"SG"</formula>
    </cfRule>
    <cfRule type="cellIs" dxfId="2416" priority="573" stopIfTrue="1" operator="equal">
      <formula>"GS"</formula>
    </cfRule>
  </conditionalFormatting>
  <conditionalFormatting sqref="K30">
    <cfRule type="containsText" dxfId="2415" priority="530" operator="containsText" text="G">
      <formula>NOT(ISERROR(SEARCH("G",K30)))</formula>
    </cfRule>
    <cfRule type="cellIs" dxfId="2414" priority="531" operator="equal">
      <formula>"SEC"</formula>
    </cfRule>
    <cfRule type="cellIs" dxfId="2413" priority="532" stopIfTrue="1" operator="equal">
      <formula>"SG"</formula>
    </cfRule>
    <cfRule type="cellIs" dxfId="2412" priority="533" stopIfTrue="1" operator="equal">
      <formula>"GS"</formula>
    </cfRule>
  </conditionalFormatting>
  <conditionalFormatting sqref="K34">
    <cfRule type="containsText" dxfId="2411" priority="466" operator="containsText" text="G">
      <formula>NOT(ISERROR(SEARCH("G",K34)))</formula>
    </cfRule>
    <cfRule type="cellIs" dxfId="2410" priority="467" operator="equal">
      <formula>"SEC"</formula>
    </cfRule>
    <cfRule type="cellIs" dxfId="2409" priority="468" stopIfTrue="1" operator="equal">
      <formula>"SG"</formula>
    </cfRule>
    <cfRule type="cellIs" dxfId="2408" priority="469" stopIfTrue="1" operator="equal">
      <formula>"GS"</formula>
    </cfRule>
  </conditionalFormatting>
  <conditionalFormatting sqref="K37">
    <cfRule type="containsText" dxfId="2407" priority="410" operator="containsText" text="G">
      <formula>NOT(ISERROR(SEARCH("G",K37)))</formula>
    </cfRule>
    <cfRule type="cellIs" dxfId="2406" priority="411" operator="equal">
      <formula>"SEC"</formula>
    </cfRule>
    <cfRule type="cellIs" dxfId="2405" priority="412" stopIfTrue="1" operator="equal">
      <formula>"SG"</formula>
    </cfRule>
    <cfRule type="cellIs" dxfId="2404" priority="413" stopIfTrue="1" operator="equal">
      <formula>"GS"</formula>
    </cfRule>
  </conditionalFormatting>
  <conditionalFormatting sqref="K40">
    <cfRule type="containsText" dxfId="2403" priority="354" operator="containsText" text="G">
      <formula>NOT(ISERROR(SEARCH("G",K40)))</formula>
    </cfRule>
    <cfRule type="cellIs" dxfId="2402" priority="355" operator="equal">
      <formula>"SEC"</formula>
    </cfRule>
    <cfRule type="cellIs" dxfId="2401" priority="356" stopIfTrue="1" operator="equal">
      <formula>"SG"</formula>
    </cfRule>
    <cfRule type="cellIs" dxfId="2400" priority="357" stopIfTrue="1" operator="equal">
      <formula>"GS"</formula>
    </cfRule>
  </conditionalFormatting>
  <conditionalFormatting sqref="K42">
    <cfRule type="containsText" dxfId="2399" priority="314" operator="containsText" text="G">
      <formula>NOT(ISERROR(SEARCH("G",K42)))</formula>
    </cfRule>
    <cfRule type="cellIs" dxfId="2398" priority="315" operator="equal">
      <formula>"SEC"</formula>
    </cfRule>
    <cfRule type="cellIs" dxfId="2397" priority="316" stopIfTrue="1" operator="equal">
      <formula>"SG"</formula>
    </cfRule>
    <cfRule type="cellIs" dxfId="2396" priority="317" stopIfTrue="1" operator="equal">
      <formula>"GS"</formula>
    </cfRule>
  </conditionalFormatting>
  <conditionalFormatting sqref="K46">
    <cfRule type="containsText" dxfId="2395" priority="178" operator="containsText" text="G">
      <formula>NOT(ISERROR(SEARCH("G",K46)))</formula>
    </cfRule>
    <cfRule type="cellIs" dxfId="2394" priority="179" operator="equal">
      <formula>"SEC"</formula>
    </cfRule>
    <cfRule type="cellIs" dxfId="2393" priority="180" stopIfTrue="1" operator="equal">
      <formula>"SG"</formula>
    </cfRule>
    <cfRule type="cellIs" dxfId="2392" priority="181" stopIfTrue="1" operator="equal">
      <formula>"GS"</formula>
    </cfRule>
  </conditionalFormatting>
  <conditionalFormatting sqref="L25">
    <cfRule type="containsText" dxfId="2391" priority="622" operator="containsText" text="G">
      <formula>NOT(ISERROR(SEARCH("G",L25)))</formula>
    </cfRule>
    <cfRule type="cellIs" dxfId="2390" priority="623" operator="equal">
      <formula>"SEC"</formula>
    </cfRule>
    <cfRule type="cellIs" dxfId="2389" priority="624" stopIfTrue="1" operator="equal">
      <formula>"SG"</formula>
    </cfRule>
    <cfRule type="cellIs" dxfId="2388" priority="625" stopIfTrue="1" operator="equal">
      <formula>"GS"</formula>
    </cfRule>
  </conditionalFormatting>
  <conditionalFormatting sqref="L27">
    <cfRule type="containsText" dxfId="2387" priority="586" operator="containsText" text="G">
      <formula>NOT(ISERROR(SEARCH("G",L27)))</formula>
    </cfRule>
    <cfRule type="cellIs" dxfId="2386" priority="587" operator="equal">
      <formula>"SEC"</formula>
    </cfRule>
    <cfRule type="cellIs" dxfId="2385" priority="588" stopIfTrue="1" operator="equal">
      <formula>"SG"</formula>
    </cfRule>
    <cfRule type="cellIs" dxfId="2384" priority="589" stopIfTrue="1" operator="equal">
      <formula>"GS"</formula>
    </cfRule>
  </conditionalFormatting>
  <conditionalFormatting sqref="L29">
    <cfRule type="containsText" dxfId="2383" priority="550" operator="containsText" text="G">
      <formula>NOT(ISERROR(SEARCH("G",L29)))</formula>
    </cfRule>
    <cfRule type="cellIs" dxfId="2382" priority="551" operator="equal">
      <formula>"SEC"</formula>
    </cfRule>
    <cfRule type="cellIs" dxfId="2381" priority="552" stopIfTrue="1" operator="equal">
      <formula>"SG"</formula>
    </cfRule>
    <cfRule type="cellIs" dxfId="2380" priority="553" stopIfTrue="1" operator="equal">
      <formula>"GS"</formula>
    </cfRule>
  </conditionalFormatting>
  <conditionalFormatting sqref="L33">
    <cfRule type="containsText" dxfId="2379" priority="478" operator="containsText" text="G">
      <formula>NOT(ISERROR(SEARCH("G",L33)))</formula>
    </cfRule>
    <cfRule type="cellIs" dxfId="2378" priority="479" operator="equal">
      <formula>"SEC"</formula>
    </cfRule>
    <cfRule type="cellIs" dxfId="2377" priority="480" stopIfTrue="1" operator="equal">
      <formula>"SG"</formula>
    </cfRule>
    <cfRule type="cellIs" dxfId="2376" priority="481" stopIfTrue="1" operator="equal">
      <formula>"GS"</formula>
    </cfRule>
  </conditionalFormatting>
  <conditionalFormatting sqref="L51">
    <cfRule type="containsText" dxfId="2375" priority="142" operator="containsText" text="G">
      <formula>NOT(ISERROR(SEARCH("G",L51)))</formula>
    </cfRule>
    <cfRule type="cellIs" dxfId="2374" priority="143" operator="equal">
      <formula>"SEC"</formula>
    </cfRule>
    <cfRule type="cellIs" dxfId="2373" priority="144" stopIfTrue="1" operator="equal">
      <formula>"SG"</formula>
    </cfRule>
    <cfRule type="cellIs" dxfId="2372" priority="145" stopIfTrue="1" operator="equal">
      <formula>"GS"</formula>
    </cfRule>
  </conditionalFormatting>
  <conditionalFormatting sqref="L56">
    <cfRule type="containsText" dxfId="2371" priority="76" operator="containsText" text="G">
      <formula>NOT(ISERROR(SEARCH("G",L56)))</formula>
    </cfRule>
    <cfRule type="cellIs" dxfId="2370" priority="77" operator="equal">
      <formula>"SEC"</formula>
    </cfRule>
    <cfRule type="cellIs" dxfId="2369" priority="78" stopIfTrue="1" operator="equal">
      <formula>"SG"</formula>
    </cfRule>
    <cfRule type="cellIs" dxfId="2368" priority="79" stopIfTrue="1" operator="equal">
      <formula>"GS"</formula>
    </cfRule>
  </conditionalFormatting>
  <conditionalFormatting sqref="M35">
    <cfRule type="containsText" dxfId="2367" priority="446" operator="containsText" text="G">
      <formula>NOT(ISERROR(SEARCH("G",M35)))</formula>
    </cfRule>
    <cfRule type="cellIs" dxfId="2366" priority="447" operator="equal">
      <formula>"SEC"</formula>
    </cfRule>
    <cfRule type="cellIs" dxfId="2365" priority="448" stopIfTrue="1" operator="equal">
      <formula>"SG"</formula>
    </cfRule>
    <cfRule type="cellIs" dxfId="2364" priority="449" stopIfTrue="1" operator="equal">
      <formula>"GS"</formula>
    </cfRule>
  </conditionalFormatting>
  <conditionalFormatting sqref="M41">
    <cfRule type="containsText" dxfId="2363" priority="334" operator="containsText" text="G">
      <formula>NOT(ISERROR(SEARCH("G",M41)))</formula>
    </cfRule>
    <cfRule type="cellIs" dxfId="2362" priority="335" operator="equal">
      <formula>"SEC"</formula>
    </cfRule>
    <cfRule type="cellIs" dxfId="2361" priority="336" stopIfTrue="1" operator="equal">
      <formula>"SG"</formula>
    </cfRule>
    <cfRule type="cellIs" dxfId="2360" priority="337" stopIfTrue="1" operator="equal">
      <formula>"GS"</formula>
    </cfRule>
  </conditionalFormatting>
  <conditionalFormatting sqref="M45">
    <cfRule type="containsText" dxfId="2359" priority="262" operator="containsText" text="G">
      <formula>NOT(ISERROR(SEARCH("G",M45)))</formula>
    </cfRule>
    <cfRule type="cellIs" dxfId="2358" priority="263" operator="equal">
      <formula>"SEC"</formula>
    </cfRule>
    <cfRule type="cellIs" dxfId="2357" priority="264" stopIfTrue="1" operator="equal">
      <formula>"SG"</formula>
    </cfRule>
    <cfRule type="cellIs" dxfId="2356" priority="265" stopIfTrue="1" operator="equal">
      <formula>"GS"</formula>
    </cfRule>
  </conditionalFormatting>
  <conditionalFormatting sqref="M53">
    <cfRule type="containsText" dxfId="2355" priority="124" operator="containsText" text="G">
      <formula>NOT(ISERROR(SEARCH("G",M53)))</formula>
    </cfRule>
    <cfRule type="cellIs" dxfId="2354" priority="125" operator="equal">
      <formula>"SEC"</formula>
    </cfRule>
    <cfRule type="cellIs" dxfId="2353" priority="126" stopIfTrue="1" operator="equal">
      <formula>"SG"</formula>
    </cfRule>
    <cfRule type="cellIs" dxfId="2352" priority="127" stopIfTrue="1" operator="equal">
      <formula>"GS"</formula>
    </cfRule>
  </conditionalFormatting>
  <conditionalFormatting sqref="M22:N22">
    <cfRule type="containsText" dxfId="2351" priority="678" operator="containsText" text="G">
      <formula>NOT(ISERROR(SEARCH("G",M22)))</formula>
    </cfRule>
    <cfRule type="cellIs" dxfId="2350" priority="679" operator="equal">
      <formula>"SEC"</formula>
    </cfRule>
    <cfRule type="cellIs" dxfId="2349" priority="680" stopIfTrue="1" operator="equal">
      <formula>"SG"</formula>
    </cfRule>
    <cfRule type="cellIs" dxfId="2348" priority="681" stopIfTrue="1" operator="equal">
      <formula>"GS"</formula>
    </cfRule>
  </conditionalFormatting>
  <conditionalFormatting sqref="M50:N50">
    <cfRule type="containsText" dxfId="2347" priority="158" operator="containsText" text="G">
      <formula>NOT(ISERROR(SEARCH("G",M50)))</formula>
    </cfRule>
    <cfRule type="cellIs" dxfId="2346" priority="159" operator="equal">
      <formula>"SEC"</formula>
    </cfRule>
    <cfRule type="cellIs" dxfId="2345" priority="160" stopIfTrue="1" operator="equal">
      <formula>"SG"</formula>
    </cfRule>
    <cfRule type="cellIs" dxfId="2344" priority="161" stopIfTrue="1" operator="equal">
      <formula>"GS"</formula>
    </cfRule>
  </conditionalFormatting>
  <conditionalFormatting sqref="N5">
    <cfRule type="cellIs" dxfId="2343" priority="764" operator="equal">
      <formula>"SEC"</formula>
    </cfRule>
  </conditionalFormatting>
  <conditionalFormatting sqref="N36">
    <cfRule type="containsText" dxfId="2342" priority="426" operator="containsText" text="G">
      <formula>NOT(ISERROR(SEARCH("G",N36)))</formula>
    </cfRule>
    <cfRule type="cellIs" dxfId="2341" priority="427" operator="equal">
      <formula>"SEC"</formula>
    </cfRule>
    <cfRule type="cellIs" dxfId="2340" priority="428" stopIfTrue="1" operator="equal">
      <formula>"SG"</formula>
    </cfRule>
    <cfRule type="cellIs" dxfId="2339" priority="429" stopIfTrue="1" operator="equal">
      <formula>"GS"</formula>
    </cfRule>
  </conditionalFormatting>
  <conditionalFormatting sqref="N38">
    <cfRule type="containsText" dxfId="2338" priority="390" operator="containsText" text="G">
      <formula>NOT(ISERROR(SEARCH("G",N38)))</formula>
    </cfRule>
    <cfRule type="cellIs" dxfId="2337" priority="391" operator="equal">
      <formula>"SEC"</formula>
    </cfRule>
    <cfRule type="cellIs" dxfId="2336" priority="392" stopIfTrue="1" operator="equal">
      <formula>"SG"</formula>
    </cfRule>
    <cfRule type="cellIs" dxfId="2335" priority="393" stopIfTrue="1" operator="equal">
      <formula>"GS"</formula>
    </cfRule>
  </conditionalFormatting>
  <conditionalFormatting sqref="N44">
    <cfRule type="containsText" dxfId="2334" priority="278" operator="containsText" text="G">
      <formula>NOT(ISERROR(SEARCH("G",N44)))</formula>
    </cfRule>
    <cfRule type="cellIs" dxfId="2333" priority="279" operator="equal">
      <formula>"SEC"</formula>
    </cfRule>
    <cfRule type="cellIs" dxfId="2332" priority="280" stopIfTrue="1" operator="equal">
      <formula>"SG"</formula>
    </cfRule>
    <cfRule type="cellIs" dxfId="2331" priority="281" stopIfTrue="1" operator="equal">
      <formula>"GS"</formula>
    </cfRule>
  </conditionalFormatting>
  <conditionalFormatting sqref="N47">
    <cfRule type="containsText" dxfId="2330" priority="246" operator="containsText" text="G">
      <formula>NOT(ISERROR(SEARCH("G",N47)))</formula>
    </cfRule>
    <cfRule type="cellIs" dxfId="2329" priority="247" operator="equal">
      <formula>"SEC"</formula>
    </cfRule>
    <cfRule type="cellIs" dxfId="2328" priority="248" stopIfTrue="1" operator="equal">
      <formula>"SG"</formula>
    </cfRule>
    <cfRule type="cellIs" dxfId="2327" priority="249" stopIfTrue="1" operator="equal">
      <formula>"GS"</formula>
    </cfRule>
  </conditionalFormatting>
  <conditionalFormatting sqref="N49">
    <cfRule type="containsText" dxfId="2326" priority="194" operator="containsText" text="G">
      <formula>NOT(ISERROR(SEARCH("G",N49)))</formula>
    </cfRule>
    <cfRule type="cellIs" dxfId="2325" priority="195" operator="equal">
      <formula>"SEC"</formula>
    </cfRule>
    <cfRule type="cellIs" dxfId="2324" priority="196" stopIfTrue="1" operator="equal">
      <formula>"SG"</formula>
    </cfRule>
    <cfRule type="cellIs" dxfId="2323" priority="197" stopIfTrue="1" operator="equal">
      <formula>"GS"</formula>
    </cfRule>
  </conditionalFormatting>
  <conditionalFormatting sqref="O9">
    <cfRule type="cellIs" dxfId="2322" priority="962" stopIfTrue="1" operator="equal">
      <formula>"SG"</formula>
    </cfRule>
    <cfRule type="cellIs" dxfId="2321" priority="963" stopIfTrue="1" operator="equal">
      <formula>"GS"</formula>
    </cfRule>
  </conditionalFormatting>
  <conditionalFormatting sqref="O11">
    <cfRule type="cellIs" dxfId="2320" priority="741" operator="equal">
      <formula>"SEC"</formula>
    </cfRule>
    <cfRule type="cellIs" dxfId="2319" priority="742" stopIfTrue="1" operator="equal">
      <formula>"SG"</formula>
    </cfRule>
    <cfRule type="cellIs" dxfId="2318" priority="743" stopIfTrue="1" operator="equal">
      <formula>"GS"</formula>
    </cfRule>
  </conditionalFormatting>
  <conditionalFormatting sqref="O21">
    <cfRule type="cellIs" dxfId="2317" priority="695" operator="equal">
      <formula>"SEC"</formula>
    </cfRule>
    <cfRule type="cellIs" dxfId="2316" priority="696" stopIfTrue="1" operator="equal">
      <formula>"SG"</formula>
    </cfRule>
    <cfRule type="cellIs" dxfId="2315" priority="697" stopIfTrue="1" operator="equal">
      <formula>"GS"</formula>
    </cfRule>
  </conditionalFormatting>
  <conditionalFormatting sqref="O23:O24">
    <cfRule type="containsText" dxfId="2314" priority="642" operator="containsText" text="G">
      <formula>NOT(ISERROR(SEARCH("G",O23)))</formula>
    </cfRule>
    <cfRule type="cellIs" dxfId="2313" priority="643" operator="equal">
      <formula>"SEC"</formula>
    </cfRule>
    <cfRule type="cellIs" dxfId="2312" priority="644" stopIfTrue="1" operator="equal">
      <formula>"SG"</formula>
    </cfRule>
    <cfRule type="cellIs" dxfId="2311" priority="645" stopIfTrue="1" operator="equal">
      <formula>"GS"</formula>
    </cfRule>
  </conditionalFormatting>
  <conditionalFormatting sqref="O39">
    <cfRule type="containsText" dxfId="2310" priority="370" operator="containsText" text="G">
      <formula>NOT(ISERROR(SEARCH("G",O39)))</formula>
    </cfRule>
    <cfRule type="cellIs" dxfId="2309" priority="371" operator="equal">
      <formula>"SEC"</formula>
    </cfRule>
    <cfRule type="cellIs" dxfId="2308" priority="372" stopIfTrue="1" operator="equal">
      <formula>"SG"</formula>
    </cfRule>
    <cfRule type="cellIs" dxfId="2307" priority="373" stopIfTrue="1" operator="equal">
      <formula>"GS"</formula>
    </cfRule>
  </conditionalFormatting>
  <conditionalFormatting sqref="O55">
    <cfRule type="containsText" dxfId="2306" priority="92" operator="containsText" text="G">
      <formula>NOT(ISERROR(SEARCH("G",O55)))</formula>
    </cfRule>
    <cfRule type="cellIs" dxfId="2305" priority="93" operator="equal">
      <formula>"SEC"</formula>
    </cfRule>
    <cfRule type="cellIs" dxfId="2304" priority="94" stopIfTrue="1" operator="equal">
      <formula>"SG"</formula>
    </cfRule>
    <cfRule type="cellIs" dxfId="2303" priority="95" stopIfTrue="1" operator="equal">
      <formula>"GS"</formula>
    </cfRule>
  </conditionalFormatting>
  <conditionalFormatting sqref="O57:O58">
    <cfRule type="containsText" dxfId="2302" priority="36" operator="containsText" text="G">
      <formula>NOT(ISERROR(SEARCH("G",O57)))</formula>
    </cfRule>
    <cfRule type="cellIs" dxfId="2301" priority="37" operator="equal">
      <formula>"SEC"</formula>
    </cfRule>
    <cfRule type="cellIs" dxfId="2300" priority="38" stopIfTrue="1" operator="equal">
      <formula>"SG"</formula>
    </cfRule>
    <cfRule type="cellIs" dxfId="2299" priority="39" stopIfTrue="1" operator="equal">
      <formula>"GS"</formula>
    </cfRule>
  </conditionalFormatting>
  <conditionalFormatting sqref="P8">
    <cfRule type="cellIs" dxfId="2298" priority="754" operator="equal">
      <formula>"SEC"</formula>
    </cfRule>
  </conditionalFormatting>
  <conditionalFormatting sqref="P10:P11">
    <cfRule type="cellIs" dxfId="2297" priority="747" operator="equal">
      <formula>"SEC"</formula>
    </cfRule>
  </conditionalFormatting>
  <conditionalFormatting sqref="P20:P21">
    <cfRule type="cellIs" dxfId="2296" priority="701" operator="equal">
      <formula>"SEC"</formula>
    </cfRule>
  </conditionalFormatting>
  <conditionalFormatting sqref="P28">
    <cfRule type="containsText" dxfId="2295" priority="566" operator="containsText" text="G">
      <formula>NOT(ISERROR(SEARCH("G",P28)))</formula>
    </cfRule>
    <cfRule type="cellIs" dxfId="2294" priority="567" operator="equal">
      <formula>"SEC"</formula>
    </cfRule>
    <cfRule type="cellIs" dxfId="2293" priority="568" stopIfTrue="1" operator="equal">
      <formula>"SG"</formula>
    </cfRule>
    <cfRule type="cellIs" dxfId="2292" priority="569" stopIfTrue="1" operator="equal">
      <formula>"GS"</formula>
    </cfRule>
  </conditionalFormatting>
  <conditionalFormatting sqref="P43">
    <cfRule type="containsText" dxfId="2291" priority="294" operator="containsText" text="G">
      <formula>NOT(ISERROR(SEARCH("G",P43)))</formula>
    </cfRule>
    <cfRule type="cellIs" dxfId="2290" priority="295" operator="equal">
      <formula>"SEC"</formula>
    </cfRule>
    <cfRule type="cellIs" dxfId="2289" priority="296" stopIfTrue="1" operator="equal">
      <formula>"SG"</formula>
    </cfRule>
    <cfRule type="cellIs" dxfId="2288" priority="297" stopIfTrue="1" operator="equal">
      <formula>"GS"</formula>
    </cfRule>
  </conditionalFormatting>
  <conditionalFormatting sqref="P42:Q42">
    <cfRule type="containsText" dxfId="2287" priority="310" operator="containsText" text="G">
      <formula>NOT(ISERROR(SEARCH("G",P42)))</formula>
    </cfRule>
    <cfRule type="cellIs" dxfId="2286" priority="311" operator="equal">
      <formula>"SEC"</formula>
    </cfRule>
    <cfRule type="cellIs" dxfId="2285" priority="312" stopIfTrue="1" operator="equal">
      <formula>"SG"</formula>
    </cfRule>
    <cfRule type="cellIs" dxfId="2284" priority="313" stopIfTrue="1" operator="equal">
      <formula>"GS"</formula>
    </cfRule>
  </conditionalFormatting>
  <conditionalFormatting sqref="P54:Q54">
    <cfRule type="containsText" dxfId="2283" priority="104" operator="containsText" text="G">
      <formula>NOT(ISERROR(SEARCH("G",P54)))</formula>
    </cfRule>
    <cfRule type="cellIs" dxfId="2282" priority="105" operator="equal">
      <formula>"SEC"</formula>
    </cfRule>
    <cfRule type="cellIs" dxfId="2281" priority="106" stopIfTrue="1" operator="equal">
      <formula>"SG"</formula>
    </cfRule>
    <cfRule type="cellIs" dxfId="2280" priority="107" stopIfTrue="1" operator="equal">
      <formula>"GS"</formula>
    </cfRule>
  </conditionalFormatting>
  <conditionalFormatting sqref="Q31">
    <cfRule type="containsText" dxfId="2279" priority="514" operator="containsText" text="G">
      <formula>NOT(ISERROR(SEARCH("G",Q31)))</formula>
    </cfRule>
    <cfRule type="cellIs" dxfId="2278" priority="515" operator="equal">
      <formula>"SEC"</formula>
    </cfRule>
    <cfRule type="cellIs" dxfId="2277" priority="516" stopIfTrue="1" operator="equal">
      <formula>"SG"</formula>
    </cfRule>
    <cfRule type="cellIs" dxfId="2276" priority="517" stopIfTrue="1" operator="equal">
      <formula>"GS"</formula>
    </cfRule>
  </conditionalFormatting>
  <conditionalFormatting sqref="Q40">
    <cfRule type="containsText" dxfId="2275" priority="350" operator="containsText" text="G">
      <formula>NOT(ISERROR(SEARCH("G",Q40)))</formula>
    </cfRule>
    <cfRule type="cellIs" dxfId="2274" priority="351" operator="equal">
      <formula>"SEC"</formula>
    </cfRule>
    <cfRule type="cellIs" dxfId="2273" priority="352" stopIfTrue="1" operator="equal">
      <formula>"SG"</formula>
    </cfRule>
    <cfRule type="cellIs" dxfId="2272" priority="353" stopIfTrue="1" operator="equal">
      <formula>"GS"</formula>
    </cfRule>
  </conditionalFormatting>
  <conditionalFormatting sqref="Q46">
    <cfRule type="containsText" dxfId="2271" priority="174" operator="containsText" text="G">
      <formula>NOT(ISERROR(SEARCH("G",Q46)))</formula>
    </cfRule>
    <cfRule type="cellIs" dxfId="2270" priority="175" operator="equal">
      <formula>"SEC"</formula>
    </cfRule>
    <cfRule type="cellIs" dxfId="2269" priority="176" stopIfTrue="1" operator="equal">
      <formula>"SG"</formula>
    </cfRule>
    <cfRule type="cellIs" dxfId="2268" priority="177" stopIfTrue="1" operator="equal">
      <formula>"GS"</formula>
    </cfRule>
  </conditionalFormatting>
  <conditionalFormatting sqref="Q26:R26">
    <cfRule type="containsText" dxfId="2267" priority="598" operator="containsText" text="G">
      <formula>NOT(ISERROR(SEARCH("G",Q26)))</formula>
    </cfRule>
    <cfRule type="cellIs" dxfId="2266" priority="599" operator="equal">
      <formula>"SEC"</formula>
    </cfRule>
    <cfRule type="cellIs" dxfId="2265" priority="600" stopIfTrue="1" operator="equal">
      <formula>"SG"</formula>
    </cfRule>
    <cfRule type="cellIs" dxfId="2264" priority="601" stopIfTrue="1" operator="equal">
      <formula>"GS"</formula>
    </cfRule>
  </conditionalFormatting>
  <conditionalFormatting sqref="R25">
    <cfRule type="containsText" dxfId="2263" priority="618" operator="containsText" text="G">
      <formula>NOT(ISERROR(SEARCH("G",R25)))</formula>
    </cfRule>
    <cfRule type="cellIs" dxfId="2262" priority="619" operator="equal">
      <formula>"SEC"</formula>
    </cfRule>
    <cfRule type="cellIs" dxfId="2261" priority="620" stopIfTrue="1" operator="equal">
      <formula>"SG"</formula>
    </cfRule>
    <cfRule type="cellIs" dxfId="2260" priority="621" stopIfTrue="1" operator="equal">
      <formula>"GS"</formula>
    </cfRule>
  </conditionalFormatting>
  <conditionalFormatting sqref="R29">
    <cfRule type="containsText" dxfId="2259" priority="546" operator="containsText" text="G">
      <formula>NOT(ISERROR(SEARCH("G",R29)))</formula>
    </cfRule>
    <cfRule type="cellIs" dxfId="2258" priority="547" operator="equal">
      <formula>"SEC"</formula>
    </cfRule>
    <cfRule type="cellIs" dxfId="2257" priority="548" stopIfTrue="1" operator="equal">
      <formula>"SG"</formula>
    </cfRule>
    <cfRule type="cellIs" dxfId="2256" priority="549" stopIfTrue="1" operator="equal">
      <formula>"GS"</formula>
    </cfRule>
  </conditionalFormatting>
  <conditionalFormatting sqref="R34">
    <cfRule type="containsText" dxfId="2255" priority="462" operator="containsText" text="G">
      <formula>NOT(ISERROR(SEARCH("G",R34)))</formula>
    </cfRule>
    <cfRule type="cellIs" dxfId="2254" priority="463" operator="equal">
      <formula>"SEC"</formula>
    </cfRule>
    <cfRule type="cellIs" dxfId="2253" priority="464" stopIfTrue="1" operator="equal">
      <formula>"SG"</formula>
    </cfRule>
    <cfRule type="cellIs" dxfId="2252" priority="465" stopIfTrue="1" operator="equal">
      <formula>"GS"</formula>
    </cfRule>
  </conditionalFormatting>
  <conditionalFormatting sqref="R37">
    <cfRule type="containsText" dxfId="2251" priority="406" operator="containsText" text="G">
      <formula>NOT(ISERROR(SEARCH("G",R37)))</formula>
    </cfRule>
    <cfRule type="cellIs" dxfId="2250" priority="407" operator="equal">
      <formula>"SEC"</formula>
    </cfRule>
    <cfRule type="cellIs" dxfId="2249" priority="408" stopIfTrue="1" operator="equal">
      <formula>"SG"</formula>
    </cfRule>
    <cfRule type="cellIs" dxfId="2248" priority="409" stopIfTrue="1" operator="equal">
      <formula>"GS"</formula>
    </cfRule>
  </conditionalFormatting>
  <conditionalFormatting sqref="R48">
    <cfRule type="containsText" dxfId="2247" priority="206" operator="containsText" text="G">
      <formula>NOT(ISERROR(SEARCH("G",R48)))</formula>
    </cfRule>
    <cfRule type="cellIs" dxfId="2246" priority="207" operator="equal">
      <formula>"SEC"</formula>
    </cfRule>
    <cfRule type="cellIs" dxfId="2245" priority="208" stopIfTrue="1" operator="equal">
      <formula>"SG"</formula>
    </cfRule>
    <cfRule type="cellIs" dxfId="2244" priority="209" stopIfTrue="1" operator="equal">
      <formula>"GS"</formula>
    </cfRule>
  </conditionalFormatting>
  <conditionalFormatting sqref="R56">
    <cfRule type="containsText" dxfId="2243" priority="72" operator="containsText" text="G">
      <formula>NOT(ISERROR(SEARCH("G",R56)))</formula>
    </cfRule>
    <cfRule type="cellIs" dxfId="2242" priority="73" operator="equal">
      <formula>"SEC"</formula>
    </cfRule>
    <cfRule type="cellIs" dxfId="2241" priority="74" stopIfTrue="1" operator="equal">
      <formula>"SG"</formula>
    </cfRule>
    <cfRule type="cellIs" dxfId="2240" priority="75" stopIfTrue="1" operator="equal">
      <formula>"GS"</formula>
    </cfRule>
  </conditionalFormatting>
  <conditionalFormatting sqref="S24">
    <cfRule type="containsText" dxfId="2239" priority="638" operator="containsText" text="G">
      <formula>NOT(ISERROR(SEARCH("G",S24)))</formula>
    </cfRule>
    <cfRule type="cellIs" dxfId="2238" priority="639" operator="equal">
      <formula>"SEC"</formula>
    </cfRule>
    <cfRule type="cellIs" dxfId="2237" priority="640" stopIfTrue="1" operator="equal">
      <formula>"SG"</formula>
    </cfRule>
    <cfRule type="cellIs" dxfId="2236" priority="641" stopIfTrue="1" operator="equal">
      <formula>"GS"</formula>
    </cfRule>
  </conditionalFormatting>
  <conditionalFormatting sqref="S30">
    <cfRule type="containsText" dxfId="2235" priority="526" operator="containsText" text="G">
      <formula>NOT(ISERROR(SEARCH("G",S30)))</formula>
    </cfRule>
    <cfRule type="cellIs" dxfId="2234" priority="527" operator="equal">
      <formula>"SEC"</formula>
    </cfRule>
    <cfRule type="cellIs" dxfId="2233" priority="528" stopIfTrue="1" operator="equal">
      <formula>"SG"</formula>
    </cfRule>
    <cfRule type="cellIs" dxfId="2232" priority="529" stopIfTrue="1" operator="equal">
      <formula>"GS"</formula>
    </cfRule>
  </conditionalFormatting>
  <conditionalFormatting sqref="S32">
    <cfRule type="containsText" dxfId="2231" priority="494" operator="containsText" text="G">
      <formula>NOT(ISERROR(SEARCH("G",S32)))</formula>
    </cfRule>
    <cfRule type="cellIs" dxfId="2230" priority="495" operator="equal">
      <formula>"SEC"</formula>
    </cfRule>
    <cfRule type="cellIs" dxfId="2229" priority="496" stopIfTrue="1" operator="equal">
      <formula>"SG"</formula>
    </cfRule>
    <cfRule type="cellIs" dxfId="2228" priority="497" stopIfTrue="1" operator="equal">
      <formula>"GS"</formula>
    </cfRule>
  </conditionalFormatting>
  <conditionalFormatting sqref="S45">
    <cfRule type="containsText" dxfId="2227" priority="258" operator="containsText" text="G">
      <formula>NOT(ISERROR(SEARCH("G",S45)))</formula>
    </cfRule>
    <cfRule type="cellIs" dxfId="2226" priority="259" operator="equal">
      <formula>"SEC"</formula>
    </cfRule>
    <cfRule type="cellIs" dxfId="2225" priority="260" stopIfTrue="1" operator="equal">
      <formula>"SG"</formula>
    </cfRule>
    <cfRule type="cellIs" dxfId="2224" priority="261" stopIfTrue="1" operator="equal">
      <formula>"GS"</formula>
    </cfRule>
  </conditionalFormatting>
  <conditionalFormatting sqref="S27:T27">
    <cfRule type="containsText" dxfId="2223" priority="582" operator="containsText" text="G">
      <formula>NOT(ISERROR(SEARCH("G",S27)))</formula>
    </cfRule>
    <cfRule type="cellIs" dxfId="2222" priority="583" operator="equal">
      <formula>"SEC"</formula>
    </cfRule>
    <cfRule type="cellIs" dxfId="2221" priority="584" stopIfTrue="1" operator="equal">
      <formula>"SG"</formula>
    </cfRule>
    <cfRule type="cellIs" dxfId="2220" priority="585" stopIfTrue="1" operator="equal">
      <formula>"GS"</formula>
    </cfRule>
  </conditionalFormatting>
  <conditionalFormatting sqref="S53:T53">
    <cfRule type="containsText" dxfId="2219" priority="120" operator="containsText" text="G">
      <formula>NOT(ISERROR(SEARCH("G",S53)))</formula>
    </cfRule>
    <cfRule type="cellIs" dxfId="2218" priority="121" operator="equal">
      <formula>"SEC"</formula>
    </cfRule>
    <cfRule type="cellIs" dxfId="2217" priority="122" stopIfTrue="1" operator="equal">
      <formula>"SG"</formula>
    </cfRule>
    <cfRule type="cellIs" dxfId="2216" priority="123" stopIfTrue="1" operator="equal">
      <formula>"GS"</formula>
    </cfRule>
  </conditionalFormatting>
  <conditionalFormatting sqref="T36">
    <cfRule type="containsText" dxfId="2215" priority="422" operator="containsText" text="G">
      <formula>NOT(ISERROR(SEARCH("G",T36)))</formula>
    </cfRule>
    <cfRule type="cellIs" dxfId="2214" priority="423" operator="equal">
      <formula>"SEC"</formula>
    </cfRule>
    <cfRule type="cellIs" dxfId="2213" priority="424" stopIfTrue="1" operator="equal">
      <formula>"SG"</formula>
    </cfRule>
    <cfRule type="cellIs" dxfId="2212" priority="425" stopIfTrue="1" operator="equal">
      <formula>"GS"</formula>
    </cfRule>
  </conditionalFormatting>
  <conditionalFormatting sqref="T41">
    <cfRule type="containsText" dxfId="2211" priority="330" operator="containsText" text="G">
      <formula>NOT(ISERROR(SEARCH("G",T41)))</formula>
    </cfRule>
    <cfRule type="cellIs" dxfId="2210" priority="331" operator="equal">
      <formula>"SEC"</formula>
    </cfRule>
    <cfRule type="cellIs" dxfId="2209" priority="332" stopIfTrue="1" operator="equal">
      <formula>"SG"</formula>
    </cfRule>
    <cfRule type="cellIs" dxfId="2208" priority="333" stopIfTrue="1" operator="equal">
      <formula>"GS"</formula>
    </cfRule>
  </conditionalFormatting>
  <conditionalFormatting sqref="T49">
    <cfRule type="containsText" dxfId="2207" priority="190" operator="containsText" text="G">
      <formula>NOT(ISERROR(SEARCH("G",T49)))</formula>
    </cfRule>
    <cfRule type="cellIs" dxfId="2206" priority="191" operator="equal">
      <formula>"SEC"</formula>
    </cfRule>
    <cfRule type="cellIs" dxfId="2205" priority="192" stopIfTrue="1" operator="equal">
      <formula>"SG"</formula>
    </cfRule>
    <cfRule type="cellIs" dxfId="2204" priority="193" stopIfTrue="1" operator="equal">
      <formula>"GS"</formula>
    </cfRule>
  </conditionalFormatting>
  <conditionalFormatting sqref="T51:U51">
    <cfRule type="containsText" dxfId="2203" priority="138" operator="containsText" text="G">
      <formula>NOT(ISERROR(SEARCH("G",T51)))</formula>
    </cfRule>
    <cfRule type="cellIs" dxfId="2202" priority="139" operator="equal">
      <formula>"SEC"</formula>
    </cfRule>
    <cfRule type="cellIs" dxfId="2201" priority="140" stopIfTrue="1" operator="equal">
      <formula>"SG"</formula>
    </cfRule>
    <cfRule type="cellIs" dxfId="2200" priority="141" stopIfTrue="1" operator="equal">
      <formula>"GS"</formula>
    </cfRule>
  </conditionalFormatting>
  <conditionalFormatting sqref="U11">
    <cfRule type="cellIs" dxfId="2199" priority="738" operator="equal">
      <formula>"SEC"</formula>
    </cfRule>
    <cfRule type="cellIs" dxfId="2198" priority="739" stopIfTrue="1" operator="equal">
      <formula>"SG"</formula>
    </cfRule>
    <cfRule type="cellIs" dxfId="2197" priority="740" stopIfTrue="1" operator="equal">
      <formula>"GS"</formula>
    </cfRule>
  </conditionalFormatting>
  <conditionalFormatting sqref="U21">
    <cfRule type="cellIs" dxfId="2196" priority="692" operator="equal">
      <formula>"SEC"</formula>
    </cfRule>
    <cfRule type="cellIs" dxfId="2195" priority="693" stopIfTrue="1" operator="equal">
      <formula>"SG"</formula>
    </cfRule>
    <cfRule type="cellIs" dxfId="2194" priority="694" stopIfTrue="1" operator="equal">
      <formula>"GS"</formula>
    </cfRule>
  </conditionalFormatting>
  <conditionalFormatting sqref="U35">
    <cfRule type="containsText" dxfId="2193" priority="442" operator="containsText" text="G">
      <formula>NOT(ISERROR(SEARCH("G",U35)))</formula>
    </cfRule>
    <cfRule type="cellIs" dxfId="2192" priority="443" operator="equal">
      <formula>"SEC"</formula>
    </cfRule>
    <cfRule type="cellIs" dxfId="2191" priority="444" stopIfTrue="1" operator="equal">
      <formula>"SG"</formula>
    </cfRule>
    <cfRule type="cellIs" dxfId="2190" priority="445" stopIfTrue="1" operator="equal">
      <formula>"GS"</formula>
    </cfRule>
  </conditionalFormatting>
  <conditionalFormatting sqref="U38">
    <cfRule type="containsText" dxfId="2189" priority="386" operator="containsText" text="G">
      <formula>NOT(ISERROR(SEARCH("G",U38)))</formula>
    </cfRule>
    <cfRule type="cellIs" dxfId="2188" priority="387" operator="equal">
      <formula>"SEC"</formula>
    </cfRule>
    <cfRule type="cellIs" dxfId="2187" priority="388" stopIfTrue="1" operator="equal">
      <formula>"SG"</formula>
    </cfRule>
    <cfRule type="cellIs" dxfId="2186" priority="389" stopIfTrue="1" operator="equal">
      <formula>"GS"</formula>
    </cfRule>
  </conditionalFormatting>
  <conditionalFormatting sqref="U44">
    <cfRule type="containsText" dxfId="2185" priority="274" operator="containsText" text="G">
      <formula>NOT(ISERROR(SEARCH("G",U44)))</formula>
    </cfRule>
    <cfRule type="cellIs" dxfId="2184" priority="275" operator="equal">
      <formula>"SEC"</formula>
    </cfRule>
    <cfRule type="cellIs" dxfId="2183" priority="276" stopIfTrue="1" operator="equal">
      <formula>"SG"</formula>
    </cfRule>
    <cfRule type="cellIs" dxfId="2182" priority="277" stopIfTrue="1" operator="equal">
      <formula>"GS"</formula>
    </cfRule>
  </conditionalFormatting>
  <conditionalFormatting sqref="U58">
    <cfRule type="containsText" dxfId="2181" priority="32" operator="containsText" text="G">
      <formula>NOT(ISERROR(SEARCH("G",U58)))</formula>
    </cfRule>
    <cfRule type="cellIs" dxfId="2180" priority="33" operator="equal">
      <formula>"SEC"</formula>
    </cfRule>
    <cfRule type="cellIs" dxfId="2179" priority="34" stopIfTrue="1" operator="equal">
      <formula>"SG"</formula>
    </cfRule>
    <cfRule type="cellIs" dxfId="2178" priority="35" stopIfTrue="1" operator="equal">
      <formula>"GS"</formula>
    </cfRule>
  </conditionalFormatting>
  <conditionalFormatting sqref="U55:V55">
    <cfRule type="containsText" dxfId="2177" priority="88" operator="containsText" text="G">
      <formula>NOT(ISERROR(SEARCH("G",U55)))</formula>
    </cfRule>
    <cfRule type="cellIs" dxfId="2176" priority="89" operator="equal">
      <formula>"SEC"</formula>
    </cfRule>
    <cfRule type="cellIs" dxfId="2175" priority="90" stopIfTrue="1" operator="equal">
      <formula>"SG"</formula>
    </cfRule>
    <cfRule type="cellIs" dxfId="2174" priority="91" stopIfTrue="1" operator="equal">
      <formula>"GS"</formula>
    </cfRule>
  </conditionalFormatting>
  <conditionalFormatting sqref="V22">
    <cfRule type="containsText" dxfId="2173" priority="674" operator="containsText" text="G">
      <formula>NOT(ISERROR(SEARCH("G",V22)))</formula>
    </cfRule>
    <cfRule type="cellIs" dxfId="2172" priority="675" operator="equal">
      <formula>"SEC"</formula>
    </cfRule>
    <cfRule type="cellIs" dxfId="2171" priority="676" stopIfTrue="1" operator="equal">
      <formula>"SG"</formula>
    </cfRule>
    <cfRule type="cellIs" dxfId="2170" priority="677" stopIfTrue="1" operator="equal">
      <formula>"GS"</formula>
    </cfRule>
  </conditionalFormatting>
  <conditionalFormatting sqref="V25">
    <cfRule type="containsText" dxfId="2169" priority="614" operator="containsText" text="G">
      <formula>NOT(ISERROR(SEARCH("G",V25)))</formula>
    </cfRule>
    <cfRule type="cellIs" dxfId="2168" priority="615" operator="equal">
      <formula>"SEC"</formula>
    </cfRule>
    <cfRule type="cellIs" dxfId="2167" priority="616" stopIfTrue="1" operator="equal">
      <formula>"SG"</formula>
    </cfRule>
    <cfRule type="cellIs" dxfId="2166" priority="617" stopIfTrue="1" operator="equal">
      <formula>"GS"</formula>
    </cfRule>
  </conditionalFormatting>
  <conditionalFormatting sqref="V28">
    <cfRule type="containsText" dxfId="2165" priority="562" operator="containsText" text="G">
      <formula>NOT(ISERROR(SEARCH("G",V28)))</formula>
    </cfRule>
    <cfRule type="cellIs" dxfId="2164" priority="563" operator="equal">
      <formula>"SEC"</formula>
    </cfRule>
    <cfRule type="cellIs" dxfId="2163" priority="564" stopIfTrue="1" operator="equal">
      <formula>"SG"</formula>
    </cfRule>
    <cfRule type="cellIs" dxfId="2162" priority="565" stopIfTrue="1" operator="equal">
      <formula>"GS"</formula>
    </cfRule>
  </conditionalFormatting>
  <conditionalFormatting sqref="V46">
    <cfRule type="containsText" dxfId="2161" priority="170" operator="containsText" text="G">
      <formula>NOT(ISERROR(SEARCH("G",V46)))</formula>
    </cfRule>
    <cfRule type="cellIs" dxfId="2160" priority="171" operator="equal">
      <formula>"SEC"</formula>
    </cfRule>
    <cfRule type="cellIs" dxfId="2159" priority="172" stopIfTrue="1" operator="equal">
      <formula>"SG"</formula>
    </cfRule>
    <cfRule type="cellIs" dxfId="2158" priority="173" stopIfTrue="1" operator="equal">
      <formula>"GS"</formula>
    </cfRule>
  </conditionalFormatting>
  <conditionalFormatting sqref="V57">
    <cfRule type="containsText" dxfId="2157" priority="48" operator="containsText" text="G">
      <formula>NOT(ISERROR(SEARCH("G",V57)))</formula>
    </cfRule>
    <cfRule type="cellIs" dxfId="2156" priority="49" operator="equal">
      <formula>"SEC"</formula>
    </cfRule>
    <cfRule type="cellIs" dxfId="2155" priority="50" stopIfTrue="1" operator="equal">
      <formula>"SG"</formula>
    </cfRule>
    <cfRule type="cellIs" dxfId="2154" priority="51" stopIfTrue="1" operator="equal">
      <formula>"GS"</formula>
    </cfRule>
  </conditionalFormatting>
  <conditionalFormatting sqref="V33:W33">
    <cfRule type="containsText" dxfId="2153" priority="474" operator="containsText" text="G">
      <formula>NOT(ISERROR(SEARCH("G",V33)))</formula>
    </cfRule>
    <cfRule type="cellIs" dxfId="2152" priority="475" operator="equal">
      <formula>"SEC"</formula>
    </cfRule>
    <cfRule type="cellIs" dxfId="2151" priority="476" stopIfTrue="1" operator="equal">
      <formula>"SG"</formula>
    </cfRule>
    <cfRule type="cellIs" dxfId="2150" priority="477" stopIfTrue="1" operator="equal">
      <formula>"GS"</formula>
    </cfRule>
  </conditionalFormatting>
  <conditionalFormatting sqref="W8">
    <cfRule type="cellIs" dxfId="2149" priority="753" operator="equal">
      <formula>"SEC"</formula>
    </cfRule>
  </conditionalFormatting>
  <conditionalFormatting sqref="W10:W11">
    <cfRule type="cellIs" dxfId="2148" priority="746" operator="equal">
      <formula>"SEC"</formula>
    </cfRule>
  </conditionalFormatting>
  <conditionalFormatting sqref="W18">
    <cfRule type="cellIs" dxfId="2147" priority="773" operator="equal">
      <formula>"NC"</formula>
    </cfRule>
  </conditionalFormatting>
  <conditionalFormatting sqref="W20:W21">
    <cfRule type="cellIs" dxfId="2146" priority="700" operator="equal">
      <formula>"SEC"</formula>
    </cfRule>
  </conditionalFormatting>
  <conditionalFormatting sqref="W29">
    <cfRule type="containsText" dxfId="2145" priority="542" operator="containsText" text="G">
      <formula>NOT(ISERROR(SEARCH("G",W29)))</formula>
    </cfRule>
    <cfRule type="cellIs" dxfId="2144" priority="543" operator="equal">
      <formula>"SEC"</formula>
    </cfRule>
    <cfRule type="cellIs" dxfId="2143" priority="544" stopIfTrue="1" operator="equal">
      <formula>"SG"</formula>
    </cfRule>
    <cfRule type="cellIs" dxfId="2142" priority="545" stopIfTrue="1" operator="equal">
      <formula>"GS"</formula>
    </cfRule>
  </conditionalFormatting>
  <conditionalFormatting sqref="W39">
    <cfRule type="containsText" dxfId="2141" priority="366" operator="containsText" text="G">
      <formula>NOT(ISERROR(SEARCH("G",W39)))</formula>
    </cfRule>
    <cfRule type="cellIs" dxfId="2140" priority="367" operator="equal">
      <formula>"SEC"</formula>
    </cfRule>
    <cfRule type="cellIs" dxfId="2139" priority="368" stopIfTrue="1" operator="equal">
      <formula>"SG"</formula>
    </cfRule>
    <cfRule type="cellIs" dxfId="2138" priority="369" stopIfTrue="1" operator="equal">
      <formula>"GS"</formula>
    </cfRule>
  </conditionalFormatting>
  <conditionalFormatting sqref="W42">
    <cfRule type="containsText" dxfId="2137" priority="306" operator="containsText" text="G">
      <formula>NOT(ISERROR(SEARCH("G",W42)))</formula>
    </cfRule>
    <cfRule type="cellIs" dxfId="2136" priority="307" operator="equal">
      <formula>"SEC"</formula>
    </cfRule>
    <cfRule type="cellIs" dxfId="2135" priority="308" stopIfTrue="1" operator="equal">
      <formula>"SG"</formula>
    </cfRule>
    <cfRule type="cellIs" dxfId="2134" priority="309" stopIfTrue="1" operator="equal">
      <formula>"GS"</formula>
    </cfRule>
  </conditionalFormatting>
  <conditionalFormatting sqref="W47">
    <cfRule type="containsText" dxfId="2133" priority="242" operator="containsText" text="G">
      <formula>NOT(ISERROR(SEARCH("G",W47)))</formula>
    </cfRule>
    <cfRule type="cellIs" dxfId="2132" priority="243" operator="equal">
      <formula>"SEC"</formula>
    </cfRule>
    <cfRule type="cellIs" dxfId="2131" priority="244" stopIfTrue="1" operator="equal">
      <formula>"SG"</formula>
    </cfRule>
    <cfRule type="cellIs" dxfId="2130" priority="245" stopIfTrue="1" operator="equal">
      <formula>"GS"</formula>
    </cfRule>
  </conditionalFormatting>
  <conditionalFormatting sqref="W50">
    <cfRule type="containsText" dxfId="2129" priority="154" operator="containsText" text="G">
      <formula>NOT(ISERROR(SEARCH("G",W50)))</formula>
    </cfRule>
    <cfRule type="cellIs" dxfId="2128" priority="155" operator="equal">
      <formula>"SEC"</formula>
    </cfRule>
    <cfRule type="cellIs" dxfId="2127" priority="156" stopIfTrue="1" operator="equal">
      <formula>"SG"</formula>
    </cfRule>
    <cfRule type="cellIs" dxfId="2126" priority="157" stopIfTrue="1" operator="equal">
      <formula>"GS"</formula>
    </cfRule>
  </conditionalFormatting>
  <conditionalFormatting sqref="X23">
    <cfRule type="containsText" dxfId="2125" priority="654" operator="containsText" text="G">
      <formula>NOT(ISERROR(SEARCH("G",X23)))</formula>
    </cfRule>
    <cfRule type="cellIs" dxfId="2124" priority="655" operator="equal">
      <formula>"SEC"</formula>
    </cfRule>
    <cfRule type="cellIs" dxfId="2123" priority="656" stopIfTrue="1" operator="equal">
      <formula>"SG"</formula>
    </cfRule>
    <cfRule type="cellIs" dxfId="2122" priority="657" stopIfTrue="1" operator="equal">
      <formula>"GS"</formula>
    </cfRule>
  </conditionalFormatting>
  <conditionalFormatting sqref="X31">
    <cfRule type="containsText" dxfId="2121" priority="510" operator="containsText" text="G">
      <formula>NOT(ISERROR(SEARCH("G",X31)))</formula>
    </cfRule>
    <cfRule type="cellIs" dxfId="2120" priority="511" operator="equal">
      <formula>"SEC"</formula>
    </cfRule>
    <cfRule type="cellIs" dxfId="2119" priority="512" stopIfTrue="1" operator="equal">
      <formula>"SG"</formula>
    </cfRule>
    <cfRule type="cellIs" dxfId="2118" priority="513" stopIfTrue="1" operator="equal">
      <formula>"GS"</formula>
    </cfRule>
  </conditionalFormatting>
  <conditionalFormatting sqref="X37">
    <cfRule type="containsText" dxfId="2117" priority="402" operator="containsText" text="G">
      <formula>NOT(ISERROR(SEARCH("G",X37)))</formula>
    </cfRule>
    <cfRule type="cellIs" dxfId="2116" priority="403" operator="equal">
      <formula>"SEC"</formula>
    </cfRule>
    <cfRule type="cellIs" dxfId="2115" priority="404" stopIfTrue="1" operator="equal">
      <formula>"SG"</formula>
    </cfRule>
    <cfRule type="cellIs" dxfId="2114" priority="405" stopIfTrue="1" operator="equal">
      <formula>"GS"</formula>
    </cfRule>
  </conditionalFormatting>
  <conditionalFormatting sqref="X40">
    <cfRule type="containsText" dxfId="2113" priority="346" operator="containsText" text="G">
      <formula>NOT(ISERROR(SEARCH("G",X40)))</formula>
    </cfRule>
    <cfRule type="cellIs" dxfId="2112" priority="347" operator="equal">
      <formula>"SEC"</formula>
    </cfRule>
    <cfRule type="cellIs" dxfId="2111" priority="348" stopIfTrue="1" operator="equal">
      <formula>"SG"</formula>
    </cfRule>
    <cfRule type="cellIs" dxfId="2110" priority="349" stopIfTrue="1" operator="equal">
      <formula>"GS"</formula>
    </cfRule>
  </conditionalFormatting>
  <conditionalFormatting sqref="X56">
    <cfRule type="containsText" dxfId="2109" priority="68" operator="containsText" text="G">
      <formula>NOT(ISERROR(SEARCH("G",X56)))</formula>
    </cfRule>
    <cfRule type="cellIs" dxfId="2108" priority="69" operator="equal">
      <formula>"SEC"</formula>
    </cfRule>
    <cfRule type="cellIs" dxfId="2107" priority="70" stopIfTrue="1" operator="equal">
      <formula>"SG"</formula>
    </cfRule>
    <cfRule type="cellIs" dxfId="2106" priority="71" stopIfTrue="1" operator="equal">
      <formula>"GS"</formula>
    </cfRule>
  </conditionalFormatting>
  <conditionalFormatting sqref="Y26">
    <cfRule type="containsText" dxfId="2105" priority="594" operator="containsText" text="G">
      <formula>NOT(ISERROR(SEARCH("G",Y26)))</formula>
    </cfRule>
    <cfRule type="cellIs" dxfId="2104" priority="595" operator="equal">
      <formula>"SEC"</formula>
    </cfRule>
    <cfRule type="cellIs" dxfId="2103" priority="596" stopIfTrue="1" operator="equal">
      <formula>"SG"</formula>
    </cfRule>
    <cfRule type="cellIs" dxfId="2102" priority="597" stopIfTrue="1" operator="equal">
      <formula>"GS"</formula>
    </cfRule>
  </conditionalFormatting>
  <conditionalFormatting sqref="Y34">
    <cfRule type="containsText" dxfId="2101" priority="458" operator="containsText" text="G">
      <formula>NOT(ISERROR(SEARCH("G",Y34)))</formula>
    </cfRule>
    <cfRule type="cellIs" dxfId="2100" priority="459" operator="equal">
      <formula>"SEC"</formula>
    </cfRule>
    <cfRule type="cellIs" dxfId="2099" priority="460" stopIfTrue="1" operator="equal">
      <formula>"SG"</formula>
    </cfRule>
    <cfRule type="cellIs" dxfId="2098" priority="461" stopIfTrue="1" operator="equal">
      <formula>"GS"</formula>
    </cfRule>
  </conditionalFormatting>
  <conditionalFormatting sqref="Y46">
    <cfRule type="containsText" dxfId="2097" priority="166" operator="containsText" text="G">
      <formula>NOT(ISERROR(SEARCH("G",Y46)))</formula>
    </cfRule>
    <cfRule type="cellIs" dxfId="2096" priority="167" operator="equal">
      <formula>"SEC"</formula>
    </cfRule>
    <cfRule type="cellIs" dxfId="2095" priority="168" stopIfTrue="1" operator="equal">
      <formula>"SG"</formula>
    </cfRule>
    <cfRule type="cellIs" dxfId="2094" priority="169" stopIfTrue="1" operator="equal">
      <formula>"GS"</formula>
    </cfRule>
  </conditionalFormatting>
  <conditionalFormatting sqref="Y48">
    <cfRule type="containsText" dxfId="2093" priority="202" operator="containsText" text="G">
      <formula>NOT(ISERROR(SEARCH("G",Y48)))</formula>
    </cfRule>
    <cfRule type="cellIs" dxfId="2092" priority="203" operator="equal">
      <formula>"SEC"</formula>
    </cfRule>
    <cfRule type="cellIs" dxfId="2091" priority="204" stopIfTrue="1" operator="equal">
      <formula>"SG"</formula>
    </cfRule>
    <cfRule type="cellIs" dxfId="2090" priority="205" stopIfTrue="1" operator="equal">
      <formula>"GS"</formula>
    </cfRule>
  </conditionalFormatting>
  <conditionalFormatting sqref="Y54">
    <cfRule type="containsText" dxfId="2089" priority="100" operator="containsText" text="G">
      <formula>NOT(ISERROR(SEARCH("G",Y54)))</formula>
    </cfRule>
    <cfRule type="cellIs" dxfId="2088" priority="101" operator="equal">
      <formula>"SEC"</formula>
    </cfRule>
    <cfRule type="cellIs" dxfId="2087" priority="102" stopIfTrue="1" operator="equal">
      <formula>"SG"</formula>
    </cfRule>
    <cfRule type="cellIs" dxfId="2086" priority="103" stopIfTrue="1" operator="equal">
      <formula>"GS"</formula>
    </cfRule>
  </conditionalFormatting>
  <conditionalFormatting sqref="Y49:Z49">
    <cfRule type="containsText" dxfId="2085" priority="186" operator="containsText" text="G">
      <formula>NOT(ISERROR(SEARCH("G",Y49)))</formula>
    </cfRule>
    <cfRule type="cellIs" dxfId="2084" priority="187" operator="equal">
      <formula>"SEC"</formula>
    </cfRule>
    <cfRule type="cellIs" dxfId="2083" priority="188" stopIfTrue="1" operator="equal">
      <formula>"SG"</formula>
    </cfRule>
    <cfRule type="cellIs" dxfId="2082" priority="189" stopIfTrue="1" operator="equal">
      <formula>"GS"</formula>
    </cfRule>
  </conditionalFormatting>
  <conditionalFormatting sqref="Z11">
    <cfRule type="cellIs" dxfId="2081" priority="735" operator="equal">
      <formula>"SEC"</formula>
    </cfRule>
    <cfRule type="cellIs" dxfId="2080" priority="736" stopIfTrue="1" operator="equal">
      <formula>"SG"</formula>
    </cfRule>
    <cfRule type="cellIs" dxfId="2079" priority="737" stopIfTrue="1" operator="equal">
      <formula>"GS"</formula>
    </cfRule>
  </conditionalFormatting>
  <conditionalFormatting sqref="Z21">
    <cfRule type="cellIs" dxfId="2078" priority="689" operator="equal">
      <formula>"SEC"</formula>
    </cfRule>
    <cfRule type="cellIs" dxfId="2077" priority="690" stopIfTrue="1" operator="equal">
      <formula>"SG"</formula>
    </cfRule>
    <cfRule type="cellIs" dxfId="2076" priority="691" stopIfTrue="1" operator="equal">
      <formula>"GS"</formula>
    </cfRule>
  </conditionalFormatting>
  <conditionalFormatting sqref="Z24">
    <cfRule type="containsText" dxfId="2075" priority="634" operator="containsText" text="G">
      <formula>NOT(ISERROR(SEARCH("G",Z24)))</formula>
    </cfRule>
    <cfRule type="cellIs" dxfId="2074" priority="635" operator="equal">
      <formula>"SEC"</formula>
    </cfRule>
    <cfRule type="cellIs" dxfId="2073" priority="636" stopIfTrue="1" operator="equal">
      <formula>"SG"</formula>
    </cfRule>
    <cfRule type="cellIs" dxfId="2072" priority="637" stopIfTrue="1" operator="equal">
      <formula>"GS"</formula>
    </cfRule>
  </conditionalFormatting>
  <conditionalFormatting sqref="Z32">
    <cfRule type="containsText" dxfId="2071" priority="490" operator="containsText" text="G">
      <formula>NOT(ISERROR(SEARCH("G",Z32)))</formula>
    </cfRule>
    <cfRule type="cellIs" dxfId="2070" priority="491" operator="equal">
      <formula>"SEC"</formula>
    </cfRule>
    <cfRule type="cellIs" dxfId="2069" priority="492" stopIfTrue="1" operator="equal">
      <formula>"SG"</formula>
    </cfRule>
    <cfRule type="cellIs" dxfId="2068" priority="493" stopIfTrue="1" operator="equal">
      <formula>"GS"</formula>
    </cfRule>
  </conditionalFormatting>
  <conditionalFormatting sqref="Z43">
    <cfRule type="containsText" dxfId="2067" priority="290" operator="containsText" text="G">
      <formula>NOT(ISERROR(SEARCH("G",Z43)))</formula>
    </cfRule>
    <cfRule type="cellIs" dxfId="2066" priority="291" operator="equal">
      <formula>"SEC"</formula>
    </cfRule>
    <cfRule type="cellIs" dxfId="2065" priority="292" stopIfTrue="1" operator="equal">
      <formula>"SG"</formula>
    </cfRule>
    <cfRule type="cellIs" dxfId="2064" priority="293" stopIfTrue="1" operator="equal">
      <formula>"GS"</formula>
    </cfRule>
  </conditionalFormatting>
  <conditionalFormatting sqref="Z45">
    <cfRule type="containsText" dxfId="2063" priority="254" operator="containsText" text="G">
      <formula>NOT(ISERROR(SEARCH("G",Z45)))</formula>
    </cfRule>
    <cfRule type="cellIs" dxfId="2062" priority="255" operator="equal">
      <formula>"SEC"</formula>
    </cfRule>
    <cfRule type="cellIs" dxfId="2061" priority="256" stopIfTrue="1" operator="equal">
      <formula>"SG"</formula>
    </cfRule>
    <cfRule type="cellIs" dxfId="2060" priority="257" stopIfTrue="1" operator="equal">
      <formula>"GS"</formula>
    </cfRule>
  </conditionalFormatting>
  <conditionalFormatting sqref="Z58">
    <cfRule type="containsText" dxfId="2059" priority="28" operator="containsText" text="G">
      <formula>NOT(ISERROR(SEARCH("G",Z58)))</formula>
    </cfRule>
    <cfRule type="cellIs" dxfId="2058" priority="29" operator="equal">
      <formula>"SEC"</formula>
    </cfRule>
    <cfRule type="cellIs" dxfId="2057" priority="30" stopIfTrue="1" operator="equal">
      <formula>"SG"</formula>
    </cfRule>
    <cfRule type="cellIs" dxfId="2056" priority="31" stopIfTrue="1" operator="equal">
      <formula>"GS"</formula>
    </cfRule>
  </conditionalFormatting>
  <conditionalFormatting sqref="AA27:AA29">
    <cfRule type="containsText" dxfId="2055" priority="538" operator="containsText" text="G">
      <formula>NOT(ISERROR(SEARCH("G",AA27)))</formula>
    </cfRule>
    <cfRule type="cellIs" dxfId="2054" priority="539" operator="equal">
      <formula>"SEC"</formula>
    </cfRule>
    <cfRule type="cellIs" dxfId="2053" priority="540" stopIfTrue="1" operator="equal">
      <formula>"SG"</formula>
    </cfRule>
    <cfRule type="cellIs" dxfId="2052" priority="541" stopIfTrue="1" operator="equal">
      <formula>"GS"</formula>
    </cfRule>
  </conditionalFormatting>
  <conditionalFormatting sqref="AA35">
    <cfRule type="containsText" dxfId="2051" priority="438" operator="containsText" text="G">
      <formula>NOT(ISERROR(SEARCH("G",AA35)))</formula>
    </cfRule>
    <cfRule type="cellIs" dxfId="2050" priority="439" operator="equal">
      <formula>"SEC"</formula>
    </cfRule>
    <cfRule type="cellIs" dxfId="2049" priority="440" stopIfTrue="1" operator="equal">
      <formula>"SG"</formula>
    </cfRule>
    <cfRule type="cellIs" dxfId="2048" priority="441" stopIfTrue="1" operator="equal">
      <formula>"GS"</formula>
    </cfRule>
  </conditionalFormatting>
  <conditionalFormatting sqref="AA37">
    <cfRule type="containsText" dxfId="2047" priority="398" operator="containsText" text="G">
      <formula>NOT(ISERROR(SEARCH("G",AA37)))</formula>
    </cfRule>
    <cfRule type="cellIs" dxfId="2046" priority="399" operator="equal">
      <formula>"SEC"</formula>
    </cfRule>
    <cfRule type="cellIs" dxfId="2045" priority="400" stopIfTrue="1" operator="equal">
      <formula>"SG"</formula>
    </cfRule>
    <cfRule type="cellIs" dxfId="2044" priority="401" stopIfTrue="1" operator="equal">
      <formula>"GS"</formula>
    </cfRule>
  </conditionalFormatting>
  <conditionalFormatting sqref="AA41">
    <cfRule type="containsText" dxfId="2043" priority="326" operator="containsText" text="G">
      <formula>NOT(ISERROR(SEARCH("G",AA41)))</formula>
    </cfRule>
    <cfRule type="cellIs" dxfId="2042" priority="327" operator="equal">
      <formula>"SEC"</formula>
    </cfRule>
    <cfRule type="cellIs" dxfId="2041" priority="328" stopIfTrue="1" operator="equal">
      <formula>"SG"</formula>
    </cfRule>
    <cfRule type="cellIs" dxfId="2040" priority="329" stopIfTrue="1" operator="equal">
      <formula>"GS"</formula>
    </cfRule>
  </conditionalFormatting>
  <conditionalFormatting sqref="AA51">
    <cfRule type="containsText" dxfId="2039" priority="134" operator="containsText" text="G">
      <formula>NOT(ISERROR(SEARCH("G",AA51)))</formula>
    </cfRule>
    <cfRule type="cellIs" dxfId="2038" priority="135" operator="equal">
      <formula>"SEC"</formula>
    </cfRule>
    <cfRule type="cellIs" dxfId="2037" priority="136" stopIfTrue="1" operator="equal">
      <formula>"SG"</formula>
    </cfRule>
    <cfRule type="cellIs" dxfId="2036" priority="137" stopIfTrue="1" operator="equal">
      <formula>"GS"</formula>
    </cfRule>
  </conditionalFormatting>
  <conditionalFormatting sqref="AA73">
    <cfRule type="cellIs" dxfId="2035" priority="1205" stopIfTrue="1" operator="equal">
      <formula>"TPN"</formula>
    </cfRule>
  </conditionalFormatting>
  <conditionalFormatting sqref="AB22">
    <cfRule type="containsText" dxfId="2034" priority="670" operator="containsText" text="G">
      <formula>NOT(ISERROR(SEARCH("G",AB22)))</formula>
    </cfRule>
    <cfRule type="cellIs" dxfId="2033" priority="671" operator="equal">
      <formula>"SEC"</formula>
    </cfRule>
    <cfRule type="cellIs" dxfId="2032" priority="672" stopIfTrue="1" operator="equal">
      <formula>"SG"</formula>
    </cfRule>
    <cfRule type="cellIs" dxfId="2031" priority="673" stopIfTrue="1" operator="equal">
      <formula>"GS"</formula>
    </cfRule>
  </conditionalFormatting>
  <conditionalFormatting sqref="AB25">
    <cfRule type="containsText" dxfId="2030" priority="610" operator="containsText" text="G">
      <formula>NOT(ISERROR(SEARCH("G",AB25)))</formula>
    </cfRule>
    <cfRule type="cellIs" dxfId="2029" priority="611" operator="equal">
      <formula>"SEC"</formula>
    </cfRule>
    <cfRule type="cellIs" dxfId="2028" priority="612" stopIfTrue="1" operator="equal">
      <formula>"SG"</formula>
    </cfRule>
    <cfRule type="cellIs" dxfId="2027" priority="613" stopIfTrue="1" operator="equal">
      <formula>"GS"</formula>
    </cfRule>
  </conditionalFormatting>
  <conditionalFormatting sqref="AB29">
    <cfRule type="containsText" dxfId="2026" priority="7" operator="containsText" text="G">
      <formula>NOT(ISERROR(SEARCH("G",AB29)))</formula>
    </cfRule>
    <cfRule type="cellIs" dxfId="2025" priority="8" operator="equal">
      <formula>"SEC"</formula>
    </cfRule>
    <cfRule type="cellIs" dxfId="2024" priority="9" stopIfTrue="1" operator="equal">
      <formula>"SG"</formula>
    </cfRule>
    <cfRule type="cellIs" dxfId="2023" priority="10" stopIfTrue="1" operator="equal">
      <formula>"GS"</formula>
    </cfRule>
  </conditionalFormatting>
  <conditionalFormatting sqref="AB53">
    <cfRule type="containsText" dxfId="2022" priority="116" operator="containsText" text="G">
      <formula>NOT(ISERROR(SEARCH("G",AB53)))</formula>
    </cfRule>
    <cfRule type="cellIs" dxfId="2021" priority="117" operator="equal">
      <formula>"SEC"</formula>
    </cfRule>
    <cfRule type="cellIs" dxfId="2020" priority="118" stopIfTrue="1" operator="equal">
      <formula>"SG"</formula>
    </cfRule>
    <cfRule type="cellIs" dxfId="2019" priority="119" stopIfTrue="1" operator="equal">
      <formula>"GS"</formula>
    </cfRule>
  </conditionalFormatting>
  <conditionalFormatting sqref="AB57">
    <cfRule type="containsText" dxfId="2018" priority="44" operator="containsText" text="G">
      <formula>NOT(ISERROR(SEARCH("G",AB57)))</formula>
    </cfRule>
    <cfRule type="cellIs" dxfId="2017" priority="45" operator="equal">
      <formula>"SEC"</formula>
    </cfRule>
    <cfRule type="cellIs" dxfId="2016" priority="46" stopIfTrue="1" operator="equal">
      <formula>"SG"</formula>
    </cfRule>
    <cfRule type="cellIs" dxfId="2015" priority="47" stopIfTrue="1" operator="equal">
      <formula>"GS"</formula>
    </cfRule>
  </conditionalFormatting>
  <conditionalFormatting sqref="AB38:AC38">
    <cfRule type="containsText" dxfId="2014" priority="382" operator="containsText" text="G">
      <formula>NOT(ISERROR(SEARCH("G",AB38)))</formula>
    </cfRule>
    <cfRule type="cellIs" dxfId="2013" priority="383" operator="equal">
      <formula>"SEC"</formula>
    </cfRule>
    <cfRule type="cellIs" dxfId="2012" priority="384" stopIfTrue="1" operator="equal">
      <formula>"SG"</formula>
    </cfRule>
    <cfRule type="cellIs" dxfId="2011" priority="385" stopIfTrue="1" operator="equal">
      <formula>"GS"</formula>
    </cfRule>
  </conditionalFormatting>
  <conditionalFormatting sqref="AB55:AC55">
    <cfRule type="containsText" dxfId="2010" priority="84" operator="containsText" text="G">
      <formula>NOT(ISERROR(SEARCH("G",AB55)))</formula>
    </cfRule>
    <cfRule type="cellIs" dxfId="2009" priority="85" operator="equal">
      <formula>"SEC"</formula>
    </cfRule>
    <cfRule type="cellIs" dxfId="2008" priority="86" stopIfTrue="1" operator="equal">
      <formula>"SG"</formula>
    </cfRule>
    <cfRule type="cellIs" dxfId="2007" priority="87" stopIfTrue="1" operator="equal">
      <formula>"GS"</formula>
    </cfRule>
  </conditionalFormatting>
  <conditionalFormatting sqref="AB30:AD30">
    <cfRule type="containsText" dxfId="2006" priority="522" operator="containsText" text="G">
      <formula>NOT(ISERROR(SEARCH("G",AB30)))</formula>
    </cfRule>
    <cfRule type="cellIs" dxfId="2005" priority="523" operator="equal">
      <formula>"SEC"</formula>
    </cfRule>
    <cfRule type="cellIs" dxfId="2004" priority="524" stopIfTrue="1" operator="equal">
      <formula>"SG"</formula>
    </cfRule>
    <cfRule type="cellIs" dxfId="2003" priority="525" stopIfTrue="1" operator="equal">
      <formula>"GS"</formula>
    </cfRule>
  </conditionalFormatting>
  <conditionalFormatting sqref="AC24">
    <cfRule type="containsText" dxfId="2002" priority="630" operator="containsText" text="G">
      <formula>NOT(ISERROR(SEARCH("G",AC24)))</formula>
    </cfRule>
    <cfRule type="cellIs" dxfId="2001" priority="631" operator="equal">
      <formula>"SEC"</formula>
    </cfRule>
    <cfRule type="cellIs" dxfId="2000" priority="632" stopIfTrue="1" operator="equal">
      <formula>"SG"</formula>
    </cfRule>
    <cfRule type="cellIs" dxfId="1999" priority="633" stopIfTrue="1" operator="equal">
      <formula>"GS"</formula>
    </cfRule>
  </conditionalFormatting>
  <conditionalFormatting sqref="AC47">
    <cfRule type="containsText" dxfId="1998" priority="238" operator="containsText" text="G">
      <formula>NOT(ISERROR(SEARCH("G",AC47)))</formula>
    </cfRule>
    <cfRule type="cellIs" dxfId="1997" priority="239" operator="equal">
      <formula>"SEC"</formula>
    </cfRule>
    <cfRule type="cellIs" dxfId="1996" priority="240" stopIfTrue="1" operator="equal">
      <formula>"SG"</formula>
    </cfRule>
    <cfRule type="cellIs" dxfId="1995" priority="241" stopIfTrue="1" operator="equal">
      <formula>"GS"</formula>
    </cfRule>
  </conditionalFormatting>
  <conditionalFormatting sqref="AC50">
    <cfRule type="containsText" dxfId="1994" priority="150" operator="containsText" text="G">
      <formula>NOT(ISERROR(SEARCH("G",AC50)))</formula>
    </cfRule>
    <cfRule type="cellIs" dxfId="1993" priority="151" operator="equal">
      <formula>"SEC"</formula>
    </cfRule>
    <cfRule type="cellIs" dxfId="1992" priority="152" stopIfTrue="1" operator="equal">
      <formula>"SG"</formula>
    </cfRule>
    <cfRule type="cellIs" dxfId="1991" priority="153" stopIfTrue="1" operator="equal">
      <formula>"GS"</formula>
    </cfRule>
  </conditionalFormatting>
  <conditionalFormatting sqref="AC44:AD44">
    <cfRule type="containsText" dxfId="1990" priority="270" operator="containsText" text="G">
      <formula>NOT(ISERROR(SEARCH("G",AC44)))</formula>
    </cfRule>
    <cfRule type="cellIs" dxfId="1989" priority="271" operator="equal">
      <formula>"SEC"</formula>
    </cfRule>
    <cfRule type="cellIs" dxfId="1988" priority="272" stopIfTrue="1" operator="equal">
      <formula>"SG"</formula>
    </cfRule>
    <cfRule type="cellIs" dxfId="1987" priority="273" stopIfTrue="1" operator="equal">
      <formula>"GS"</formula>
    </cfRule>
  </conditionalFormatting>
  <conditionalFormatting sqref="AD8">
    <cfRule type="cellIs" dxfId="1986" priority="752" operator="equal">
      <formula>"SEC"</formula>
    </cfRule>
  </conditionalFormatting>
  <conditionalFormatting sqref="AD10:AD11">
    <cfRule type="cellIs" dxfId="1985" priority="745" operator="equal">
      <formula>"SEC"</formula>
    </cfRule>
  </conditionalFormatting>
  <conditionalFormatting sqref="AD20:AD21">
    <cfRule type="cellIs" dxfId="1984" priority="699" operator="equal">
      <formula>"SEC"</formula>
    </cfRule>
  </conditionalFormatting>
  <conditionalFormatting sqref="AD34">
    <cfRule type="containsText" dxfId="1983" priority="454" operator="containsText" text="G">
      <formula>NOT(ISERROR(SEARCH("G",AD34)))</formula>
    </cfRule>
    <cfRule type="cellIs" dxfId="1982" priority="455" operator="equal">
      <formula>"SEC"</formula>
    </cfRule>
    <cfRule type="cellIs" dxfId="1981" priority="456" stopIfTrue="1" operator="equal">
      <formula>"SG"</formula>
    </cfRule>
    <cfRule type="cellIs" dxfId="1980" priority="457" stopIfTrue="1" operator="equal">
      <formula>"GS"</formula>
    </cfRule>
  </conditionalFormatting>
  <conditionalFormatting sqref="AD39">
    <cfRule type="containsText" dxfId="1979" priority="362" operator="containsText" text="G">
      <formula>NOT(ISERROR(SEARCH("G",AD39)))</formula>
    </cfRule>
    <cfRule type="cellIs" dxfId="1978" priority="363" operator="equal">
      <formula>"SEC"</formula>
    </cfRule>
    <cfRule type="cellIs" dxfId="1977" priority="364" stopIfTrue="1" operator="equal">
      <formula>"SG"</formula>
    </cfRule>
    <cfRule type="cellIs" dxfId="1976" priority="365" stopIfTrue="1" operator="equal">
      <formula>"GS"</formula>
    </cfRule>
  </conditionalFormatting>
  <conditionalFormatting sqref="AE23">
    <cfRule type="containsText" dxfId="1975" priority="650" operator="containsText" text="G">
      <formula>NOT(ISERROR(SEARCH("G",AE23)))</formula>
    </cfRule>
    <cfRule type="cellIs" dxfId="1974" priority="651" operator="equal">
      <formula>"SEC"</formula>
    </cfRule>
    <cfRule type="cellIs" dxfId="1973" priority="652" stopIfTrue="1" operator="equal">
      <formula>"SG"</formula>
    </cfRule>
    <cfRule type="cellIs" dxfId="1972" priority="653" stopIfTrue="1" operator="equal">
      <formula>"GS"</formula>
    </cfRule>
  </conditionalFormatting>
  <conditionalFormatting sqref="AE31">
    <cfRule type="containsText" dxfId="1971" priority="506" operator="containsText" text="G">
      <formula>NOT(ISERROR(SEARCH("G",AE31)))</formula>
    </cfRule>
    <cfRule type="cellIs" dxfId="1970" priority="507" operator="equal">
      <formula>"SEC"</formula>
    </cfRule>
    <cfRule type="cellIs" dxfId="1969" priority="508" stopIfTrue="1" operator="equal">
      <formula>"SG"</formula>
    </cfRule>
    <cfRule type="cellIs" dxfId="1968" priority="509" stopIfTrue="1" operator="equal">
      <formula>"GS"</formula>
    </cfRule>
  </conditionalFormatting>
  <conditionalFormatting sqref="AE36">
    <cfRule type="containsText" dxfId="1967" priority="418" operator="containsText" text="G">
      <formula>NOT(ISERROR(SEARCH("G",AE36)))</formula>
    </cfRule>
    <cfRule type="cellIs" dxfId="1966" priority="419" operator="equal">
      <formula>"SEC"</formula>
    </cfRule>
    <cfRule type="cellIs" dxfId="1965" priority="420" stopIfTrue="1" operator="equal">
      <formula>"SG"</formula>
    </cfRule>
    <cfRule type="cellIs" dxfId="1964" priority="421" stopIfTrue="1" operator="equal">
      <formula>"GS"</formula>
    </cfRule>
  </conditionalFormatting>
  <conditionalFormatting sqref="AE40">
    <cfRule type="containsText" dxfId="1963" priority="342" operator="containsText" text="G">
      <formula>NOT(ISERROR(SEARCH("G",AE40)))</formula>
    </cfRule>
    <cfRule type="cellIs" dxfId="1962" priority="343" operator="equal">
      <formula>"SEC"</formula>
    </cfRule>
    <cfRule type="cellIs" dxfId="1961" priority="344" stopIfTrue="1" operator="equal">
      <formula>"SG"</formula>
    </cfRule>
    <cfRule type="cellIs" dxfId="1960" priority="345" stopIfTrue="1" operator="equal">
      <formula>"GS"</formula>
    </cfRule>
  </conditionalFormatting>
  <conditionalFormatting sqref="AE43">
    <cfRule type="containsText" dxfId="1959" priority="286" operator="containsText" text="G">
      <formula>NOT(ISERROR(SEARCH("G",AE43)))</formula>
    </cfRule>
    <cfRule type="cellIs" dxfId="1958" priority="287" operator="equal">
      <formula>"SEC"</formula>
    </cfRule>
    <cfRule type="cellIs" dxfId="1957" priority="288" stopIfTrue="1" operator="equal">
      <formula>"SG"</formula>
    </cfRule>
    <cfRule type="cellIs" dxfId="1956" priority="289" stopIfTrue="1" operator="equal">
      <formula>"GS"</formula>
    </cfRule>
  </conditionalFormatting>
  <conditionalFormatting sqref="AE56">
    <cfRule type="containsText" dxfId="1955" priority="64" operator="containsText" text="G">
      <formula>NOT(ISERROR(SEARCH("G",AE56)))</formula>
    </cfRule>
    <cfRule type="cellIs" dxfId="1954" priority="65" operator="equal">
      <formula>"SEC"</formula>
    </cfRule>
    <cfRule type="cellIs" dxfId="1953" priority="66" stopIfTrue="1" operator="equal">
      <formula>"SG"</formula>
    </cfRule>
    <cfRule type="cellIs" dxfId="1952" priority="67" stopIfTrue="1" operator="equal">
      <formula>"GS"</formula>
    </cfRule>
  </conditionalFormatting>
  <conditionalFormatting sqref="AE33:AG33">
    <cfRule type="containsText" dxfId="1951" priority="470" operator="containsText" text="G">
      <formula>NOT(ISERROR(SEARCH("G",AE33)))</formula>
    </cfRule>
    <cfRule type="cellIs" dxfId="1950" priority="471" operator="equal">
      <formula>"SEC"</formula>
    </cfRule>
    <cfRule type="cellIs" dxfId="1949" priority="472" stopIfTrue="1" operator="equal">
      <formula>"SG"</formula>
    </cfRule>
    <cfRule type="cellIs" dxfId="1948" priority="473" stopIfTrue="1" operator="equal">
      <formula>"GS"</formula>
    </cfRule>
  </conditionalFormatting>
  <conditionalFormatting sqref="AF11">
    <cfRule type="cellIs" dxfId="1947" priority="732" operator="equal">
      <formula>"SEC"</formula>
    </cfRule>
    <cfRule type="cellIs" dxfId="1946" priority="733" stopIfTrue="1" operator="equal">
      <formula>"SG"</formula>
    </cfRule>
    <cfRule type="cellIs" dxfId="1945" priority="734" stopIfTrue="1" operator="equal">
      <formula>"GS"</formula>
    </cfRule>
  </conditionalFormatting>
  <conditionalFormatting sqref="AF21">
    <cfRule type="cellIs" dxfId="1944" priority="686" operator="equal">
      <formula>"SEC"</formula>
    </cfRule>
    <cfRule type="cellIs" dxfId="1943" priority="687" stopIfTrue="1" operator="equal">
      <formula>"SG"</formula>
    </cfRule>
    <cfRule type="cellIs" dxfId="1942" priority="688" stopIfTrue="1" operator="equal">
      <formula>"GS"</formula>
    </cfRule>
  </conditionalFormatting>
  <conditionalFormatting sqref="AF26">
    <cfRule type="containsText" dxfId="1941" priority="590" operator="containsText" text="G">
      <formula>NOT(ISERROR(SEARCH("G",AF26)))</formula>
    </cfRule>
    <cfRule type="cellIs" dxfId="1940" priority="591" operator="equal">
      <formula>"SEC"</formula>
    </cfRule>
    <cfRule type="cellIs" dxfId="1939" priority="592" stopIfTrue="1" operator="equal">
      <formula>"SG"</formula>
    </cfRule>
    <cfRule type="cellIs" dxfId="1938" priority="593" stopIfTrue="1" operator="equal">
      <formula>"GS"</formula>
    </cfRule>
  </conditionalFormatting>
  <conditionalFormatting sqref="AF32">
    <cfRule type="containsText" dxfId="1937" priority="486" operator="containsText" text="G">
      <formula>NOT(ISERROR(SEARCH("G",AF32)))</formula>
    </cfRule>
    <cfRule type="cellIs" dxfId="1936" priority="487" operator="equal">
      <formula>"SEC"</formula>
    </cfRule>
    <cfRule type="cellIs" dxfId="1935" priority="488" stopIfTrue="1" operator="equal">
      <formula>"SG"</formula>
    </cfRule>
    <cfRule type="cellIs" dxfId="1934" priority="489" stopIfTrue="1" operator="equal">
      <formula>"GS"</formula>
    </cfRule>
  </conditionalFormatting>
  <conditionalFormatting sqref="AF42">
    <cfRule type="containsText" dxfId="1933" priority="302" operator="containsText" text="G">
      <formula>NOT(ISERROR(SEARCH("G",AF42)))</formula>
    </cfRule>
    <cfRule type="cellIs" dxfId="1932" priority="303" operator="equal">
      <formula>"SEC"</formula>
    </cfRule>
    <cfRule type="cellIs" dxfId="1931" priority="304" stopIfTrue="1" operator="equal">
      <formula>"SG"</formula>
    </cfRule>
    <cfRule type="cellIs" dxfId="1930" priority="305" stopIfTrue="1" operator="equal">
      <formula>"GS"</formula>
    </cfRule>
  </conditionalFormatting>
  <conditionalFormatting sqref="AF48">
    <cfRule type="containsText" dxfId="1929" priority="198" operator="containsText" text="G">
      <formula>NOT(ISERROR(SEARCH("G",AF48)))</formula>
    </cfRule>
    <cfRule type="cellIs" dxfId="1928" priority="199" operator="equal">
      <formula>"SEC"</formula>
    </cfRule>
    <cfRule type="cellIs" dxfId="1927" priority="200" stopIfTrue="1" operator="equal">
      <formula>"SG"</formula>
    </cfRule>
    <cfRule type="cellIs" dxfId="1926" priority="201" stopIfTrue="1" operator="equal">
      <formula>"GS"</formula>
    </cfRule>
  </conditionalFormatting>
  <conditionalFormatting sqref="AF58">
    <cfRule type="containsText" dxfId="1925" priority="24" operator="containsText" text="G">
      <formula>NOT(ISERROR(SEARCH("G",AF58)))</formula>
    </cfRule>
    <cfRule type="cellIs" dxfId="1924" priority="25" operator="equal">
      <formula>"SEC"</formula>
    </cfRule>
    <cfRule type="cellIs" dxfId="1923" priority="26" stopIfTrue="1" operator="equal">
      <formula>"SG"</formula>
    </cfRule>
    <cfRule type="cellIs" dxfId="1922" priority="27" stopIfTrue="1" operator="equal">
      <formula>"GS"</formula>
    </cfRule>
  </conditionalFormatting>
  <conditionalFormatting sqref="AG29">
    <cfRule type="containsText" dxfId="1921" priority="534" operator="containsText" text="G">
      <formula>NOT(ISERROR(SEARCH("G",AG29)))</formula>
    </cfRule>
    <cfRule type="cellIs" dxfId="1920" priority="535" operator="equal">
      <formula>"SEC"</formula>
    </cfRule>
    <cfRule type="cellIs" dxfId="1919" priority="536" stopIfTrue="1" operator="equal">
      <formula>"SG"</formula>
    </cfRule>
    <cfRule type="cellIs" dxfId="1918" priority="537" stopIfTrue="1" operator="equal">
      <formula>"GS"</formula>
    </cfRule>
  </conditionalFormatting>
  <conditionalFormatting sqref="AG35">
    <cfRule type="containsText" dxfId="1917" priority="434" operator="containsText" text="G">
      <formula>NOT(ISERROR(SEARCH("G",AG35)))</formula>
    </cfRule>
    <cfRule type="cellIs" dxfId="1916" priority="435" operator="equal">
      <formula>"SEC"</formula>
    </cfRule>
    <cfRule type="cellIs" dxfId="1915" priority="436" stopIfTrue="1" operator="equal">
      <formula>"SG"</formula>
    </cfRule>
    <cfRule type="cellIs" dxfId="1914" priority="437" stopIfTrue="1" operator="equal">
      <formula>"GS"</formula>
    </cfRule>
  </conditionalFormatting>
  <conditionalFormatting sqref="AG46">
    <cfRule type="containsText" dxfId="1913" priority="162" operator="containsText" text="G">
      <formula>NOT(ISERROR(SEARCH("G",AG46)))</formula>
    </cfRule>
    <cfRule type="cellIs" dxfId="1912" priority="163" operator="equal">
      <formula>"SEC"</formula>
    </cfRule>
    <cfRule type="cellIs" dxfId="1911" priority="164" stopIfTrue="1" operator="equal">
      <formula>"SG"</formula>
    </cfRule>
    <cfRule type="cellIs" dxfId="1910" priority="165" stopIfTrue="1" operator="equal">
      <formula>"GS"</formula>
    </cfRule>
  </conditionalFormatting>
  <conditionalFormatting sqref="AG54">
    <cfRule type="containsText" dxfId="1909" priority="96" operator="containsText" text="G">
      <formula>NOT(ISERROR(SEARCH("G",AG54)))</formula>
    </cfRule>
    <cfRule type="cellIs" dxfId="1908" priority="97" operator="equal">
      <formula>"SEC"</formula>
    </cfRule>
    <cfRule type="cellIs" dxfId="1907" priority="98" stopIfTrue="1" operator="equal">
      <formula>"SG"</formula>
    </cfRule>
    <cfRule type="cellIs" dxfId="1906" priority="99" stopIfTrue="1" operator="equal">
      <formula>"GS"</formula>
    </cfRule>
  </conditionalFormatting>
  <conditionalFormatting sqref="AG45:AH45">
    <cfRule type="containsText" dxfId="1905" priority="250" operator="containsText" text="G">
      <formula>NOT(ISERROR(SEARCH("G",AG45)))</formula>
    </cfRule>
    <cfRule type="cellIs" dxfId="1904" priority="251" operator="equal">
      <formula>"SEC"</formula>
    </cfRule>
    <cfRule type="cellIs" dxfId="1903" priority="252" stopIfTrue="1" operator="equal">
      <formula>"SG"</formula>
    </cfRule>
    <cfRule type="cellIs" dxfId="1902" priority="253" stopIfTrue="1" operator="equal">
      <formula>"GS"</formula>
    </cfRule>
  </conditionalFormatting>
  <conditionalFormatting sqref="AH37">
    <cfRule type="containsText" dxfId="1901" priority="394" operator="containsText" text="G">
      <formula>NOT(ISERROR(SEARCH("G",AH37)))</formula>
    </cfRule>
    <cfRule type="cellIs" dxfId="1900" priority="395" operator="equal">
      <formula>"SEC"</formula>
    </cfRule>
    <cfRule type="cellIs" dxfId="1899" priority="396" stopIfTrue="1" operator="equal">
      <formula>"SG"</formula>
    </cfRule>
    <cfRule type="cellIs" dxfId="1898" priority="397" stopIfTrue="1" operator="equal">
      <formula>"GS"</formula>
    </cfRule>
  </conditionalFormatting>
  <conditionalFormatting sqref="AH41">
    <cfRule type="containsText" dxfId="1897" priority="322" operator="containsText" text="G">
      <formula>NOT(ISERROR(SEARCH("G",AH41)))</formula>
    </cfRule>
    <cfRule type="cellIs" dxfId="1896" priority="323" operator="equal">
      <formula>"SEC"</formula>
    </cfRule>
    <cfRule type="cellIs" dxfId="1895" priority="324" stopIfTrue="1" operator="equal">
      <formula>"SG"</formula>
    </cfRule>
    <cfRule type="cellIs" dxfId="1894" priority="325" stopIfTrue="1" operator="equal">
      <formula>"GS"</formula>
    </cfRule>
  </conditionalFormatting>
  <conditionalFormatting sqref="AH49">
    <cfRule type="containsText" dxfId="1893" priority="182" operator="containsText" text="G">
      <formula>NOT(ISERROR(SEARCH("G",AH49)))</formula>
    </cfRule>
    <cfRule type="cellIs" dxfId="1892" priority="183" operator="equal">
      <formula>"SEC"</formula>
    </cfRule>
    <cfRule type="cellIs" dxfId="1891" priority="184" stopIfTrue="1" operator="equal">
      <formula>"SG"</formula>
    </cfRule>
    <cfRule type="cellIs" dxfId="1890" priority="185" stopIfTrue="1" operator="equal">
      <formula>"GS"</formula>
    </cfRule>
  </conditionalFormatting>
  <conditionalFormatting sqref="AH47:AI47">
    <cfRule type="containsText" dxfId="1889" priority="234" operator="containsText" text="G">
      <formula>NOT(ISERROR(SEARCH("G",AH47)))</formula>
    </cfRule>
    <cfRule type="cellIs" dxfId="1888" priority="235" operator="equal">
      <formula>"SEC"</formula>
    </cfRule>
    <cfRule type="cellIs" dxfId="1887" priority="236" stopIfTrue="1" operator="equal">
      <formula>"SG"</formula>
    </cfRule>
    <cfRule type="cellIs" dxfId="1886" priority="237" stopIfTrue="1" operator="equal">
      <formula>"GS"</formula>
    </cfRule>
  </conditionalFormatting>
  <conditionalFormatting sqref="AI22">
    <cfRule type="containsText" dxfId="1885" priority="666" operator="containsText" text="G">
      <formula>NOT(ISERROR(SEARCH("G",AI22)))</formula>
    </cfRule>
    <cfRule type="cellIs" dxfId="1884" priority="667" operator="equal">
      <formula>"SEC"</formula>
    </cfRule>
    <cfRule type="cellIs" dxfId="1883" priority="668" stopIfTrue="1" operator="equal">
      <formula>"SG"</formula>
    </cfRule>
    <cfRule type="cellIs" dxfId="1882" priority="669" stopIfTrue="1" operator="equal">
      <formula>"GS"</formula>
    </cfRule>
  </conditionalFormatting>
  <conditionalFormatting sqref="AI51">
    <cfRule type="containsText" dxfId="1881" priority="130" operator="containsText" text="G">
      <formula>NOT(ISERROR(SEARCH("G",AI51)))</formula>
    </cfRule>
    <cfRule type="cellIs" dxfId="1880" priority="131" operator="equal">
      <formula>"SEC"</formula>
    </cfRule>
    <cfRule type="cellIs" dxfId="1879" priority="132" stopIfTrue="1" operator="equal">
      <formula>"SG"</formula>
    </cfRule>
    <cfRule type="cellIs" dxfId="1878" priority="133" stopIfTrue="1" operator="equal">
      <formula>"GS"</formula>
    </cfRule>
  </conditionalFormatting>
  <conditionalFormatting sqref="AI53">
    <cfRule type="containsText" dxfId="1877" priority="112" operator="containsText" text="G">
      <formula>NOT(ISERROR(SEARCH("G",AI53)))</formula>
    </cfRule>
    <cfRule type="cellIs" dxfId="1876" priority="113" operator="equal">
      <formula>"SEC"</formula>
    </cfRule>
    <cfRule type="cellIs" dxfId="1875" priority="114" stopIfTrue="1" operator="equal">
      <formula>"SG"</formula>
    </cfRule>
    <cfRule type="cellIs" dxfId="1874" priority="115" stopIfTrue="1" operator="equal">
      <formula>"GS"</formula>
    </cfRule>
  </conditionalFormatting>
  <conditionalFormatting sqref="AI55">
    <cfRule type="containsText" dxfId="1873" priority="80" operator="containsText" text="G">
      <formula>NOT(ISERROR(SEARCH("G",AI55)))</formula>
    </cfRule>
    <cfRule type="cellIs" dxfId="1872" priority="81" operator="equal">
      <formula>"SEC"</formula>
    </cfRule>
    <cfRule type="cellIs" dxfId="1871" priority="82" stopIfTrue="1" operator="equal">
      <formula>"SG"</formula>
    </cfRule>
    <cfRule type="cellIs" dxfId="1870" priority="83" stopIfTrue="1" operator="equal">
      <formula>"GS"</formula>
    </cfRule>
  </conditionalFormatting>
  <conditionalFormatting sqref="AI57">
    <cfRule type="containsText" dxfId="1869" priority="40" operator="containsText" text="G">
      <formula>NOT(ISERROR(SEARCH("G",AI57)))</formula>
    </cfRule>
    <cfRule type="cellIs" dxfId="1868" priority="41" operator="equal">
      <formula>"SEC"</formula>
    </cfRule>
    <cfRule type="cellIs" dxfId="1867" priority="42" stopIfTrue="1" operator="equal">
      <formula>"SG"</formula>
    </cfRule>
    <cfRule type="cellIs" dxfId="1866" priority="43" stopIfTrue="1" operator="equal">
      <formula>"GS"</formula>
    </cfRule>
  </conditionalFormatting>
  <conditionalFormatting sqref="AJ24">
    <cfRule type="containsText" dxfId="1865" priority="626" operator="containsText" text="G">
      <formula>NOT(ISERROR(SEARCH("G",AJ24)))</formula>
    </cfRule>
    <cfRule type="cellIs" dxfId="1864" priority="627" operator="equal">
      <formula>"SEC"</formula>
    </cfRule>
    <cfRule type="cellIs" dxfId="1863" priority="628" stopIfTrue="1" operator="equal">
      <formula>"SG"</formula>
    </cfRule>
    <cfRule type="cellIs" dxfId="1862" priority="629" stopIfTrue="1" operator="equal">
      <formula>"GS"</formula>
    </cfRule>
  </conditionalFormatting>
  <conditionalFormatting sqref="AJ34">
    <cfRule type="containsText" dxfId="1861" priority="450" operator="containsText" text="G">
      <formula>NOT(ISERROR(SEARCH("G",AJ34)))</formula>
    </cfRule>
    <cfRule type="cellIs" dxfId="1860" priority="451" operator="equal">
      <formula>"SEC"</formula>
    </cfRule>
    <cfRule type="cellIs" dxfId="1859" priority="452" stopIfTrue="1" operator="equal">
      <formula>"SG"</formula>
    </cfRule>
    <cfRule type="cellIs" dxfId="1858" priority="453" stopIfTrue="1" operator="equal">
      <formula>"GS"</formula>
    </cfRule>
  </conditionalFormatting>
  <conditionalFormatting sqref="AJ39">
    <cfRule type="containsText" dxfId="1857" priority="3" operator="containsText" text="G">
      <formula>NOT(ISERROR(SEARCH("G",AJ39)))</formula>
    </cfRule>
    <cfRule type="cellIs" dxfId="1856" priority="4" operator="equal">
      <formula>"SEC"</formula>
    </cfRule>
    <cfRule type="cellIs" dxfId="1855" priority="5" stopIfTrue="1" operator="equal">
      <formula>"SG"</formula>
    </cfRule>
    <cfRule type="cellIs" dxfId="1854" priority="6" stopIfTrue="1" operator="equal">
      <formula>"GS"</formula>
    </cfRule>
  </conditionalFormatting>
  <conditionalFormatting sqref="AJ50">
    <cfRule type="containsText" dxfId="1853" priority="146" operator="containsText" text="G">
      <formula>NOT(ISERROR(SEARCH("G",AJ50)))</formula>
    </cfRule>
    <cfRule type="cellIs" dxfId="1852" priority="147" operator="equal">
      <formula>"SEC"</formula>
    </cfRule>
    <cfRule type="cellIs" dxfId="1851" priority="148" stopIfTrue="1" operator="equal">
      <formula>"SG"</formula>
    </cfRule>
    <cfRule type="cellIs" dxfId="1850" priority="149" stopIfTrue="1" operator="equal">
      <formula>"GS"</formula>
    </cfRule>
  </conditionalFormatting>
  <conditionalFormatting sqref="AJ56">
    <cfRule type="containsText" dxfId="1849" priority="60" operator="containsText" text="G">
      <formula>NOT(ISERROR(SEARCH("G",AJ56)))</formula>
    </cfRule>
    <cfRule type="cellIs" dxfId="1848" priority="61" operator="equal">
      <formula>"SEC"</formula>
    </cfRule>
    <cfRule type="cellIs" dxfId="1847" priority="62" stopIfTrue="1" operator="equal">
      <formula>"SG"</formula>
    </cfRule>
    <cfRule type="cellIs" dxfId="1846" priority="63" stopIfTrue="1" operator="equal">
      <formula>"GS"</formula>
    </cfRule>
  </conditionalFormatting>
  <conditionalFormatting sqref="AJ28:AK28">
    <cfRule type="containsText" dxfId="1845" priority="554" operator="containsText" text="G">
      <formula>NOT(ISERROR(SEARCH("G",AJ28)))</formula>
    </cfRule>
    <cfRule type="cellIs" dxfId="1844" priority="555" operator="equal">
      <formula>"SEC"</formula>
    </cfRule>
    <cfRule type="cellIs" dxfId="1843" priority="556" stopIfTrue="1" operator="equal">
      <formula>"SG"</formula>
    </cfRule>
    <cfRule type="cellIs" dxfId="1842" priority="557" stopIfTrue="1" operator="equal">
      <formula>"GS"</formula>
    </cfRule>
  </conditionalFormatting>
  <conditionalFormatting sqref="AK8">
    <cfRule type="cellIs" dxfId="1841" priority="751" operator="equal">
      <formula>"SEC"</formula>
    </cfRule>
  </conditionalFormatting>
  <conditionalFormatting sqref="AK10:AK11">
    <cfRule type="cellIs" dxfId="1840" priority="744" operator="equal">
      <formula>"SEC"</formula>
    </cfRule>
  </conditionalFormatting>
  <conditionalFormatting sqref="AK20:AK21">
    <cfRule type="cellIs" dxfId="1839" priority="698" operator="equal">
      <formula>"SEC"</formula>
    </cfRule>
  </conditionalFormatting>
  <conditionalFormatting sqref="AK39:AK40">
    <cfRule type="containsText" dxfId="1838" priority="338" operator="containsText" text="G">
      <formula>NOT(ISERROR(SEARCH("G",AK39)))</formula>
    </cfRule>
    <cfRule type="cellIs" dxfId="1837" priority="339" operator="equal">
      <formula>"SEC"</formula>
    </cfRule>
    <cfRule type="cellIs" dxfId="1836" priority="340" stopIfTrue="1" operator="equal">
      <formula>"SG"</formula>
    </cfRule>
    <cfRule type="cellIs" dxfId="1835" priority="341" stopIfTrue="1" operator="equal">
      <formula>"GS"</formula>
    </cfRule>
  </conditionalFormatting>
  <conditionalFormatting sqref="AK43">
    <cfRule type="containsText" dxfId="1834" priority="282" operator="containsText" text="G">
      <formula>NOT(ISERROR(SEARCH("G",AK43)))</formula>
    </cfRule>
    <cfRule type="cellIs" dxfId="1833" priority="283" operator="equal">
      <formula>"SEC"</formula>
    </cfRule>
    <cfRule type="cellIs" dxfId="1832" priority="284" stopIfTrue="1" operator="equal">
      <formula>"SG"</formula>
    </cfRule>
    <cfRule type="cellIs" dxfId="1831" priority="285" stopIfTrue="1" operator="equal">
      <formula>"GS"</formula>
    </cfRule>
  </conditionalFormatting>
  <conditionalFormatting sqref="AL11">
    <cfRule type="cellIs" dxfId="1830" priority="729" operator="equal">
      <formula>"SEC"</formula>
    </cfRule>
    <cfRule type="cellIs" dxfId="1829" priority="730" stopIfTrue="1" operator="equal">
      <formula>"SG"</formula>
    </cfRule>
    <cfRule type="cellIs" dxfId="1828" priority="731" stopIfTrue="1" operator="equal">
      <formula>"GS"</formula>
    </cfRule>
  </conditionalFormatting>
  <conditionalFormatting sqref="AL21">
    <cfRule type="cellIs" dxfId="1827" priority="683" operator="equal">
      <formula>"SEC"</formula>
    </cfRule>
    <cfRule type="cellIs" dxfId="1826" priority="684" stopIfTrue="1" operator="equal">
      <formula>"SG"</formula>
    </cfRule>
    <cfRule type="cellIs" dxfId="1825" priority="685" stopIfTrue="1" operator="equal">
      <formula>"GS"</formula>
    </cfRule>
  </conditionalFormatting>
  <conditionalFormatting sqref="AL31">
    <cfRule type="containsText" dxfId="1824" priority="502" operator="containsText" text="G">
      <formula>NOT(ISERROR(SEARCH("G",AL31)))</formula>
    </cfRule>
    <cfRule type="cellIs" dxfId="1823" priority="503" operator="equal">
      <formula>"SEC"</formula>
    </cfRule>
    <cfRule type="cellIs" dxfId="1822" priority="504" stopIfTrue="1" operator="equal">
      <formula>"SG"</formula>
    </cfRule>
    <cfRule type="cellIs" dxfId="1821" priority="505" stopIfTrue="1" operator="equal">
      <formula>"GS"</formula>
    </cfRule>
  </conditionalFormatting>
  <conditionalFormatting sqref="AL35">
    <cfRule type="containsText" dxfId="1820" priority="430" operator="containsText" text="G">
      <formula>NOT(ISERROR(SEARCH("G",AL35)))</formula>
    </cfRule>
    <cfRule type="cellIs" dxfId="1819" priority="431" operator="equal">
      <formula>"SEC"</formula>
    </cfRule>
    <cfRule type="cellIs" dxfId="1818" priority="432" stopIfTrue="1" operator="equal">
      <formula>"SG"</formula>
    </cfRule>
    <cfRule type="cellIs" dxfId="1817" priority="433" stopIfTrue="1" operator="equal">
      <formula>"GS"</formula>
    </cfRule>
  </conditionalFormatting>
  <conditionalFormatting sqref="AL44">
    <cfRule type="containsText" dxfId="1816" priority="266" operator="containsText" text="G">
      <formula>NOT(ISERROR(SEARCH("G",AL44)))</formula>
    </cfRule>
    <cfRule type="cellIs" dxfId="1815" priority="267" operator="equal">
      <formula>"SEC"</formula>
    </cfRule>
    <cfRule type="cellIs" dxfId="1814" priority="268" stopIfTrue="1" operator="equal">
      <formula>"SG"</formula>
    </cfRule>
    <cfRule type="cellIs" dxfId="1813" priority="269" stopIfTrue="1" operator="equal">
      <formula>"GS"</formula>
    </cfRule>
  </conditionalFormatting>
  <conditionalFormatting sqref="AL58">
    <cfRule type="containsText" dxfId="1812" priority="20" operator="containsText" text="G">
      <formula>NOT(ISERROR(SEARCH("G",AL58)))</formula>
    </cfRule>
    <cfRule type="cellIs" dxfId="1811" priority="21" operator="equal">
      <formula>"SEC"</formula>
    </cfRule>
    <cfRule type="cellIs" dxfId="1810" priority="22" stopIfTrue="1" operator="equal">
      <formula>"SG"</formula>
    </cfRule>
    <cfRule type="cellIs" dxfId="1809" priority="23" stopIfTrue="1" operator="equal">
      <formula>"GS"</formula>
    </cfRule>
  </conditionalFormatting>
  <conditionalFormatting sqref="AL36:AM36">
    <cfRule type="containsText" dxfId="1808" priority="414" operator="containsText" text="G">
      <formula>NOT(ISERROR(SEARCH("G",AL36)))</formula>
    </cfRule>
    <cfRule type="cellIs" dxfId="1807" priority="415" operator="equal">
      <formula>"SEC"</formula>
    </cfRule>
    <cfRule type="cellIs" dxfId="1806" priority="416" stopIfTrue="1" operator="equal">
      <formula>"SG"</formula>
    </cfRule>
    <cfRule type="cellIs" dxfId="1805" priority="417" stopIfTrue="1" operator="equal">
      <formula>"GS"</formula>
    </cfRule>
  </conditionalFormatting>
  <conditionalFormatting sqref="AM23">
    <cfRule type="containsText" dxfId="1804" priority="646" operator="containsText" text="G">
      <formula>NOT(ISERROR(SEARCH("G",AM23)))</formula>
    </cfRule>
    <cfRule type="cellIs" dxfId="1803" priority="647" operator="equal">
      <formula>"SEC"</formula>
    </cfRule>
    <cfRule type="cellIs" dxfId="1802" priority="648" stopIfTrue="1" operator="equal">
      <formula>"SG"</formula>
    </cfRule>
    <cfRule type="cellIs" dxfId="1801" priority="649" stopIfTrue="1" operator="equal">
      <formula>"GS"</formula>
    </cfRule>
  </conditionalFormatting>
  <conditionalFormatting sqref="AM25">
    <cfRule type="containsText" dxfId="1800" priority="606" operator="containsText" text="G">
      <formula>NOT(ISERROR(SEARCH("G",AM25)))</formula>
    </cfRule>
    <cfRule type="cellIs" dxfId="1799" priority="607" operator="equal">
      <formula>"SEC"</formula>
    </cfRule>
    <cfRule type="cellIs" dxfId="1798" priority="608" stopIfTrue="1" operator="equal">
      <formula>"SG"</formula>
    </cfRule>
    <cfRule type="cellIs" dxfId="1797" priority="609" stopIfTrue="1" operator="equal">
      <formula>"GS"</formula>
    </cfRule>
  </conditionalFormatting>
  <conditionalFormatting sqref="AM27">
    <cfRule type="containsText" dxfId="1796" priority="574" operator="containsText" text="G">
      <formula>NOT(ISERROR(SEARCH("G",AM27)))</formula>
    </cfRule>
    <cfRule type="cellIs" dxfId="1795" priority="575" operator="equal">
      <formula>"SEC"</formula>
    </cfRule>
    <cfRule type="cellIs" dxfId="1794" priority="576" stopIfTrue="1" operator="equal">
      <formula>"SG"</formula>
    </cfRule>
    <cfRule type="cellIs" dxfId="1793" priority="577" stopIfTrue="1" operator="equal">
      <formula>"GS"</formula>
    </cfRule>
  </conditionalFormatting>
  <conditionalFormatting sqref="AM32">
    <cfRule type="containsText" dxfId="1792" priority="482" operator="containsText" text="G">
      <formula>NOT(ISERROR(SEARCH("G",AM32)))</formula>
    </cfRule>
    <cfRule type="cellIs" dxfId="1791" priority="483" operator="equal">
      <formula>"SEC"</formula>
    </cfRule>
    <cfRule type="cellIs" dxfId="1790" priority="484" stopIfTrue="1" operator="equal">
      <formula>"SG"</formula>
    </cfRule>
    <cfRule type="cellIs" dxfId="1789" priority="485" stopIfTrue="1" operator="equal">
      <formula>"GS"</formula>
    </cfRule>
  </conditionalFormatting>
  <conditionalFormatting sqref="AM38">
    <cfRule type="containsText" dxfId="1788" priority="378" operator="containsText" text="G">
      <formula>NOT(ISERROR(SEARCH("G",AM38)))</formula>
    </cfRule>
    <cfRule type="cellIs" dxfId="1787" priority="379" operator="equal">
      <formula>"SEC"</formula>
    </cfRule>
    <cfRule type="cellIs" dxfId="1786" priority="380" stopIfTrue="1" operator="equal">
      <formula>"SG"</formula>
    </cfRule>
    <cfRule type="cellIs" dxfId="1785" priority="381" stopIfTrue="1" operator="equal">
      <formula>"GS"</formula>
    </cfRule>
  </conditionalFormatting>
  <conditionalFormatting sqref="AM41">
    <cfRule type="containsText" dxfId="1784" priority="318" operator="containsText" text="G">
      <formula>NOT(ISERROR(SEARCH("G",AM41)))</formula>
    </cfRule>
    <cfRule type="cellIs" dxfId="1783" priority="319" operator="equal">
      <formula>"SEC"</formula>
    </cfRule>
    <cfRule type="cellIs" dxfId="1782" priority="320" stopIfTrue="1" operator="equal">
      <formula>"SG"</formula>
    </cfRule>
    <cfRule type="cellIs" dxfId="1781" priority="321" stopIfTrue="1" operator="equal">
      <formula>"GS"</formula>
    </cfRule>
  </conditionalFormatting>
  <conditionalFormatting sqref="AP8:AP11 AP20:AP58">
    <cfRule type="cellIs" dxfId="1780" priority="1432" stopIfTrue="1" operator="notEqual">
      <formula>2</formula>
    </cfRule>
  </conditionalFormatting>
  <conditionalFormatting sqref="AV14:AZ14 AV19:BC60">
    <cfRule type="cellIs" dxfId="1779" priority="1433" stopIfTrue="1" operator="equal">
      <formula>0</formula>
    </cfRule>
  </conditionalFormatting>
  <conditionalFormatting sqref="AV6:BC11">
    <cfRule type="cellIs" dxfId="1778" priority="1434" stopIfTrue="1" operator="equal">
      <formula>0</formula>
    </cfRule>
  </conditionalFormatting>
  <pageMargins left="0.23622047244094491" right="0.23622047244094491" top="0.35433070866141736" bottom="0.35433070866141736" header="0.31496062992125984" footer="0.31496062992125984"/>
  <pageSetup paperSize="9" scale="51" fitToHeight="0" orientation="landscape" r:id="rId1"/>
  <rowBreaks count="1" manualBreakCount="1">
    <brk id="38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05"/>
  <sheetViews>
    <sheetView tabSelected="1" view="pageBreakPreview" topLeftCell="A46" zoomScale="70" zoomScaleNormal="70" zoomScaleSheetLayoutView="70" workbookViewId="0">
      <selection activeCell="AN72" sqref="AN72"/>
    </sheetView>
  </sheetViews>
  <sheetFormatPr defaultColWidth="9" defaultRowHeight="15" customHeight="1" outlineLevelCol="1"/>
  <cols>
    <col min="1" max="1" width="1.625" style="4" customWidth="1"/>
    <col min="2" max="2" width="9" style="4"/>
    <col min="3" max="4" width="15.625" style="2" customWidth="1"/>
    <col min="5" max="5" width="9" style="2" hidden="1" customWidth="1" outlineLevel="1"/>
    <col min="6" max="6" width="10.375" style="2" hidden="1" customWidth="1" outlineLevel="1"/>
    <col min="7" max="7" width="8.5" style="2" customWidth="1" collapsed="1"/>
    <col min="8" max="38" width="6.625" style="4" customWidth="1"/>
    <col min="39" max="40" width="9.625" style="2" customWidth="1"/>
    <col min="41" max="41" width="10" style="2" customWidth="1" outlineLevel="1"/>
    <col min="42" max="43" width="7.5" style="2" customWidth="1" outlineLevel="1"/>
    <col min="44" max="45" width="9" style="4" customWidth="1" outlineLevel="1"/>
    <col min="46" max="46" width="5.375" style="4" customWidth="1"/>
    <col min="47" max="47" width="4" style="4" customWidth="1"/>
    <col min="48" max="48" width="4" style="1" customWidth="1"/>
    <col min="49" max="53" width="4" style="4" customWidth="1"/>
    <col min="54" max="54" width="4.875" style="40" customWidth="1" outlineLevel="1"/>
    <col min="55" max="55" width="1.625" style="4" customWidth="1"/>
    <col min="56" max="16384" width="9" style="4"/>
  </cols>
  <sheetData>
    <row r="1" spans="2:54" ht="27.75" customHeight="1">
      <c r="B1" s="460" t="s">
        <v>375</v>
      </c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0"/>
      <c r="AA1" s="460"/>
      <c r="AB1" s="460"/>
      <c r="AC1" s="460"/>
      <c r="AD1" s="460"/>
      <c r="AE1" s="460"/>
      <c r="AF1" s="460"/>
      <c r="AG1" s="460"/>
      <c r="AH1" s="460"/>
      <c r="AI1" s="460"/>
      <c r="AJ1" s="460"/>
      <c r="AK1" s="460"/>
      <c r="AL1" s="460"/>
      <c r="AM1" s="460"/>
      <c r="AN1" s="460"/>
      <c r="AO1" s="56"/>
      <c r="AP1" s="56"/>
      <c r="AQ1" s="56"/>
      <c r="AR1" s="56"/>
      <c r="AS1" s="56"/>
    </row>
    <row r="2" spans="2:54" ht="27.75" customHeight="1">
      <c r="B2" s="460" t="s">
        <v>5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60"/>
      <c r="AA2" s="460"/>
      <c r="AB2" s="460"/>
      <c r="AC2" s="460"/>
      <c r="AD2" s="460"/>
      <c r="AE2" s="460"/>
      <c r="AF2" s="460"/>
      <c r="AG2" s="460"/>
      <c r="AH2" s="460"/>
      <c r="AI2" s="460"/>
      <c r="AJ2" s="460"/>
      <c r="AK2" s="460"/>
      <c r="AL2" s="460"/>
      <c r="AM2" s="460"/>
      <c r="AN2" s="460"/>
      <c r="AO2" s="56"/>
      <c r="AP2" s="56"/>
      <c r="AQ2" s="56"/>
      <c r="AR2" s="56"/>
      <c r="AS2" s="56"/>
    </row>
    <row r="3" spans="2:54" ht="27.75" customHeight="1">
      <c r="B3" s="460" t="str">
        <f>YEAR(I6)&amp;"年"&amp;MONTH(I6)&amp;"月保安出勤及休假記錄  (中更 15:00 - 23:00)"</f>
        <v>2026年3月保安出勤及休假記錄  (中更 15:00 - 23:00)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60"/>
      <c r="AD3" s="460"/>
      <c r="AE3" s="460"/>
      <c r="AF3" s="460"/>
      <c r="AG3" s="460"/>
      <c r="AH3" s="460"/>
      <c r="AI3" s="460"/>
      <c r="AJ3" s="460"/>
      <c r="AK3" s="460"/>
      <c r="AL3" s="460"/>
      <c r="AM3" s="460"/>
      <c r="AN3" s="460"/>
      <c r="AO3" s="56"/>
      <c r="AP3" s="57"/>
      <c r="AQ3" s="57"/>
      <c r="AR3" s="57"/>
      <c r="AS3" s="57"/>
    </row>
    <row r="4" spans="2:54" ht="23.25" customHeight="1">
      <c r="B4" s="464" t="s">
        <v>374</v>
      </c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  <c r="AM4" s="464"/>
      <c r="AN4" s="464"/>
      <c r="AO4" s="57"/>
      <c r="AP4" s="57"/>
      <c r="AQ4" s="57"/>
      <c r="AR4" s="57"/>
      <c r="AS4" s="57"/>
    </row>
    <row r="5" spans="2:54" ht="27.75" customHeight="1" thickBot="1">
      <c r="B5" s="6" t="s">
        <v>6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</row>
    <row r="6" spans="2:54" s="90" customFormat="1" ht="30" customHeight="1">
      <c r="B6" s="416"/>
      <c r="C6" s="271"/>
      <c r="D6" s="271"/>
      <c r="E6" s="231"/>
      <c r="F6" s="233"/>
      <c r="G6" s="271"/>
      <c r="H6" s="329">
        <f>早!I6</f>
        <v>46082</v>
      </c>
      <c r="I6" s="234">
        <f>H6+1</f>
        <v>46083</v>
      </c>
      <c r="J6" s="234">
        <f t="shared" ref="J6" si="0">I6+1</f>
        <v>46084</v>
      </c>
      <c r="K6" s="234">
        <f t="shared" ref="K6:AL6" si="1">J6+1</f>
        <v>46085</v>
      </c>
      <c r="L6" s="234">
        <f t="shared" si="1"/>
        <v>46086</v>
      </c>
      <c r="M6" s="234">
        <f t="shared" si="1"/>
        <v>46087</v>
      </c>
      <c r="N6" s="234">
        <f t="shared" si="1"/>
        <v>46088</v>
      </c>
      <c r="O6" s="328">
        <f t="shared" si="1"/>
        <v>46089</v>
      </c>
      <c r="P6" s="234">
        <f t="shared" si="1"/>
        <v>46090</v>
      </c>
      <c r="Q6" s="234">
        <f t="shared" si="1"/>
        <v>46091</v>
      </c>
      <c r="R6" s="234">
        <f t="shared" si="1"/>
        <v>46092</v>
      </c>
      <c r="S6" s="234">
        <f t="shared" si="1"/>
        <v>46093</v>
      </c>
      <c r="T6" s="234">
        <f t="shared" si="1"/>
        <v>46094</v>
      </c>
      <c r="U6" s="234">
        <f t="shared" si="1"/>
        <v>46095</v>
      </c>
      <c r="V6" s="328">
        <f t="shared" si="1"/>
        <v>46096</v>
      </c>
      <c r="W6" s="234">
        <f t="shared" si="1"/>
        <v>46097</v>
      </c>
      <c r="X6" s="234">
        <f t="shared" si="1"/>
        <v>46098</v>
      </c>
      <c r="Y6" s="234">
        <f t="shared" si="1"/>
        <v>46099</v>
      </c>
      <c r="Z6" s="234">
        <f t="shared" si="1"/>
        <v>46100</v>
      </c>
      <c r="AA6" s="234">
        <f t="shared" si="1"/>
        <v>46101</v>
      </c>
      <c r="AB6" s="234">
        <f t="shared" si="1"/>
        <v>46102</v>
      </c>
      <c r="AC6" s="328">
        <f t="shared" si="1"/>
        <v>46103</v>
      </c>
      <c r="AD6" s="234">
        <f t="shared" si="1"/>
        <v>46104</v>
      </c>
      <c r="AE6" s="234">
        <f t="shared" si="1"/>
        <v>46105</v>
      </c>
      <c r="AF6" s="256">
        <f t="shared" si="1"/>
        <v>46106</v>
      </c>
      <c r="AG6" s="234">
        <f t="shared" si="1"/>
        <v>46107</v>
      </c>
      <c r="AH6" s="234">
        <f t="shared" si="1"/>
        <v>46108</v>
      </c>
      <c r="AI6" s="234">
        <f t="shared" si="1"/>
        <v>46109</v>
      </c>
      <c r="AJ6" s="328">
        <f t="shared" si="1"/>
        <v>46110</v>
      </c>
      <c r="AK6" s="234">
        <f t="shared" si="1"/>
        <v>46111</v>
      </c>
      <c r="AL6" s="235">
        <f t="shared" si="1"/>
        <v>46112</v>
      </c>
      <c r="AM6" s="479" t="s">
        <v>7</v>
      </c>
      <c r="AN6" s="481" t="s">
        <v>8</v>
      </c>
      <c r="AO6" s="98" t="s">
        <v>0</v>
      </c>
      <c r="AP6" s="62" t="s">
        <v>9</v>
      </c>
      <c r="AQ6" s="62" t="s">
        <v>10</v>
      </c>
      <c r="AR6" s="62" t="s">
        <v>11</v>
      </c>
      <c r="AS6" s="236" t="s">
        <v>12</v>
      </c>
      <c r="AT6" s="214" t="s">
        <v>9</v>
      </c>
      <c r="AU6" s="59" t="s">
        <v>9</v>
      </c>
      <c r="AV6" s="70" t="s">
        <v>13</v>
      </c>
      <c r="AW6" s="59" t="s">
        <v>0</v>
      </c>
      <c r="AX6" s="62" t="s">
        <v>11</v>
      </c>
      <c r="AY6" s="99" t="s">
        <v>10</v>
      </c>
      <c r="AZ6" s="59" t="s">
        <v>12</v>
      </c>
      <c r="BA6" s="71" t="s">
        <v>14</v>
      </c>
      <c r="BB6" s="465" t="s">
        <v>15</v>
      </c>
    </row>
    <row r="7" spans="2:54" s="90" customFormat="1" ht="30" customHeight="1" thickBot="1">
      <c r="B7" s="415" t="s">
        <v>16</v>
      </c>
      <c r="C7" s="279" t="s">
        <v>17</v>
      </c>
      <c r="D7" s="279" t="s">
        <v>18</v>
      </c>
      <c r="E7" s="368" t="s">
        <v>19</v>
      </c>
      <c r="F7" s="249" t="s">
        <v>20</v>
      </c>
      <c r="G7" s="135" t="s">
        <v>22</v>
      </c>
      <c r="H7" s="404" t="str">
        <f t="shared" ref="H7" si="2">SUBSTITUTE(TEXT(H6,"aaa"),"週","")</f>
        <v>日</v>
      </c>
      <c r="I7" s="405" t="str">
        <f t="shared" ref="I7:AK7" si="3">SUBSTITUTE(TEXT(I6,"aaa"),"週","")</f>
        <v>一</v>
      </c>
      <c r="J7" s="405" t="str">
        <f t="shared" si="3"/>
        <v>二</v>
      </c>
      <c r="K7" s="405" t="str">
        <f t="shared" si="3"/>
        <v>三</v>
      </c>
      <c r="L7" s="405" t="str">
        <f t="shared" si="3"/>
        <v>四</v>
      </c>
      <c r="M7" s="405" t="str">
        <f t="shared" si="3"/>
        <v>五</v>
      </c>
      <c r="N7" s="405" t="str">
        <f t="shared" si="3"/>
        <v>六</v>
      </c>
      <c r="O7" s="406" t="str">
        <f t="shared" si="3"/>
        <v>日</v>
      </c>
      <c r="P7" s="405" t="str">
        <f t="shared" si="3"/>
        <v>一</v>
      </c>
      <c r="Q7" s="405" t="str">
        <f t="shared" si="3"/>
        <v>二</v>
      </c>
      <c r="R7" s="405" t="str">
        <f t="shared" si="3"/>
        <v>三</v>
      </c>
      <c r="S7" s="405" t="str">
        <f t="shared" si="3"/>
        <v>四</v>
      </c>
      <c r="T7" s="405" t="str">
        <f t="shared" si="3"/>
        <v>五</v>
      </c>
      <c r="U7" s="405" t="str">
        <f t="shared" si="3"/>
        <v>六</v>
      </c>
      <c r="V7" s="406" t="str">
        <f t="shared" si="3"/>
        <v>日</v>
      </c>
      <c r="W7" s="405" t="str">
        <f t="shared" si="3"/>
        <v>一</v>
      </c>
      <c r="X7" s="405" t="str">
        <f t="shared" si="3"/>
        <v>二</v>
      </c>
      <c r="Y7" s="405" t="str">
        <f t="shared" si="3"/>
        <v>三</v>
      </c>
      <c r="Z7" s="405" t="str">
        <f t="shared" si="3"/>
        <v>四</v>
      </c>
      <c r="AA7" s="405" t="str">
        <f t="shared" si="3"/>
        <v>五</v>
      </c>
      <c r="AB7" s="405" t="str">
        <f t="shared" si="3"/>
        <v>六</v>
      </c>
      <c r="AC7" s="406" t="str">
        <f t="shared" si="3"/>
        <v>日</v>
      </c>
      <c r="AD7" s="405" t="str">
        <f t="shared" si="3"/>
        <v>一</v>
      </c>
      <c r="AE7" s="405" t="str">
        <f t="shared" si="3"/>
        <v>二</v>
      </c>
      <c r="AF7" s="407" t="str">
        <f t="shared" si="3"/>
        <v>三</v>
      </c>
      <c r="AG7" s="405" t="str">
        <f t="shared" si="3"/>
        <v>四</v>
      </c>
      <c r="AH7" s="405" t="str">
        <f t="shared" si="3"/>
        <v>五</v>
      </c>
      <c r="AI7" s="405" t="str">
        <f t="shared" si="3"/>
        <v>六</v>
      </c>
      <c r="AJ7" s="406" t="str">
        <f t="shared" si="3"/>
        <v>日</v>
      </c>
      <c r="AK7" s="405" t="str">
        <f t="shared" si="3"/>
        <v>一</v>
      </c>
      <c r="AL7" s="408" t="str">
        <f t="shared" ref="AL7" si="4">SUBSTITUTE(TEXT(AL6,"aaa"),"週","")</f>
        <v>二</v>
      </c>
      <c r="AM7" s="480"/>
      <c r="AN7" s="482"/>
      <c r="AO7" s="215" t="s">
        <v>23</v>
      </c>
      <c r="AP7" s="137" t="s">
        <v>24</v>
      </c>
      <c r="AQ7" s="137" t="s">
        <v>25</v>
      </c>
      <c r="AR7" s="137" t="s">
        <v>26</v>
      </c>
      <c r="AS7" s="237" t="s">
        <v>27</v>
      </c>
      <c r="AT7" s="352" t="s">
        <v>28</v>
      </c>
      <c r="AU7" s="353" t="s">
        <v>29</v>
      </c>
      <c r="AV7" s="354"/>
      <c r="AW7" s="353" t="s">
        <v>29</v>
      </c>
      <c r="AX7" s="353" t="s">
        <v>29</v>
      </c>
      <c r="AY7" s="355" t="s">
        <v>29</v>
      </c>
      <c r="AZ7" s="353" t="s">
        <v>29</v>
      </c>
      <c r="BA7" s="356" t="s">
        <v>29</v>
      </c>
      <c r="BB7" s="466"/>
    </row>
    <row r="8" spans="2:54" s="240" customFormat="1" ht="30" customHeight="1">
      <c r="B8" s="239" t="s">
        <v>171</v>
      </c>
      <c r="C8" s="255" t="s">
        <v>172</v>
      </c>
      <c r="D8" s="409" t="s">
        <v>173</v>
      </c>
      <c r="E8" s="231" t="s">
        <v>1</v>
      </c>
      <c r="F8" s="233"/>
      <c r="G8" s="271" t="s">
        <v>184</v>
      </c>
      <c r="H8" s="261" t="s">
        <v>9</v>
      </c>
      <c r="I8" s="262">
        <v>8</v>
      </c>
      <c r="J8" s="262">
        <v>8</v>
      </c>
      <c r="K8" s="262">
        <v>8</v>
      </c>
      <c r="L8" s="121" t="s">
        <v>9</v>
      </c>
      <c r="M8" s="262">
        <v>8</v>
      </c>
      <c r="N8" s="262">
        <v>8</v>
      </c>
      <c r="O8" s="262">
        <v>8</v>
      </c>
      <c r="P8" s="262">
        <v>8</v>
      </c>
      <c r="Q8" s="262">
        <v>8</v>
      </c>
      <c r="R8" s="262">
        <v>8</v>
      </c>
      <c r="S8" s="262">
        <v>8</v>
      </c>
      <c r="T8" s="262">
        <v>8</v>
      </c>
      <c r="U8" s="121" t="s">
        <v>9</v>
      </c>
      <c r="V8" s="121" t="s">
        <v>9</v>
      </c>
      <c r="W8" s="262">
        <v>8</v>
      </c>
      <c r="X8" s="262">
        <v>8</v>
      </c>
      <c r="Y8" s="262">
        <v>8</v>
      </c>
      <c r="Z8" s="262">
        <v>8</v>
      </c>
      <c r="AA8" s="262">
        <v>8</v>
      </c>
      <c r="AB8" s="121" t="s">
        <v>9</v>
      </c>
      <c r="AC8" s="121" t="s">
        <v>9</v>
      </c>
      <c r="AD8" s="262">
        <v>8</v>
      </c>
      <c r="AE8" s="262">
        <v>8</v>
      </c>
      <c r="AF8" s="262">
        <v>8</v>
      </c>
      <c r="AG8" s="262">
        <v>8</v>
      </c>
      <c r="AH8" s="262">
        <v>8</v>
      </c>
      <c r="AI8" s="121" t="s">
        <v>9</v>
      </c>
      <c r="AJ8" s="121" t="s">
        <v>9</v>
      </c>
      <c r="AK8" s="262">
        <v>8</v>
      </c>
      <c r="AL8" s="263">
        <v>8</v>
      </c>
      <c r="AM8" s="239">
        <f>COUNT(H8:AL8)</f>
        <v>23</v>
      </c>
      <c r="AN8" s="239">
        <f>SUM(H8:AL8)</f>
        <v>184</v>
      </c>
      <c r="AO8" s="201">
        <f>COUNTIFS($H8:$AL8,$AO$6)</f>
        <v>0</v>
      </c>
      <c r="AP8" s="202">
        <f>COUNTIFS($H8:$AL8,$AP$6)</f>
        <v>8</v>
      </c>
      <c r="AQ8" s="202">
        <f>COUNTIFS($H8:$AL8,$AQ$6)</f>
        <v>0</v>
      </c>
      <c r="AR8" s="202">
        <f>COUNTIFS($H8:$AL8,$AR$6)</f>
        <v>0</v>
      </c>
      <c r="AS8" s="348">
        <f>COUNTIFS($H8:$AL8,$AS$6)</f>
        <v>0</v>
      </c>
      <c r="AT8" s="95">
        <v>9</v>
      </c>
      <c r="AU8" s="70">
        <f>COUNTIF(H8:AL8,"RD")</f>
        <v>8</v>
      </c>
      <c r="AV8" s="70">
        <f>AT8-AU8</f>
        <v>1</v>
      </c>
      <c r="AW8" s="70">
        <f>COUNTIF(H8:AL8,"SH")</f>
        <v>0</v>
      </c>
      <c r="AX8" s="70">
        <f>COUNTIF(H8:AL8,"SL")</f>
        <v>0</v>
      </c>
      <c r="AY8" s="70">
        <f>COUNTIF(H8:AL8,"np")</f>
        <v>0</v>
      </c>
      <c r="AZ8" s="70">
        <f>COUNTIF(H8:AL8,"AL*")</f>
        <v>0</v>
      </c>
      <c r="BA8" s="225">
        <f>COUNTIF(H8:AL8,"NC*")</f>
        <v>0</v>
      </c>
      <c r="BB8" s="349"/>
    </row>
    <row r="9" spans="2:54" s="90" customFormat="1" ht="30" customHeight="1">
      <c r="B9" s="245" t="s">
        <v>174</v>
      </c>
      <c r="C9" s="248" t="s">
        <v>175</v>
      </c>
      <c r="D9" s="274" t="s">
        <v>176</v>
      </c>
      <c r="E9" s="242" t="s">
        <v>1</v>
      </c>
      <c r="F9" s="243"/>
      <c r="G9" s="245" t="s">
        <v>184</v>
      </c>
      <c r="H9" s="264" t="s">
        <v>9</v>
      </c>
      <c r="I9" s="44" t="s">
        <v>9</v>
      </c>
      <c r="J9" s="260">
        <v>8</v>
      </c>
      <c r="K9" s="260">
        <v>8</v>
      </c>
      <c r="L9" s="260">
        <v>8</v>
      </c>
      <c r="M9" s="260">
        <v>8</v>
      </c>
      <c r="N9" s="260">
        <v>8</v>
      </c>
      <c r="O9" s="260">
        <v>8</v>
      </c>
      <c r="P9" s="260">
        <v>8</v>
      </c>
      <c r="Q9" s="260">
        <v>8</v>
      </c>
      <c r="R9" s="260">
        <v>8</v>
      </c>
      <c r="S9" s="260">
        <v>8</v>
      </c>
      <c r="T9" s="260">
        <v>8</v>
      </c>
      <c r="U9" s="44" t="s">
        <v>9</v>
      </c>
      <c r="V9" s="260">
        <v>8</v>
      </c>
      <c r="W9" s="260">
        <v>8</v>
      </c>
      <c r="X9" s="44" t="s">
        <v>9</v>
      </c>
      <c r="Y9" s="260">
        <v>8</v>
      </c>
      <c r="Z9" s="260">
        <v>8</v>
      </c>
      <c r="AA9" s="260">
        <v>8</v>
      </c>
      <c r="AB9" s="260">
        <v>8</v>
      </c>
      <c r="AC9" s="260">
        <v>8</v>
      </c>
      <c r="AD9" s="44" t="s">
        <v>9</v>
      </c>
      <c r="AE9" s="260">
        <v>8</v>
      </c>
      <c r="AF9" s="260">
        <v>8</v>
      </c>
      <c r="AG9" s="260">
        <v>8</v>
      </c>
      <c r="AH9" s="260">
        <v>8</v>
      </c>
      <c r="AI9" s="260">
        <v>8</v>
      </c>
      <c r="AJ9" s="260">
        <v>8</v>
      </c>
      <c r="AK9" s="260">
        <v>8</v>
      </c>
      <c r="AL9" s="265">
        <v>8</v>
      </c>
      <c r="AM9" s="245">
        <f t="shared" ref="AM9" si="5">COUNT(H9:AL9)</f>
        <v>26</v>
      </c>
      <c r="AN9" s="245">
        <f t="shared" ref="AN9" si="6">SUM(H9:AL9)</f>
        <v>208</v>
      </c>
      <c r="AO9" s="181">
        <f>COUNTIFS($H9:$AL9,$AO$6)</f>
        <v>0</v>
      </c>
      <c r="AP9" s="63">
        <f>COUNTIFS($H9:$AL9,$AP$6)</f>
        <v>5</v>
      </c>
      <c r="AQ9" s="63">
        <f>COUNTIFS($H9:$AL9,$AQ$6)</f>
        <v>0</v>
      </c>
      <c r="AR9" s="63">
        <f>COUNTIFS($H9:$AL9,$AR$6)</f>
        <v>0</v>
      </c>
      <c r="AS9" s="182">
        <f>COUNTIFS($H9:$AL9,$AS$6)</f>
        <v>0</v>
      </c>
      <c r="AT9" s="181">
        <v>5</v>
      </c>
      <c r="AU9" s="221">
        <f>COUNTIF(H9:AL9,"RD")</f>
        <v>5</v>
      </c>
      <c r="AV9" s="221">
        <f t="shared" ref="AV9" si="7">AT9-AU9</f>
        <v>0</v>
      </c>
      <c r="AW9" s="221">
        <f>COUNTIF(H9:AL9,"SH")</f>
        <v>0</v>
      </c>
      <c r="AX9" s="221">
        <f>COUNTIF(H9:AL9,"SL")</f>
        <v>0</v>
      </c>
      <c r="AY9" s="221">
        <f>COUNTIF(H9:AL9,"np")</f>
        <v>0</v>
      </c>
      <c r="AZ9" s="221">
        <f>COUNTIF(H9:AL9,"AL*")</f>
        <v>0</v>
      </c>
      <c r="BA9" s="272">
        <f>COUNTIF(H9:AL9,"NC*")</f>
        <v>0</v>
      </c>
      <c r="BB9" s="350"/>
    </row>
    <row r="10" spans="2:54" s="90" customFormat="1" ht="30" customHeight="1">
      <c r="B10" s="245" t="s">
        <v>177</v>
      </c>
      <c r="C10" s="284" t="s">
        <v>178</v>
      </c>
      <c r="D10" s="337" t="s">
        <v>179</v>
      </c>
      <c r="E10" s="242" t="s">
        <v>1</v>
      </c>
      <c r="F10" s="243"/>
      <c r="G10" s="245" t="s">
        <v>184</v>
      </c>
      <c r="H10" s="266">
        <v>8</v>
      </c>
      <c r="I10" s="260">
        <v>8</v>
      </c>
      <c r="J10" s="44" t="s">
        <v>9</v>
      </c>
      <c r="K10" s="260" t="s">
        <v>391</v>
      </c>
      <c r="L10" s="260">
        <v>8</v>
      </c>
      <c r="M10" s="260" t="s">
        <v>391</v>
      </c>
      <c r="N10" s="260" t="s">
        <v>391</v>
      </c>
      <c r="O10" s="44" t="s">
        <v>9</v>
      </c>
      <c r="P10" s="260" t="s">
        <v>391</v>
      </c>
      <c r="Q10" s="260" t="s">
        <v>391</v>
      </c>
      <c r="R10" s="260" t="s">
        <v>391</v>
      </c>
      <c r="S10" s="260" t="s">
        <v>391</v>
      </c>
      <c r="T10" s="44" t="s">
        <v>9</v>
      </c>
      <c r="U10" s="260">
        <v>8</v>
      </c>
      <c r="V10" s="260">
        <v>8</v>
      </c>
      <c r="W10" s="260" t="s">
        <v>391</v>
      </c>
      <c r="X10" s="260">
        <v>8</v>
      </c>
      <c r="Y10" s="260" t="s">
        <v>391</v>
      </c>
      <c r="Z10" s="44" t="s">
        <v>9</v>
      </c>
      <c r="AA10" s="260" t="s">
        <v>391</v>
      </c>
      <c r="AB10" s="260">
        <v>8</v>
      </c>
      <c r="AC10" s="260">
        <v>8</v>
      </c>
      <c r="AD10" s="260">
        <v>8</v>
      </c>
      <c r="AE10" s="260" t="s">
        <v>391</v>
      </c>
      <c r="AF10" s="260" t="s">
        <v>391</v>
      </c>
      <c r="AG10" s="260" t="s">
        <v>391</v>
      </c>
      <c r="AH10" s="260" t="s">
        <v>391</v>
      </c>
      <c r="AI10" s="44" t="s">
        <v>9</v>
      </c>
      <c r="AJ10" s="260">
        <v>8</v>
      </c>
      <c r="AK10" s="260" t="s">
        <v>391</v>
      </c>
      <c r="AL10" s="265" t="s">
        <v>391</v>
      </c>
      <c r="AM10" s="245">
        <f t="shared" ref="AM10" si="8">COUNT(H10:AL10)</f>
        <v>10</v>
      </c>
      <c r="AN10" s="245">
        <f t="shared" ref="AN10" si="9">SUM(H10:AL10)</f>
        <v>80</v>
      </c>
      <c r="AO10" s="181"/>
      <c r="AP10" s="63"/>
      <c r="AQ10" s="63"/>
      <c r="AR10" s="63"/>
      <c r="AS10" s="182"/>
      <c r="AT10" s="181"/>
      <c r="AU10" s="221"/>
      <c r="AV10" s="221"/>
      <c r="AW10" s="221"/>
      <c r="AX10" s="221"/>
      <c r="AY10" s="221">
        <f t="shared" ref="AY10" si="10">COUNTIF(H10:AL10,"np")</f>
        <v>0</v>
      </c>
      <c r="AZ10" s="221">
        <f t="shared" ref="AZ10" si="11">COUNTIF(H10:AL10,"AL*")</f>
        <v>0</v>
      </c>
      <c r="BA10" s="272">
        <f t="shared" ref="BA10" si="12">COUNTIF(H10:AL10,"NC*")</f>
        <v>0</v>
      </c>
      <c r="BB10" s="350"/>
    </row>
    <row r="11" spans="2:54" s="90" customFormat="1" ht="30" customHeight="1" thickBot="1">
      <c r="B11" s="279" t="s">
        <v>180</v>
      </c>
      <c r="C11" s="253" t="s">
        <v>404</v>
      </c>
      <c r="D11" s="370" t="s">
        <v>405</v>
      </c>
      <c r="E11" s="247" t="s">
        <v>1</v>
      </c>
      <c r="F11" s="250"/>
      <c r="G11" s="278" t="s">
        <v>184</v>
      </c>
      <c r="H11" s="267">
        <v>8</v>
      </c>
      <c r="I11" s="269" t="s">
        <v>9</v>
      </c>
      <c r="J11" s="268" t="s">
        <v>391</v>
      </c>
      <c r="K11" s="268" t="s">
        <v>391</v>
      </c>
      <c r="L11" s="268" t="s">
        <v>391</v>
      </c>
      <c r="M11" s="268" t="s">
        <v>391</v>
      </c>
      <c r="N11" s="269" t="s">
        <v>9</v>
      </c>
      <c r="O11" s="268" t="s">
        <v>391</v>
      </c>
      <c r="P11" s="268" t="s">
        <v>391</v>
      </c>
      <c r="Q11" s="268" t="s">
        <v>391</v>
      </c>
      <c r="R11" s="268" t="s">
        <v>391</v>
      </c>
      <c r="S11" s="268" t="s">
        <v>391</v>
      </c>
      <c r="T11" s="268" t="s">
        <v>391</v>
      </c>
      <c r="U11" s="268">
        <v>8</v>
      </c>
      <c r="V11" s="268" t="s">
        <v>391</v>
      </c>
      <c r="W11" s="269" t="s">
        <v>9</v>
      </c>
      <c r="X11" s="268" t="s">
        <v>391</v>
      </c>
      <c r="Y11" s="268" t="s">
        <v>391</v>
      </c>
      <c r="Z11" s="268" t="s">
        <v>391</v>
      </c>
      <c r="AA11" s="268" t="s">
        <v>391</v>
      </c>
      <c r="AB11" s="268" t="s">
        <v>391</v>
      </c>
      <c r="AC11" s="268" t="s">
        <v>391</v>
      </c>
      <c r="AD11" s="269" t="s">
        <v>9</v>
      </c>
      <c r="AE11" s="268" t="s">
        <v>391</v>
      </c>
      <c r="AF11" s="268" t="s">
        <v>391</v>
      </c>
      <c r="AG11" s="268" t="s">
        <v>391</v>
      </c>
      <c r="AH11" s="268" t="s">
        <v>391</v>
      </c>
      <c r="AI11" s="268">
        <v>8</v>
      </c>
      <c r="AJ11" s="268" t="s">
        <v>391</v>
      </c>
      <c r="AK11" s="268" t="s">
        <v>391</v>
      </c>
      <c r="AL11" s="326" t="s">
        <v>9</v>
      </c>
      <c r="AM11" s="245">
        <f>COUNT(H11:AL11)</f>
        <v>3</v>
      </c>
      <c r="AN11" s="245">
        <f>SUM(H11:AL11)</f>
        <v>24</v>
      </c>
      <c r="AO11" s="215"/>
      <c r="AP11" s="137"/>
      <c r="AQ11" s="137"/>
      <c r="AR11" s="137"/>
      <c r="AS11" s="138"/>
      <c r="AT11" s="215"/>
      <c r="AU11" s="72"/>
      <c r="AV11" s="72"/>
      <c r="AW11" s="72"/>
      <c r="AX11" s="72"/>
      <c r="AY11" s="72">
        <f>COUNTIF(H11:AL11,"np")</f>
        <v>0</v>
      </c>
      <c r="AZ11" s="72">
        <f>COUNTIF(H11:AL11,"AL*")</f>
        <v>0</v>
      </c>
      <c r="BA11" s="276">
        <f>COUNTIF(H11:AL11,"NC*")</f>
        <v>0</v>
      </c>
      <c r="BB11" s="351"/>
    </row>
    <row r="12" spans="2:54" ht="30" customHeight="1" thickBot="1">
      <c r="B12" s="2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47">
        <f>SUM(AM8:AM11)</f>
        <v>62</v>
      </c>
      <c r="AN12" s="49">
        <f>SUM(AN8:AN11)</f>
        <v>496</v>
      </c>
      <c r="AO12" s="40"/>
      <c r="AP12" s="40"/>
      <c r="AQ12" s="40"/>
      <c r="AR12" s="40"/>
      <c r="AS12" s="40"/>
      <c r="AT12" s="75"/>
      <c r="AU12" s="69"/>
      <c r="AV12" s="69"/>
      <c r="AW12" s="69"/>
      <c r="AX12" s="69"/>
      <c r="AY12" s="69"/>
      <c r="AZ12" s="69"/>
      <c r="BA12" s="69"/>
      <c r="BB12" s="78"/>
    </row>
    <row r="13" spans="2:54" ht="11.25" customHeight="1">
      <c r="B13" s="2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O13" s="40"/>
      <c r="AP13" s="40"/>
      <c r="AQ13" s="40"/>
      <c r="AR13" s="40"/>
      <c r="AS13" s="40"/>
      <c r="AT13" s="75"/>
      <c r="AU13" s="69"/>
      <c r="AV13" s="69"/>
      <c r="AW13" s="69"/>
      <c r="AX13" s="69"/>
      <c r="AY13" s="69"/>
      <c r="AZ13" s="69"/>
      <c r="BA13" s="69"/>
      <c r="BB13" s="78"/>
    </row>
    <row r="14" spans="2:54" ht="21.95" customHeight="1" thickBot="1">
      <c r="AM14" s="2" t="s">
        <v>45</v>
      </c>
      <c r="AN14" s="2" t="s">
        <v>46</v>
      </c>
    </row>
    <row r="15" spans="2:54" ht="21.95" customHeight="1">
      <c r="B15" s="7" t="s">
        <v>47</v>
      </c>
      <c r="C15" s="7"/>
      <c r="D15" s="7"/>
      <c r="E15" s="8"/>
      <c r="F15" s="8"/>
      <c r="G15" s="280" t="s">
        <v>1</v>
      </c>
      <c r="H15" s="33">
        <f t="shared" ref="H15:AL15" si="13">COUNT(H8:H11)</f>
        <v>2</v>
      </c>
      <c r="I15" s="34">
        <f t="shared" si="13"/>
        <v>2</v>
      </c>
      <c r="J15" s="34">
        <f t="shared" si="13"/>
        <v>2</v>
      </c>
      <c r="K15" s="34">
        <f t="shared" si="13"/>
        <v>2</v>
      </c>
      <c r="L15" s="34">
        <f t="shared" si="13"/>
        <v>2</v>
      </c>
      <c r="M15" s="34">
        <f t="shared" si="13"/>
        <v>2</v>
      </c>
      <c r="N15" s="34">
        <f t="shared" si="13"/>
        <v>2</v>
      </c>
      <c r="O15" s="34">
        <f t="shared" si="13"/>
        <v>2</v>
      </c>
      <c r="P15" s="34">
        <f t="shared" si="13"/>
        <v>2</v>
      </c>
      <c r="Q15" s="34">
        <f t="shared" si="13"/>
        <v>2</v>
      </c>
      <c r="R15" s="34">
        <f t="shared" si="13"/>
        <v>2</v>
      </c>
      <c r="S15" s="34">
        <f t="shared" si="13"/>
        <v>2</v>
      </c>
      <c r="T15" s="34">
        <f t="shared" si="13"/>
        <v>2</v>
      </c>
      <c r="U15" s="34">
        <f t="shared" si="13"/>
        <v>2</v>
      </c>
      <c r="V15" s="34">
        <f t="shared" si="13"/>
        <v>2</v>
      </c>
      <c r="W15" s="34">
        <f t="shared" si="13"/>
        <v>2</v>
      </c>
      <c r="X15" s="34">
        <f t="shared" si="13"/>
        <v>2</v>
      </c>
      <c r="Y15" s="34">
        <f t="shared" si="13"/>
        <v>2</v>
      </c>
      <c r="Z15" s="34">
        <f t="shared" si="13"/>
        <v>2</v>
      </c>
      <c r="AA15" s="34">
        <f t="shared" si="13"/>
        <v>2</v>
      </c>
      <c r="AB15" s="34">
        <f t="shared" si="13"/>
        <v>2</v>
      </c>
      <c r="AC15" s="34">
        <f t="shared" si="13"/>
        <v>2</v>
      </c>
      <c r="AD15" s="34">
        <f t="shared" si="13"/>
        <v>2</v>
      </c>
      <c r="AE15" s="34">
        <f t="shared" si="13"/>
        <v>2</v>
      </c>
      <c r="AF15" s="34">
        <f t="shared" si="13"/>
        <v>2</v>
      </c>
      <c r="AG15" s="34">
        <f t="shared" si="13"/>
        <v>2</v>
      </c>
      <c r="AH15" s="34">
        <f t="shared" si="13"/>
        <v>2</v>
      </c>
      <c r="AI15" s="34">
        <f t="shared" si="13"/>
        <v>2</v>
      </c>
      <c r="AJ15" s="34">
        <f t="shared" si="13"/>
        <v>2</v>
      </c>
      <c r="AK15" s="34">
        <f t="shared" si="13"/>
        <v>2</v>
      </c>
      <c r="AL15" s="110">
        <f t="shared" si="13"/>
        <v>2</v>
      </c>
      <c r="AM15" s="50">
        <f>SUM(H15:AL15)</f>
        <v>62</v>
      </c>
      <c r="AN15" s="50">
        <f>AM15*8</f>
        <v>496</v>
      </c>
    </row>
    <row r="16" spans="2:54" ht="21.95" customHeight="1">
      <c r="B16" s="11" t="s">
        <v>48</v>
      </c>
      <c r="C16" s="11"/>
      <c r="D16" s="11"/>
      <c r="E16" s="12"/>
      <c r="F16" s="12"/>
      <c r="G16" s="281"/>
      <c r="H16" s="35">
        <v>2</v>
      </c>
      <c r="I16" s="36">
        <v>2</v>
      </c>
      <c r="J16" s="36">
        <v>2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T16" s="36">
        <v>2</v>
      </c>
      <c r="U16" s="36">
        <v>2</v>
      </c>
      <c r="V16" s="36">
        <v>2</v>
      </c>
      <c r="W16" s="36">
        <v>2</v>
      </c>
      <c r="X16" s="36">
        <v>2</v>
      </c>
      <c r="Y16" s="36">
        <v>2</v>
      </c>
      <c r="Z16" s="36">
        <v>2</v>
      </c>
      <c r="AA16" s="36">
        <v>2</v>
      </c>
      <c r="AB16" s="36">
        <v>2</v>
      </c>
      <c r="AC16" s="36">
        <v>2</v>
      </c>
      <c r="AD16" s="36">
        <v>2</v>
      </c>
      <c r="AE16" s="36">
        <v>2</v>
      </c>
      <c r="AF16" s="36">
        <v>2</v>
      </c>
      <c r="AG16" s="36">
        <v>2</v>
      </c>
      <c r="AH16" s="36">
        <v>2</v>
      </c>
      <c r="AI16" s="36">
        <v>2</v>
      </c>
      <c r="AJ16" s="36">
        <v>2</v>
      </c>
      <c r="AK16" s="36">
        <v>2</v>
      </c>
      <c r="AL16" s="111">
        <v>2</v>
      </c>
      <c r="AM16" s="51">
        <f t="shared" ref="AM16" si="14">SUM(H16:AL16)</f>
        <v>62</v>
      </c>
      <c r="AN16" s="51">
        <f t="shared" ref="AN16" si="15">AM16*8</f>
        <v>496</v>
      </c>
    </row>
    <row r="17" spans="1:55" ht="21.95" customHeight="1" thickBot="1">
      <c r="B17" s="15" t="s">
        <v>49</v>
      </c>
      <c r="C17" s="15"/>
      <c r="D17" s="15"/>
      <c r="E17" s="16"/>
      <c r="F17" s="16"/>
      <c r="G17" s="282"/>
      <c r="H17" s="37">
        <f t="shared" ref="H17" si="16">IF((H15-H16)&lt;0,H15-H16,0)</f>
        <v>0</v>
      </c>
      <c r="I17" s="38">
        <f t="shared" ref="I17:AK17" si="17">IF((I15-I16)&lt;0,I15-I16,0)</f>
        <v>0</v>
      </c>
      <c r="J17" s="38">
        <f t="shared" si="17"/>
        <v>0</v>
      </c>
      <c r="K17" s="38">
        <f t="shared" si="17"/>
        <v>0</v>
      </c>
      <c r="L17" s="38">
        <f t="shared" si="17"/>
        <v>0</v>
      </c>
      <c r="M17" s="38">
        <f t="shared" si="17"/>
        <v>0</v>
      </c>
      <c r="N17" s="38">
        <f t="shared" si="17"/>
        <v>0</v>
      </c>
      <c r="O17" s="38">
        <f t="shared" si="17"/>
        <v>0</v>
      </c>
      <c r="P17" s="38">
        <f t="shared" si="17"/>
        <v>0</v>
      </c>
      <c r="Q17" s="38">
        <f t="shared" si="17"/>
        <v>0</v>
      </c>
      <c r="R17" s="38">
        <f t="shared" si="17"/>
        <v>0</v>
      </c>
      <c r="S17" s="38">
        <f t="shared" si="17"/>
        <v>0</v>
      </c>
      <c r="T17" s="38">
        <f t="shared" si="17"/>
        <v>0</v>
      </c>
      <c r="U17" s="38">
        <f t="shared" si="17"/>
        <v>0</v>
      </c>
      <c r="V17" s="38">
        <f t="shared" si="17"/>
        <v>0</v>
      </c>
      <c r="W17" s="38">
        <f t="shared" si="17"/>
        <v>0</v>
      </c>
      <c r="X17" s="38">
        <f t="shared" si="17"/>
        <v>0</v>
      </c>
      <c r="Y17" s="38">
        <f t="shared" si="17"/>
        <v>0</v>
      </c>
      <c r="Z17" s="38">
        <f t="shared" si="17"/>
        <v>0</v>
      </c>
      <c r="AA17" s="38">
        <f t="shared" si="17"/>
        <v>0</v>
      </c>
      <c r="AB17" s="38">
        <f t="shared" si="17"/>
        <v>0</v>
      </c>
      <c r="AC17" s="38">
        <f t="shared" si="17"/>
        <v>0</v>
      </c>
      <c r="AD17" s="38">
        <f t="shared" si="17"/>
        <v>0</v>
      </c>
      <c r="AE17" s="38">
        <f t="shared" si="17"/>
        <v>0</v>
      </c>
      <c r="AF17" s="38">
        <f t="shared" si="17"/>
        <v>0</v>
      </c>
      <c r="AG17" s="38">
        <f t="shared" si="17"/>
        <v>0</v>
      </c>
      <c r="AH17" s="38">
        <f t="shared" si="17"/>
        <v>0</v>
      </c>
      <c r="AI17" s="38">
        <f t="shared" si="17"/>
        <v>0</v>
      </c>
      <c r="AJ17" s="38">
        <f t="shared" si="17"/>
        <v>0</v>
      </c>
      <c r="AK17" s="38">
        <f t="shared" si="17"/>
        <v>0</v>
      </c>
      <c r="AL17" s="127">
        <f t="shared" ref="AL17" si="18">IF((AL15-AL16)&lt;0,AL15-AL16,0)</f>
        <v>0</v>
      </c>
      <c r="AM17" s="428">
        <f>SUM(H17:AL17)</f>
        <v>0</v>
      </c>
      <c r="AN17" s="52">
        <f>AM17*8</f>
        <v>0</v>
      </c>
    </row>
    <row r="18" spans="1:55" ht="21.95" customHeight="1">
      <c r="B18" s="5"/>
      <c r="C18" s="5"/>
      <c r="D18" s="5"/>
      <c r="E18" s="5"/>
      <c r="F18" s="5"/>
      <c r="G18" s="5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T18" s="65"/>
      <c r="AU18" s="66"/>
      <c r="AV18" s="74"/>
      <c r="AW18" s="66"/>
      <c r="AX18" s="75"/>
      <c r="AY18" s="66"/>
      <c r="AZ18" s="66"/>
      <c r="BA18" s="66"/>
      <c r="BB18" s="467"/>
    </row>
    <row r="19" spans="1:55" ht="21.95" customHeight="1" thickBot="1">
      <c r="B19" s="6" t="s">
        <v>50</v>
      </c>
      <c r="C19" s="5"/>
      <c r="D19" s="5"/>
      <c r="E19" s="5"/>
      <c r="F19" s="5"/>
      <c r="G19" s="5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T19" s="96"/>
      <c r="AU19" s="97"/>
      <c r="AV19" s="69"/>
      <c r="AW19" s="97"/>
      <c r="AX19" s="97"/>
      <c r="AY19" s="66"/>
      <c r="AZ19" s="66"/>
      <c r="BA19" s="66"/>
      <c r="BB19" s="467"/>
    </row>
    <row r="20" spans="1:55" s="90" customFormat="1" ht="30" customHeight="1" thickBot="1">
      <c r="B20" s="271" t="s">
        <v>177</v>
      </c>
      <c r="C20" s="412" t="s">
        <v>178</v>
      </c>
      <c r="D20" s="400" t="s">
        <v>179</v>
      </c>
      <c r="E20" s="413" t="s">
        <v>1</v>
      </c>
      <c r="F20" s="233"/>
      <c r="G20" s="271" t="s">
        <v>184</v>
      </c>
      <c r="H20" s="339" t="s">
        <v>392</v>
      </c>
      <c r="I20" s="262" t="s">
        <v>392</v>
      </c>
      <c r="J20" s="121" t="s">
        <v>9</v>
      </c>
      <c r="K20" s="290">
        <v>8</v>
      </c>
      <c r="L20" s="262" t="s">
        <v>392</v>
      </c>
      <c r="M20" s="290">
        <v>8</v>
      </c>
      <c r="N20" s="290">
        <v>8</v>
      </c>
      <c r="O20" s="121" t="s">
        <v>9</v>
      </c>
      <c r="P20" s="290">
        <v>8</v>
      </c>
      <c r="Q20" s="290">
        <v>8</v>
      </c>
      <c r="R20" s="290">
        <v>8</v>
      </c>
      <c r="S20" s="290">
        <v>8</v>
      </c>
      <c r="T20" s="121" t="s">
        <v>9</v>
      </c>
      <c r="U20" s="262" t="s">
        <v>392</v>
      </c>
      <c r="V20" s="262" t="s">
        <v>392</v>
      </c>
      <c r="W20" s="262">
        <v>8</v>
      </c>
      <c r="X20" s="262" t="s">
        <v>392</v>
      </c>
      <c r="Y20" s="262">
        <v>8</v>
      </c>
      <c r="Z20" s="121" t="s">
        <v>9</v>
      </c>
      <c r="AA20" s="262">
        <v>8</v>
      </c>
      <c r="AB20" s="262" t="s">
        <v>392</v>
      </c>
      <c r="AC20" s="262" t="s">
        <v>392</v>
      </c>
      <c r="AD20" s="262" t="s">
        <v>392</v>
      </c>
      <c r="AE20" s="262">
        <v>8</v>
      </c>
      <c r="AF20" s="290">
        <v>8</v>
      </c>
      <c r="AG20" s="290">
        <v>8</v>
      </c>
      <c r="AH20" s="290">
        <v>8</v>
      </c>
      <c r="AI20" s="121" t="s">
        <v>9</v>
      </c>
      <c r="AJ20" s="262" t="s">
        <v>392</v>
      </c>
      <c r="AK20" s="262">
        <v>8</v>
      </c>
      <c r="AL20" s="263">
        <v>8</v>
      </c>
      <c r="AM20" s="246">
        <f t="shared" ref="AM20" si="19">COUNT(H20:AL20)</f>
        <v>16</v>
      </c>
      <c r="AN20" s="271">
        <f t="shared" ref="AN20" si="20">SUM(H20:AL20)</f>
        <v>128</v>
      </c>
      <c r="AO20" s="98">
        <f>COUNTIFS($H20:$AL20,$AO$6)</f>
        <v>0</v>
      </c>
      <c r="AP20" s="98">
        <f>COUNTIFS($H20:$AL20,$AP$6)</f>
        <v>5</v>
      </c>
      <c r="AQ20" s="98">
        <f>COUNTIFS($H20:$AL20,$AQ$6)</f>
        <v>0</v>
      </c>
      <c r="AR20" s="98">
        <f>COUNTIFS($H20:$AL20,$AR$6)</f>
        <v>0</v>
      </c>
      <c r="AS20" s="98">
        <f>COUNTIFS($H20:$AL20,$AS$6)</f>
        <v>0</v>
      </c>
      <c r="AT20" s="62">
        <v>5</v>
      </c>
      <c r="AU20" s="70">
        <f>COUNTIF(H20:AL20,"RD")</f>
        <v>5</v>
      </c>
      <c r="AV20" s="70">
        <f>AT20-AU20</f>
        <v>0</v>
      </c>
      <c r="AW20" s="70">
        <f>COUNTIF(H20:AL20,"SH")</f>
        <v>0</v>
      </c>
      <c r="AX20" s="70">
        <f t="shared" ref="AX20" si="21">AV20-AW20</f>
        <v>0</v>
      </c>
      <c r="AY20" s="70">
        <f t="shared" ref="AY20" si="22">COUNTIF(H20:AL20,"np")</f>
        <v>0</v>
      </c>
      <c r="AZ20" s="70">
        <f t="shared" ref="AZ20" si="23">COUNTIF(H20:AL20,"AL*")</f>
        <v>0</v>
      </c>
      <c r="BA20" s="70">
        <f t="shared" ref="BA20" si="24">COUNTIF(H20:AL20,"NC*")</f>
        <v>0</v>
      </c>
      <c r="BB20" s="76"/>
    </row>
    <row r="21" spans="1:55" s="270" customFormat="1" ht="30" customHeight="1">
      <c r="B21" s="410" t="s">
        <v>180</v>
      </c>
      <c r="C21" s="284" t="s">
        <v>404</v>
      </c>
      <c r="D21" s="401" t="s">
        <v>405</v>
      </c>
      <c r="E21" s="271" t="s">
        <v>40</v>
      </c>
      <c r="F21" s="246"/>
      <c r="G21" s="245" t="s">
        <v>184</v>
      </c>
      <c r="H21" s="266" t="s">
        <v>392</v>
      </c>
      <c r="I21" s="44" t="s">
        <v>9</v>
      </c>
      <c r="J21" s="260">
        <v>8</v>
      </c>
      <c r="K21" s="273">
        <v>8</v>
      </c>
      <c r="L21" s="273">
        <v>8</v>
      </c>
      <c r="M21" s="273">
        <v>8</v>
      </c>
      <c r="N21" s="44" t="s">
        <v>9</v>
      </c>
      <c r="O21" s="260">
        <v>8</v>
      </c>
      <c r="P21" s="273">
        <v>8</v>
      </c>
      <c r="Q21" s="273">
        <v>8</v>
      </c>
      <c r="R21" s="273">
        <v>8</v>
      </c>
      <c r="S21" s="273">
        <v>8</v>
      </c>
      <c r="T21" s="260">
        <v>8</v>
      </c>
      <c r="U21" s="260" t="s">
        <v>392</v>
      </c>
      <c r="V21" s="273">
        <v>8</v>
      </c>
      <c r="W21" s="44" t="s">
        <v>9</v>
      </c>
      <c r="X21" s="260">
        <v>8</v>
      </c>
      <c r="Y21" s="273">
        <v>8</v>
      </c>
      <c r="Z21" s="260">
        <v>8</v>
      </c>
      <c r="AA21" s="273">
        <v>8</v>
      </c>
      <c r="AB21" s="273">
        <v>8</v>
      </c>
      <c r="AC21" s="273">
        <v>8</v>
      </c>
      <c r="AD21" s="44" t="s">
        <v>9</v>
      </c>
      <c r="AE21" s="273">
        <v>8</v>
      </c>
      <c r="AF21" s="273">
        <v>8</v>
      </c>
      <c r="AG21" s="273">
        <v>8</v>
      </c>
      <c r="AH21" s="273">
        <v>8</v>
      </c>
      <c r="AI21" s="260" t="s">
        <v>392</v>
      </c>
      <c r="AJ21" s="273">
        <v>8</v>
      </c>
      <c r="AK21" s="273">
        <v>8</v>
      </c>
      <c r="AL21" s="340" t="s">
        <v>9</v>
      </c>
      <c r="AM21" s="299">
        <f>COUNT(H21:AL21)</f>
        <v>23</v>
      </c>
      <c r="AN21" s="414">
        <f>SUM(H21:AL21)</f>
        <v>184</v>
      </c>
      <c r="AO21" s="181">
        <f t="shared" ref="AO21" si="25">COUNTIFS($H21:$AL21,$AO$6)</f>
        <v>0</v>
      </c>
      <c r="AP21" s="63">
        <f>COUNTIFS($H21:$AL21,$AP$6)</f>
        <v>5</v>
      </c>
      <c r="AQ21" s="63">
        <f>COUNTIFS($H21:$AL21,$AQ$6)</f>
        <v>0</v>
      </c>
      <c r="AR21" s="63">
        <f t="shared" ref="AR21" si="26">COUNTIFS($H21:$AL21,$AR$6)</f>
        <v>0</v>
      </c>
      <c r="AS21" s="63">
        <f t="shared" ref="AS21" si="27">COUNTIFS($H21:$AL21,$AS$6)</f>
        <v>0</v>
      </c>
      <c r="AT21" s="63">
        <v>5</v>
      </c>
      <c r="AU21" s="221">
        <f>COUNTIF(H21:AL21,"RD")</f>
        <v>5</v>
      </c>
      <c r="AV21" s="221">
        <f>AT21-AU21</f>
        <v>0</v>
      </c>
      <c r="AW21" s="221">
        <f t="shared" ref="AW21" si="28">COUNTIF(H21:AL21,"SH")</f>
        <v>0</v>
      </c>
      <c r="AX21" s="221">
        <f t="shared" ref="AX21" si="29">COUNTIF(H21:AL21,"SL")</f>
        <v>0</v>
      </c>
      <c r="AY21" s="221">
        <f t="shared" ref="AY21" si="30">COUNTIF(H21:AL21,"np")</f>
        <v>0</v>
      </c>
      <c r="AZ21" s="221">
        <f t="shared" ref="AZ21" si="31">COUNTIF(H21:AL21,"AL*")</f>
        <v>0</v>
      </c>
      <c r="BA21" s="221">
        <f t="shared" ref="BA21" si="32">COUNTIF(H21:AL21,"NC*")</f>
        <v>0</v>
      </c>
      <c r="BB21" s="77"/>
    </row>
    <row r="22" spans="1:55" s="270" customFormat="1" ht="30" customHeight="1">
      <c r="B22" s="410" t="s">
        <v>181</v>
      </c>
      <c r="C22" s="248" t="s">
        <v>280</v>
      </c>
      <c r="D22" s="346" t="s">
        <v>281</v>
      </c>
      <c r="E22" s="245" t="s">
        <v>40</v>
      </c>
      <c r="F22" s="241" t="s">
        <v>183</v>
      </c>
      <c r="G22" s="245" t="s">
        <v>184</v>
      </c>
      <c r="H22" s="341">
        <v>8</v>
      </c>
      <c r="I22" s="273">
        <v>8</v>
      </c>
      <c r="J22" s="273">
        <v>8</v>
      </c>
      <c r="K22" s="273">
        <v>8</v>
      </c>
      <c r="L22" s="273">
        <v>8</v>
      </c>
      <c r="M22" s="44" t="s">
        <v>9</v>
      </c>
      <c r="N22" s="273">
        <v>8</v>
      </c>
      <c r="O22" s="273">
        <v>8</v>
      </c>
      <c r="P22" s="273">
        <v>8</v>
      </c>
      <c r="Q22" s="273">
        <v>8</v>
      </c>
      <c r="R22" s="273">
        <v>8</v>
      </c>
      <c r="S22" s="273">
        <v>8</v>
      </c>
      <c r="T22" s="273">
        <v>8</v>
      </c>
      <c r="U22" s="44" t="s">
        <v>9</v>
      </c>
      <c r="V22" s="44" t="s">
        <v>9</v>
      </c>
      <c r="W22" s="273">
        <v>8</v>
      </c>
      <c r="X22" s="273">
        <v>8</v>
      </c>
      <c r="Y22" s="273">
        <v>8</v>
      </c>
      <c r="Z22" s="44" t="s">
        <v>9</v>
      </c>
      <c r="AA22" s="273">
        <v>8</v>
      </c>
      <c r="AB22" s="273">
        <v>8</v>
      </c>
      <c r="AC22" s="273">
        <v>8</v>
      </c>
      <c r="AD22" s="273">
        <v>8</v>
      </c>
      <c r="AE22" s="273">
        <v>8</v>
      </c>
      <c r="AF22" s="44" t="s">
        <v>9</v>
      </c>
      <c r="AG22" s="273">
        <v>8</v>
      </c>
      <c r="AH22" s="273">
        <v>8</v>
      </c>
      <c r="AI22" s="273">
        <v>8</v>
      </c>
      <c r="AJ22" s="273">
        <v>8</v>
      </c>
      <c r="AK22" s="273">
        <v>8</v>
      </c>
      <c r="AL22" s="342">
        <v>8</v>
      </c>
      <c r="AM22" s="241">
        <f t="shared" ref="AM22:AM57" si="33">COUNT(H22:AL22)</f>
        <v>26</v>
      </c>
      <c r="AN22" s="245">
        <f t="shared" ref="AN22:AN57" si="34">SUM(H22:AL22)</f>
        <v>208</v>
      </c>
      <c r="AO22" s="181">
        <f t="shared" ref="AO22:AO57" si="35">COUNTIFS($H22:$AL22,$AO$6)</f>
        <v>0</v>
      </c>
      <c r="AP22" s="63">
        <f t="shared" ref="AP22:AP57" si="36">COUNTIFS($H22:$AL22,$AP$6)</f>
        <v>5</v>
      </c>
      <c r="AQ22" s="63">
        <f t="shared" ref="AQ22:AQ57" si="37">COUNTIFS($H22:$AL22,$AQ$6)</f>
        <v>0</v>
      </c>
      <c r="AR22" s="63">
        <f t="shared" ref="AR22:AR57" si="38">COUNTIFS($H22:$AL22,$AR$6)</f>
        <v>0</v>
      </c>
      <c r="AS22" s="63">
        <f t="shared" ref="AS22:AS57" si="39">COUNTIFS($H22:$AL22,$AS$6)</f>
        <v>0</v>
      </c>
      <c r="AT22" s="63">
        <v>5</v>
      </c>
      <c r="AU22" s="221">
        <f t="shared" ref="AU22:AU38" si="40">COUNTIF(H22:AL22,"RD")</f>
        <v>5</v>
      </c>
      <c r="AV22" s="221">
        <f t="shared" ref="AV22:AV57" si="41">AT22-AU22</f>
        <v>0</v>
      </c>
      <c r="AW22" s="221">
        <f t="shared" ref="AW22:AW57" si="42">COUNTIF(H22:AL22,"SH")</f>
        <v>0</v>
      </c>
      <c r="AX22" s="221">
        <f t="shared" ref="AX22:AX57" si="43">COUNTIF(H22:AL22,"SL")</f>
        <v>0</v>
      </c>
      <c r="AY22" s="221">
        <f t="shared" ref="AY22:AY57" si="44">COUNTIF(H22:AL22,"np")</f>
        <v>0</v>
      </c>
      <c r="AZ22" s="221">
        <f t="shared" ref="AZ22:AZ57" si="45">COUNTIF(H22:AL22,"AL*")</f>
        <v>0</v>
      </c>
      <c r="BA22" s="221">
        <f t="shared" ref="BA22:BA57" si="46">COUNTIF(H22:AL22,"NC*")</f>
        <v>0</v>
      </c>
      <c r="BB22" s="77"/>
    </row>
    <row r="23" spans="1:55" s="270" customFormat="1" ht="30" customHeight="1">
      <c r="B23" s="410" t="s">
        <v>185</v>
      </c>
      <c r="C23" s="248" t="s">
        <v>277</v>
      </c>
      <c r="D23" s="346" t="s">
        <v>278</v>
      </c>
      <c r="E23" s="245" t="s">
        <v>40</v>
      </c>
      <c r="F23" s="241" t="s">
        <v>183</v>
      </c>
      <c r="G23" s="245" t="s">
        <v>184</v>
      </c>
      <c r="H23" s="341">
        <v>8</v>
      </c>
      <c r="I23" s="273">
        <v>8</v>
      </c>
      <c r="J23" s="273">
        <v>8</v>
      </c>
      <c r="K23" s="273">
        <v>8</v>
      </c>
      <c r="L23" s="273">
        <v>8</v>
      </c>
      <c r="M23" s="273">
        <v>8</v>
      </c>
      <c r="N23" s="44" t="s">
        <v>9</v>
      </c>
      <c r="O23" s="273">
        <v>8</v>
      </c>
      <c r="P23" s="273">
        <v>8</v>
      </c>
      <c r="Q23" s="273">
        <v>8</v>
      </c>
      <c r="R23" s="44" t="s">
        <v>9</v>
      </c>
      <c r="S23" s="273">
        <v>8</v>
      </c>
      <c r="T23" s="273">
        <v>8</v>
      </c>
      <c r="U23" s="273">
        <v>8</v>
      </c>
      <c r="V23" s="273">
        <v>8</v>
      </c>
      <c r="W23" s="44" t="s">
        <v>9</v>
      </c>
      <c r="X23" s="273">
        <v>8</v>
      </c>
      <c r="Y23" s="273">
        <v>8</v>
      </c>
      <c r="Z23" s="273">
        <v>8</v>
      </c>
      <c r="AA23" s="273">
        <v>8</v>
      </c>
      <c r="AB23" s="273">
        <v>8</v>
      </c>
      <c r="AC23" s="44" t="s">
        <v>9</v>
      </c>
      <c r="AD23" s="273">
        <v>8</v>
      </c>
      <c r="AE23" s="273">
        <v>8</v>
      </c>
      <c r="AF23" s="273">
        <v>8</v>
      </c>
      <c r="AG23" s="273">
        <v>8</v>
      </c>
      <c r="AH23" s="273">
        <v>8</v>
      </c>
      <c r="AI23" s="273">
        <v>8</v>
      </c>
      <c r="AJ23" s="273">
        <v>8</v>
      </c>
      <c r="AK23" s="44" t="s">
        <v>9</v>
      </c>
      <c r="AL23" s="342">
        <v>8</v>
      </c>
      <c r="AM23" s="241">
        <f t="shared" si="33"/>
        <v>26</v>
      </c>
      <c r="AN23" s="245">
        <f t="shared" si="34"/>
        <v>208</v>
      </c>
      <c r="AO23" s="181">
        <f t="shared" si="35"/>
        <v>0</v>
      </c>
      <c r="AP23" s="63">
        <f t="shared" si="36"/>
        <v>5</v>
      </c>
      <c r="AQ23" s="63">
        <f t="shared" si="37"/>
        <v>0</v>
      </c>
      <c r="AR23" s="63">
        <f t="shared" si="38"/>
        <v>0</v>
      </c>
      <c r="AS23" s="63">
        <f t="shared" si="39"/>
        <v>0</v>
      </c>
      <c r="AT23" s="63">
        <f t="shared" ref="AT23:AT57" si="47">AT22</f>
        <v>5</v>
      </c>
      <c r="AU23" s="221">
        <f t="shared" si="40"/>
        <v>5</v>
      </c>
      <c r="AV23" s="221">
        <f t="shared" si="41"/>
        <v>0</v>
      </c>
      <c r="AW23" s="221">
        <f t="shared" si="42"/>
        <v>0</v>
      </c>
      <c r="AX23" s="221">
        <f t="shared" si="43"/>
        <v>0</v>
      </c>
      <c r="AY23" s="221">
        <f t="shared" si="44"/>
        <v>0</v>
      </c>
      <c r="AZ23" s="221">
        <f t="shared" si="45"/>
        <v>0</v>
      </c>
      <c r="BA23" s="221">
        <f t="shared" si="46"/>
        <v>0</v>
      </c>
      <c r="BB23" s="77"/>
    </row>
    <row r="24" spans="1:55" s="270" customFormat="1" ht="30" customHeight="1">
      <c r="B24" s="410" t="s">
        <v>188</v>
      </c>
      <c r="C24" s="248" t="s">
        <v>256</v>
      </c>
      <c r="D24" s="346" t="s">
        <v>383</v>
      </c>
      <c r="E24" s="245" t="s">
        <v>40</v>
      </c>
      <c r="F24" s="241" t="s">
        <v>183</v>
      </c>
      <c r="G24" s="245" t="s">
        <v>184</v>
      </c>
      <c r="H24" s="341">
        <v>8</v>
      </c>
      <c r="I24" s="273" t="s">
        <v>395</v>
      </c>
      <c r="J24" s="44" t="s">
        <v>9</v>
      </c>
      <c r="K24" s="273">
        <v>8</v>
      </c>
      <c r="L24" s="273">
        <v>8</v>
      </c>
      <c r="M24" s="273">
        <v>8</v>
      </c>
      <c r="N24" s="273">
        <v>8</v>
      </c>
      <c r="O24" s="44" t="s">
        <v>9</v>
      </c>
      <c r="P24" s="273">
        <v>8</v>
      </c>
      <c r="Q24" s="273">
        <v>8</v>
      </c>
      <c r="R24" s="273">
        <v>8</v>
      </c>
      <c r="S24" s="44" t="s">
        <v>9</v>
      </c>
      <c r="T24" s="273">
        <v>8</v>
      </c>
      <c r="U24" s="273">
        <v>8</v>
      </c>
      <c r="V24" s="273">
        <v>8</v>
      </c>
      <c r="W24" s="273">
        <v>8</v>
      </c>
      <c r="X24" s="273">
        <v>8</v>
      </c>
      <c r="Y24" s="44" t="s">
        <v>9</v>
      </c>
      <c r="Z24" s="273">
        <v>8</v>
      </c>
      <c r="AA24" s="273">
        <v>8</v>
      </c>
      <c r="AB24" s="273">
        <v>8</v>
      </c>
      <c r="AC24" s="273">
        <v>8</v>
      </c>
      <c r="AD24" s="273">
        <v>8</v>
      </c>
      <c r="AE24" s="44" t="s">
        <v>9</v>
      </c>
      <c r="AF24" s="273">
        <v>8</v>
      </c>
      <c r="AG24" s="273">
        <v>8</v>
      </c>
      <c r="AH24" s="273">
        <v>8</v>
      </c>
      <c r="AI24" s="273">
        <v>8</v>
      </c>
      <c r="AJ24" s="273">
        <v>8</v>
      </c>
      <c r="AK24" s="273">
        <v>8</v>
      </c>
      <c r="AL24" s="342">
        <v>8</v>
      </c>
      <c r="AM24" s="241">
        <f t="shared" si="33"/>
        <v>25</v>
      </c>
      <c r="AN24" s="245">
        <f t="shared" si="34"/>
        <v>200</v>
      </c>
      <c r="AO24" s="181">
        <f t="shared" si="35"/>
        <v>0</v>
      </c>
      <c r="AP24" s="63">
        <f t="shared" si="36"/>
        <v>5</v>
      </c>
      <c r="AQ24" s="63">
        <f t="shared" si="37"/>
        <v>0</v>
      </c>
      <c r="AR24" s="63">
        <f t="shared" si="38"/>
        <v>0</v>
      </c>
      <c r="AS24" s="63">
        <f t="shared" si="39"/>
        <v>0</v>
      </c>
      <c r="AT24" s="63">
        <f t="shared" si="47"/>
        <v>5</v>
      </c>
      <c r="AU24" s="221">
        <f t="shared" si="40"/>
        <v>5</v>
      </c>
      <c r="AV24" s="221">
        <f t="shared" si="41"/>
        <v>0</v>
      </c>
      <c r="AW24" s="221">
        <f t="shared" si="42"/>
        <v>0</v>
      </c>
      <c r="AX24" s="221">
        <f t="shared" si="43"/>
        <v>0</v>
      </c>
      <c r="AY24" s="221">
        <f t="shared" si="44"/>
        <v>0</v>
      </c>
      <c r="AZ24" s="221">
        <f t="shared" si="45"/>
        <v>0</v>
      </c>
      <c r="BA24" s="221">
        <f t="shared" si="46"/>
        <v>0</v>
      </c>
      <c r="BB24" s="77"/>
    </row>
    <row r="25" spans="1:55" s="270" customFormat="1" ht="30" customHeight="1">
      <c r="B25" s="410" t="s">
        <v>191</v>
      </c>
      <c r="C25" s="248" t="s">
        <v>197</v>
      </c>
      <c r="D25" s="345" t="s">
        <v>198</v>
      </c>
      <c r="E25" s="245" t="s">
        <v>40</v>
      </c>
      <c r="F25" s="241" t="s">
        <v>183</v>
      </c>
      <c r="G25" s="245" t="s">
        <v>184</v>
      </c>
      <c r="H25" s="341">
        <v>8</v>
      </c>
      <c r="I25" s="44" t="s">
        <v>9</v>
      </c>
      <c r="J25" s="273">
        <v>8</v>
      </c>
      <c r="K25" s="273">
        <v>8</v>
      </c>
      <c r="L25" s="273">
        <v>8</v>
      </c>
      <c r="M25" s="273">
        <v>8</v>
      </c>
      <c r="N25" s="273">
        <v>8</v>
      </c>
      <c r="O25" s="273">
        <v>8</v>
      </c>
      <c r="P25" s="44" t="s">
        <v>9</v>
      </c>
      <c r="Q25" s="273">
        <v>8</v>
      </c>
      <c r="R25" s="273">
        <v>8</v>
      </c>
      <c r="S25" s="273">
        <v>8</v>
      </c>
      <c r="T25" s="273">
        <v>8</v>
      </c>
      <c r="U25" s="273">
        <v>8</v>
      </c>
      <c r="V25" s="273">
        <v>8</v>
      </c>
      <c r="W25" s="273">
        <v>8</v>
      </c>
      <c r="X25" s="327">
        <v>8</v>
      </c>
      <c r="Y25" s="44" t="s">
        <v>9</v>
      </c>
      <c r="Z25" s="44" t="s">
        <v>9</v>
      </c>
      <c r="AA25" s="273">
        <v>8</v>
      </c>
      <c r="AB25" s="327">
        <v>8</v>
      </c>
      <c r="AC25" s="273">
        <v>8</v>
      </c>
      <c r="AD25" s="273">
        <v>8</v>
      </c>
      <c r="AE25" s="273">
        <v>8</v>
      </c>
      <c r="AF25" s="273">
        <v>8</v>
      </c>
      <c r="AG25" s="273">
        <v>8</v>
      </c>
      <c r="AH25" s="273">
        <v>8</v>
      </c>
      <c r="AI25" s="273">
        <v>8</v>
      </c>
      <c r="AJ25" s="273">
        <v>8</v>
      </c>
      <c r="AK25" s="44" t="s">
        <v>9</v>
      </c>
      <c r="AL25" s="342">
        <v>8</v>
      </c>
      <c r="AM25" s="241">
        <f t="shared" si="33"/>
        <v>26</v>
      </c>
      <c r="AN25" s="245">
        <f t="shared" si="34"/>
        <v>208</v>
      </c>
      <c r="AO25" s="181">
        <f t="shared" si="35"/>
        <v>0</v>
      </c>
      <c r="AP25" s="63">
        <f t="shared" si="36"/>
        <v>5</v>
      </c>
      <c r="AQ25" s="63">
        <f t="shared" si="37"/>
        <v>0</v>
      </c>
      <c r="AR25" s="63">
        <f t="shared" si="38"/>
        <v>0</v>
      </c>
      <c r="AS25" s="63">
        <f t="shared" si="39"/>
        <v>0</v>
      </c>
      <c r="AT25" s="63">
        <f t="shared" si="47"/>
        <v>5</v>
      </c>
      <c r="AU25" s="221">
        <f t="shared" si="40"/>
        <v>5</v>
      </c>
      <c r="AV25" s="221">
        <f t="shared" si="41"/>
        <v>0</v>
      </c>
      <c r="AW25" s="221">
        <f t="shared" si="42"/>
        <v>0</v>
      </c>
      <c r="AX25" s="221">
        <f t="shared" si="43"/>
        <v>0</v>
      </c>
      <c r="AY25" s="221">
        <f t="shared" si="44"/>
        <v>0</v>
      </c>
      <c r="AZ25" s="221">
        <f t="shared" si="45"/>
        <v>0</v>
      </c>
      <c r="BA25" s="221">
        <f t="shared" si="46"/>
        <v>0</v>
      </c>
      <c r="BB25" s="77"/>
    </row>
    <row r="26" spans="1:55" s="240" customFormat="1" ht="30" customHeight="1">
      <c r="A26" s="270"/>
      <c r="B26" s="410" t="s">
        <v>194</v>
      </c>
      <c r="C26" s="248" t="s">
        <v>189</v>
      </c>
      <c r="D26" s="345" t="s">
        <v>190</v>
      </c>
      <c r="E26" s="245" t="s">
        <v>40</v>
      </c>
      <c r="F26" s="241" t="s">
        <v>183</v>
      </c>
      <c r="G26" s="245" t="s">
        <v>184</v>
      </c>
      <c r="H26" s="341">
        <v>8</v>
      </c>
      <c r="I26" s="273">
        <v>8</v>
      </c>
      <c r="J26" s="273">
        <v>8</v>
      </c>
      <c r="K26" s="273">
        <v>8</v>
      </c>
      <c r="L26" s="273">
        <v>8</v>
      </c>
      <c r="M26" s="44" t="s">
        <v>9</v>
      </c>
      <c r="N26" s="273">
        <v>8</v>
      </c>
      <c r="O26" s="273">
        <v>8</v>
      </c>
      <c r="P26" s="273" t="s">
        <v>406</v>
      </c>
      <c r="Q26" s="273" t="s">
        <v>406</v>
      </c>
      <c r="R26" s="273" t="s">
        <v>406</v>
      </c>
      <c r="S26" s="273" t="s">
        <v>406</v>
      </c>
      <c r="T26" s="273">
        <v>8</v>
      </c>
      <c r="U26" s="44" t="s">
        <v>9</v>
      </c>
      <c r="V26" s="273">
        <v>8</v>
      </c>
      <c r="W26" s="273">
        <v>8</v>
      </c>
      <c r="X26" s="273">
        <v>8</v>
      </c>
      <c r="Y26" s="273">
        <v>8</v>
      </c>
      <c r="Z26" s="273">
        <v>8</v>
      </c>
      <c r="AA26" s="44" t="s">
        <v>9</v>
      </c>
      <c r="AB26" s="44" t="s">
        <v>9</v>
      </c>
      <c r="AC26" s="273">
        <v>8</v>
      </c>
      <c r="AD26" s="273">
        <v>8</v>
      </c>
      <c r="AE26" s="273">
        <v>8</v>
      </c>
      <c r="AF26" s="273">
        <v>8</v>
      </c>
      <c r="AG26" s="273">
        <v>8</v>
      </c>
      <c r="AH26" s="273">
        <v>8</v>
      </c>
      <c r="AI26" s="44" t="s">
        <v>9</v>
      </c>
      <c r="AJ26" s="273">
        <v>8</v>
      </c>
      <c r="AK26" s="273">
        <v>8</v>
      </c>
      <c r="AL26" s="342">
        <v>8</v>
      </c>
      <c r="AM26" s="241">
        <f t="shared" si="33"/>
        <v>22</v>
      </c>
      <c r="AN26" s="245">
        <f t="shared" si="34"/>
        <v>176</v>
      </c>
      <c r="AO26" s="181">
        <f t="shared" si="35"/>
        <v>0</v>
      </c>
      <c r="AP26" s="63">
        <f t="shared" si="36"/>
        <v>5</v>
      </c>
      <c r="AQ26" s="63">
        <f t="shared" si="37"/>
        <v>0</v>
      </c>
      <c r="AR26" s="63">
        <f t="shared" si="38"/>
        <v>4</v>
      </c>
      <c r="AS26" s="63">
        <f t="shared" si="39"/>
        <v>0</v>
      </c>
      <c r="AT26" s="63">
        <f t="shared" si="47"/>
        <v>5</v>
      </c>
      <c r="AU26" s="221">
        <f t="shared" si="40"/>
        <v>5</v>
      </c>
      <c r="AV26" s="221">
        <f t="shared" si="41"/>
        <v>0</v>
      </c>
      <c r="AW26" s="221">
        <f t="shared" si="42"/>
        <v>0</v>
      </c>
      <c r="AX26" s="221">
        <f t="shared" si="43"/>
        <v>4</v>
      </c>
      <c r="AY26" s="221">
        <f t="shared" si="44"/>
        <v>0</v>
      </c>
      <c r="AZ26" s="221">
        <f t="shared" si="45"/>
        <v>0</v>
      </c>
      <c r="BA26" s="221">
        <f t="shared" si="46"/>
        <v>0</v>
      </c>
      <c r="BB26" s="77"/>
      <c r="BC26" s="270"/>
    </row>
    <row r="27" spans="1:55" s="270" customFormat="1" ht="30" customHeight="1">
      <c r="B27" s="410" t="s">
        <v>196</v>
      </c>
      <c r="C27" s="248" t="s">
        <v>245</v>
      </c>
      <c r="D27" s="345" t="s">
        <v>246</v>
      </c>
      <c r="E27" s="245" t="s">
        <v>40</v>
      </c>
      <c r="F27" s="241" t="s">
        <v>183</v>
      </c>
      <c r="G27" s="245" t="s">
        <v>184</v>
      </c>
      <c r="H27" s="341">
        <v>8</v>
      </c>
      <c r="I27" s="273">
        <v>8</v>
      </c>
      <c r="J27" s="273">
        <v>8</v>
      </c>
      <c r="K27" s="273">
        <v>8</v>
      </c>
      <c r="L27" s="273">
        <v>8</v>
      </c>
      <c r="M27" s="273" t="s">
        <v>394</v>
      </c>
      <c r="N27" s="273">
        <v>8</v>
      </c>
      <c r="O27" s="273">
        <v>8</v>
      </c>
      <c r="P27" s="273">
        <v>8</v>
      </c>
      <c r="Q27" s="273">
        <v>8</v>
      </c>
      <c r="R27" s="44" t="s">
        <v>9</v>
      </c>
      <c r="S27" s="273">
        <v>8</v>
      </c>
      <c r="T27" s="273" t="s">
        <v>394</v>
      </c>
      <c r="U27" s="273">
        <v>8</v>
      </c>
      <c r="V27" s="273">
        <v>8</v>
      </c>
      <c r="W27" s="273">
        <v>8</v>
      </c>
      <c r="X27" s="273">
        <v>8</v>
      </c>
      <c r="Y27" s="44" t="s">
        <v>9</v>
      </c>
      <c r="Z27" s="273">
        <v>8</v>
      </c>
      <c r="AA27" s="273" t="s">
        <v>394</v>
      </c>
      <c r="AB27" s="273" t="s">
        <v>394</v>
      </c>
      <c r="AC27" s="273" t="s">
        <v>394</v>
      </c>
      <c r="AD27" s="273" t="s">
        <v>394</v>
      </c>
      <c r="AE27" s="273" t="s">
        <v>394</v>
      </c>
      <c r="AF27" s="273">
        <v>8</v>
      </c>
      <c r="AG27" s="273">
        <v>8</v>
      </c>
      <c r="AH27" s="273">
        <v>8</v>
      </c>
      <c r="AI27" s="273">
        <v>8</v>
      </c>
      <c r="AJ27" s="44" t="s">
        <v>9</v>
      </c>
      <c r="AK27" s="44" t="s">
        <v>9</v>
      </c>
      <c r="AL27" s="340" t="s">
        <v>9</v>
      </c>
      <c r="AM27" s="241">
        <f t="shared" si="33"/>
        <v>19</v>
      </c>
      <c r="AN27" s="245">
        <f t="shared" si="34"/>
        <v>152</v>
      </c>
      <c r="AO27" s="181">
        <f t="shared" si="35"/>
        <v>0</v>
      </c>
      <c r="AP27" s="63">
        <f t="shared" si="36"/>
        <v>5</v>
      </c>
      <c r="AQ27" s="63">
        <f t="shared" si="37"/>
        <v>0</v>
      </c>
      <c r="AR27" s="63">
        <f t="shared" si="38"/>
        <v>0</v>
      </c>
      <c r="AS27" s="63">
        <f t="shared" si="39"/>
        <v>0</v>
      </c>
      <c r="AT27" s="63">
        <f t="shared" si="47"/>
        <v>5</v>
      </c>
      <c r="AU27" s="221">
        <f t="shared" si="40"/>
        <v>5</v>
      </c>
      <c r="AV27" s="221">
        <f t="shared" si="41"/>
        <v>0</v>
      </c>
      <c r="AW27" s="221">
        <f t="shared" si="42"/>
        <v>0</v>
      </c>
      <c r="AX27" s="221">
        <f t="shared" si="43"/>
        <v>0</v>
      </c>
      <c r="AY27" s="221">
        <f t="shared" si="44"/>
        <v>0</v>
      </c>
      <c r="AZ27" s="221">
        <f t="shared" si="45"/>
        <v>0</v>
      </c>
      <c r="BA27" s="221">
        <f t="shared" si="46"/>
        <v>0</v>
      </c>
      <c r="BB27" s="77"/>
    </row>
    <row r="28" spans="1:55" s="270" customFormat="1" ht="30" customHeight="1">
      <c r="B28" s="410" t="s">
        <v>199</v>
      </c>
      <c r="C28" s="248" t="s">
        <v>192</v>
      </c>
      <c r="D28" s="345" t="s">
        <v>193</v>
      </c>
      <c r="E28" s="245" t="s">
        <v>40</v>
      </c>
      <c r="F28" s="241" t="s">
        <v>183</v>
      </c>
      <c r="G28" s="245" t="s">
        <v>184</v>
      </c>
      <c r="H28" s="341">
        <v>8</v>
      </c>
      <c r="I28" s="273">
        <v>8</v>
      </c>
      <c r="J28" s="273">
        <v>8</v>
      </c>
      <c r="K28" s="273">
        <v>8</v>
      </c>
      <c r="L28" s="273">
        <v>8</v>
      </c>
      <c r="M28" s="273">
        <v>8</v>
      </c>
      <c r="N28" s="273">
        <v>8</v>
      </c>
      <c r="O28" s="44" t="s">
        <v>9</v>
      </c>
      <c r="P28" s="273">
        <v>8</v>
      </c>
      <c r="Q28" s="273">
        <v>8</v>
      </c>
      <c r="R28" s="273">
        <v>8</v>
      </c>
      <c r="S28" s="273">
        <v>8</v>
      </c>
      <c r="T28" s="273">
        <v>8</v>
      </c>
      <c r="U28" s="44" t="s">
        <v>9</v>
      </c>
      <c r="V28" s="273">
        <v>8</v>
      </c>
      <c r="W28" s="273">
        <v>8</v>
      </c>
      <c r="X28" s="273">
        <v>8</v>
      </c>
      <c r="Y28" s="273">
        <v>8</v>
      </c>
      <c r="Z28" s="273">
        <v>8</v>
      </c>
      <c r="AA28" s="273">
        <v>8</v>
      </c>
      <c r="AB28" s="273">
        <v>8</v>
      </c>
      <c r="AC28" s="44" t="s">
        <v>9</v>
      </c>
      <c r="AD28" s="273">
        <v>8</v>
      </c>
      <c r="AE28" s="273">
        <v>8</v>
      </c>
      <c r="AF28" s="273">
        <v>8</v>
      </c>
      <c r="AG28" s="44" t="s">
        <v>9</v>
      </c>
      <c r="AH28" s="44" t="s">
        <v>9</v>
      </c>
      <c r="AI28" s="273">
        <v>8</v>
      </c>
      <c r="AJ28" s="273">
        <v>8</v>
      </c>
      <c r="AK28" s="273">
        <v>8</v>
      </c>
      <c r="AL28" s="342">
        <v>8</v>
      </c>
      <c r="AM28" s="241">
        <f t="shared" si="33"/>
        <v>26</v>
      </c>
      <c r="AN28" s="245">
        <f t="shared" si="34"/>
        <v>208</v>
      </c>
      <c r="AO28" s="181">
        <f t="shared" si="35"/>
        <v>0</v>
      </c>
      <c r="AP28" s="63">
        <f t="shared" si="36"/>
        <v>5</v>
      </c>
      <c r="AQ28" s="63">
        <f t="shared" si="37"/>
        <v>0</v>
      </c>
      <c r="AR28" s="63">
        <f t="shared" si="38"/>
        <v>0</v>
      </c>
      <c r="AS28" s="63">
        <f t="shared" si="39"/>
        <v>0</v>
      </c>
      <c r="AT28" s="63">
        <f t="shared" si="47"/>
        <v>5</v>
      </c>
      <c r="AU28" s="221">
        <f t="shared" si="40"/>
        <v>5</v>
      </c>
      <c r="AV28" s="221">
        <f t="shared" si="41"/>
        <v>0</v>
      </c>
      <c r="AW28" s="221">
        <f t="shared" si="42"/>
        <v>0</v>
      </c>
      <c r="AX28" s="221">
        <f t="shared" si="43"/>
        <v>0</v>
      </c>
      <c r="AY28" s="221">
        <f t="shared" si="44"/>
        <v>0</v>
      </c>
      <c r="AZ28" s="221">
        <f t="shared" si="45"/>
        <v>0</v>
      </c>
      <c r="BA28" s="221">
        <f t="shared" si="46"/>
        <v>0</v>
      </c>
      <c r="BB28" s="77"/>
    </row>
    <row r="29" spans="1:55" s="270" customFormat="1" ht="30" customHeight="1">
      <c r="B29" s="410" t="s">
        <v>202</v>
      </c>
      <c r="C29" s="248" t="s">
        <v>242</v>
      </c>
      <c r="D29" s="346" t="s">
        <v>243</v>
      </c>
      <c r="E29" s="245" t="s">
        <v>40</v>
      </c>
      <c r="F29" s="241" t="s">
        <v>183</v>
      </c>
      <c r="G29" s="245" t="s">
        <v>184</v>
      </c>
      <c r="H29" s="264" t="s">
        <v>9</v>
      </c>
      <c r="I29" s="273">
        <v>8</v>
      </c>
      <c r="J29" s="273">
        <v>8</v>
      </c>
      <c r="K29" s="273">
        <v>8</v>
      </c>
      <c r="L29" s="273">
        <v>8</v>
      </c>
      <c r="M29" s="273">
        <v>8</v>
      </c>
      <c r="N29" s="273">
        <v>8</v>
      </c>
      <c r="O29" s="273">
        <v>8</v>
      </c>
      <c r="P29" s="44" t="s">
        <v>9</v>
      </c>
      <c r="Q29" s="273">
        <v>8</v>
      </c>
      <c r="R29" s="273">
        <v>8</v>
      </c>
      <c r="S29" s="273">
        <v>8</v>
      </c>
      <c r="T29" s="273">
        <v>8</v>
      </c>
      <c r="U29" s="273">
        <v>8</v>
      </c>
      <c r="V29" s="44" t="s">
        <v>9</v>
      </c>
      <c r="W29" s="273">
        <v>8</v>
      </c>
      <c r="X29" s="273">
        <v>8</v>
      </c>
      <c r="Y29" s="273">
        <v>8</v>
      </c>
      <c r="Z29" s="273">
        <v>8</v>
      </c>
      <c r="AA29" s="44" t="s">
        <v>9</v>
      </c>
      <c r="AB29" s="273">
        <v>8</v>
      </c>
      <c r="AC29" s="273">
        <v>8</v>
      </c>
      <c r="AD29" s="273">
        <v>8</v>
      </c>
      <c r="AE29" s="273">
        <v>8</v>
      </c>
      <c r="AF29" s="273">
        <v>8</v>
      </c>
      <c r="AG29" s="273">
        <v>8</v>
      </c>
      <c r="AH29" s="273">
        <v>8</v>
      </c>
      <c r="AI29" s="273">
        <v>8</v>
      </c>
      <c r="AJ29" s="273">
        <v>8</v>
      </c>
      <c r="AK29" s="44" t="s">
        <v>9</v>
      </c>
      <c r="AL29" s="342">
        <v>8</v>
      </c>
      <c r="AM29" s="241">
        <f t="shared" si="33"/>
        <v>26</v>
      </c>
      <c r="AN29" s="245">
        <f t="shared" si="34"/>
        <v>208</v>
      </c>
      <c r="AO29" s="181">
        <f t="shared" si="35"/>
        <v>0</v>
      </c>
      <c r="AP29" s="63">
        <f t="shared" si="36"/>
        <v>5</v>
      </c>
      <c r="AQ29" s="63">
        <f t="shared" si="37"/>
        <v>0</v>
      </c>
      <c r="AR29" s="63">
        <f t="shared" si="38"/>
        <v>0</v>
      </c>
      <c r="AS29" s="63">
        <f t="shared" si="39"/>
        <v>0</v>
      </c>
      <c r="AT29" s="63">
        <f t="shared" si="47"/>
        <v>5</v>
      </c>
      <c r="AU29" s="221">
        <f t="shared" si="40"/>
        <v>5</v>
      </c>
      <c r="AV29" s="221">
        <f t="shared" si="41"/>
        <v>0</v>
      </c>
      <c r="AW29" s="221">
        <f t="shared" si="42"/>
        <v>0</v>
      </c>
      <c r="AX29" s="221">
        <f t="shared" si="43"/>
        <v>0</v>
      </c>
      <c r="AY29" s="221">
        <f t="shared" si="44"/>
        <v>0</v>
      </c>
      <c r="AZ29" s="221">
        <f t="shared" si="45"/>
        <v>0</v>
      </c>
      <c r="BA29" s="221">
        <f t="shared" si="46"/>
        <v>0</v>
      </c>
      <c r="BB29" s="77"/>
    </row>
    <row r="30" spans="1:55" s="270" customFormat="1" ht="30" customHeight="1">
      <c r="A30" s="240"/>
      <c r="B30" s="410" t="s">
        <v>205</v>
      </c>
      <c r="C30" s="248" t="s">
        <v>230</v>
      </c>
      <c r="D30" s="346" t="s">
        <v>231</v>
      </c>
      <c r="E30" s="245" t="s">
        <v>40</v>
      </c>
      <c r="F30" s="241" t="s">
        <v>183</v>
      </c>
      <c r="G30" s="245" t="s">
        <v>184</v>
      </c>
      <c r="H30" s="341">
        <v>8</v>
      </c>
      <c r="I30" s="273">
        <v>8</v>
      </c>
      <c r="J30" s="273">
        <v>8</v>
      </c>
      <c r="K30" s="44" t="s">
        <v>9</v>
      </c>
      <c r="L30" s="273">
        <v>8</v>
      </c>
      <c r="M30" s="273">
        <v>8</v>
      </c>
      <c r="N30" s="273">
        <v>8</v>
      </c>
      <c r="O30" s="273">
        <v>8</v>
      </c>
      <c r="P30" s="44" t="s">
        <v>9</v>
      </c>
      <c r="Q30" s="273">
        <v>8</v>
      </c>
      <c r="R30" s="273">
        <v>8</v>
      </c>
      <c r="S30" s="273">
        <v>8</v>
      </c>
      <c r="T30" s="273">
        <v>8</v>
      </c>
      <c r="U30" s="273">
        <v>8</v>
      </c>
      <c r="V30" s="273">
        <v>8</v>
      </c>
      <c r="W30" s="44" t="s">
        <v>9</v>
      </c>
      <c r="X30" s="273">
        <v>8</v>
      </c>
      <c r="Y30" s="273">
        <v>8</v>
      </c>
      <c r="Z30" s="273">
        <v>8</v>
      </c>
      <c r="AA30" s="273">
        <v>8</v>
      </c>
      <c r="AB30" s="273">
        <v>8</v>
      </c>
      <c r="AC30" s="273">
        <v>8</v>
      </c>
      <c r="AD30" s="273">
        <v>8</v>
      </c>
      <c r="AE30" s="44" t="s">
        <v>9</v>
      </c>
      <c r="AF30" s="44" t="s">
        <v>9</v>
      </c>
      <c r="AG30" s="273">
        <v>8</v>
      </c>
      <c r="AH30" s="273">
        <v>8</v>
      </c>
      <c r="AI30" s="273">
        <v>8</v>
      </c>
      <c r="AJ30" s="273">
        <v>8</v>
      </c>
      <c r="AK30" s="273">
        <v>8</v>
      </c>
      <c r="AL30" s="342">
        <v>8</v>
      </c>
      <c r="AM30" s="286">
        <f t="shared" si="33"/>
        <v>26</v>
      </c>
      <c r="AN30" s="274">
        <f t="shared" si="34"/>
        <v>208</v>
      </c>
      <c r="AO30" s="177">
        <f t="shared" si="35"/>
        <v>0</v>
      </c>
      <c r="AP30" s="63">
        <f t="shared" si="36"/>
        <v>5</v>
      </c>
      <c r="AQ30" s="178">
        <f t="shared" si="37"/>
        <v>0</v>
      </c>
      <c r="AR30" s="178">
        <f t="shared" si="38"/>
        <v>0</v>
      </c>
      <c r="AS30" s="178">
        <f t="shared" si="39"/>
        <v>0</v>
      </c>
      <c r="AT30" s="63">
        <f t="shared" si="47"/>
        <v>5</v>
      </c>
      <c r="AU30" s="221">
        <f t="shared" si="40"/>
        <v>5</v>
      </c>
      <c r="AV30" s="221">
        <f t="shared" si="41"/>
        <v>0</v>
      </c>
      <c r="AW30" s="221">
        <f t="shared" si="42"/>
        <v>0</v>
      </c>
      <c r="AX30" s="221">
        <f t="shared" si="43"/>
        <v>0</v>
      </c>
      <c r="AY30" s="221">
        <f t="shared" si="44"/>
        <v>0</v>
      </c>
      <c r="AZ30" s="221">
        <f t="shared" si="45"/>
        <v>0</v>
      </c>
      <c r="BA30" s="221">
        <f t="shared" si="46"/>
        <v>0</v>
      </c>
      <c r="BB30" s="77"/>
      <c r="BC30" s="240"/>
    </row>
    <row r="31" spans="1:55" s="240" customFormat="1" ht="30" customHeight="1">
      <c r="A31" s="270"/>
      <c r="B31" s="410" t="s">
        <v>208</v>
      </c>
      <c r="C31" s="248" t="s">
        <v>233</v>
      </c>
      <c r="D31" s="346" t="s">
        <v>234</v>
      </c>
      <c r="E31" s="245" t="s">
        <v>40</v>
      </c>
      <c r="F31" s="241" t="s">
        <v>183</v>
      </c>
      <c r="G31" s="245" t="s">
        <v>184</v>
      </c>
      <c r="H31" s="341" t="s">
        <v>406</v>
      </c>
      <c r="I31" s="273" t="s">
        <v>406</v>
      </c>
      <c r="J31" s="273" t="s">
        <v>406</v>
      </c>
      <c r="K31" s="273" t="s">
        <v>406</v>
      </c>
      <c r="L31" s="44" t="s">
        <v>9</v>
      </c>
      <c r="M31" s="273" t="s">
        <v>406</v>
      </c>
      <c r="N31" s="273" t="s">
        <v>406</v>
      </c>
      <c r="O31" s="273" t="s">
        <v>406</v>
      </c>
      <c r="P31" s="273" t="s">
        <v>406</v>
      </c>
      <c r="Q31" s="44" t="s">
        <v>9</v>
      </c>
      <c r="R31" s="273" t="s">
        <v>406</v>
      </c>
      <c r="S31" s="273" t="s">
        <v>406</v>
      </c>
      <c r="T31" s="273">
        <v>8</v>
      </c>
      <c r="U31" s="273">
        <v>8</v>
      </c>
      <c r="V31" s="273">
        <v>8</v>
      </c>
      <c r="W31" s="273">
        <v>8</v>
      </c>
      <c r="X31" s="44" t="s">
        <v>9</v>
      </c>
      <c r="Y31" s="44">
        <v>8</v>
      </c>
      <c r="Z31" s="273">
        <v>8</v>
      </c>
      <c r="AA31" s="273">
        <v>8</v>
      </c>
      <c r="AB31" s="273">
        <v>8</v>
      </c>
      <c r="AC31" s="273">
        <v>8</v>
      </c>
      <c r="AD31" s="273">
        <v>8</v>
      </c>
      <c r="AE31" s="273">
        <v>8</v>
      </c>
      <c r="AF31" s="273">
        <v>8</v>
      </c>
      <c r="AG31" s="44" t="s">
        <v>9</v>
      </c>
      <c r="AH31" s="44" t="s">
        <v>9</v>
      </c>
      <c r="AI31" s="273">
        <v>8</v>
      </c>
      <c r="AJ31" s="273">
        <v>8</v>
      </c>
      <c r="AK31" s="273">
        <v>8</v>
      </c>
      <c r="AL31" s="342">
        <v>8</v>
      </c>
      <c r="AM31" s="241">
        <f t="shared" si="33"/>
        <v>16</v>
      </c>
      <c r="AN31" s="245">
        <f t="shared" si="34"/>
        <v>128</v>
      </c>
      <c r="AO31" s="181">
        <f t="shared" si="35"/>
        <v>0</v>
      </c>
      <c r="AP31" s="63">
        <f t="shared" si="36"/>
        <v>5</v>
      </c>
      <c r="AQ31" s="63">
        <f t="shared" si="37"/>
        <v>0</v>
      </c>
      <c r="AR31" s="63">
        <f t="shared" si="38"/>
        <v>10</v>
      </c>
      <c r="AS31" s="63">
        <f t="shared" si="39"/>
        <v>0</v>
      </c>
      <c r="AT31" s="63">
        <f t="shared" si="47"/>
        <v>5</v>
      </c>
      <c r="AU31" s="221">
        <f t="shared" si="40"/>
        <v>5</v>
      </c>
      <c r="AV31" s="221">
        <f t="shared" si="41"/>
        <v>0</v>
      </c>
      <c r="AW31" s="221">
        <f t="shared" si="42"/>
        <v>0</v>
      </c>
      <c r="AX31" s="221">
        <f t="shared" si="43"/>
        <v>10</v>
      </c>
      <c r="AY31" s="221">
        <f t="shared" si="44"/>
        <v>0</v>
      </c>
      <c r="AZ31" s="221">
        <f t="shared" si="45"/>
        <v>0</v>
      </c>
      <c r="BA31" s="221">
        <f t="shared" si="46"/>
        <v>0</v>
      </c>
      <c r="BB31" s="77"/>
      <c r="BC31" s="270"/>
    </row>
    <row r="32" spans="1:55" s="270" customFormat="1" ht="30" customHeight="1">
      <c r="B32" s="410" t="s">
        <v>211</v>
      </c>
      <c r="C32" s="248" t="s">
        <v>200</v>
      </c>
      <c r="D32" s="345" t="s">
        <v>201</v>
      </c>
      <c r="E32" s="245" t="s">
        <v>40</v>
      </c>
      <c r="F32" s="241" t="s">
        <v>183</v>
      </c>
      <c r="G32" s="245" t="s">
        <v>184</v>
      </c>
      <c r="H32" s="341">
        <v>8</v>
      </c>
      <c r="I32" s="273">
        <v>8</v>
      </c>
      <c r="J32" s="273">
        <v>8</v>
      </c>
      <c r="K32" s="273">
        <v>8</v>
      </c>
      <c r="L32" s="44" t="s">
        <v>9</v>
      </c>
      <c r="M32" s="273">
        <v>8</v>
      </c>
      <c r="N32" s="273">
        <v>8</v>
      </c>
      <c r="O32" s="273">
        <v>8</v>
      </c>
      <c r="P32" s="273">
        <v>8</v>
      </c>
      <c r="Q32" s="273">
        <v>8</v>
      </c>
      <c r="R32" s="273">
        <v>8</v>
      </c>
      <c r="S32" s="273">
        <v>8</v>
      </c>
      <c r="T32" s="273">
        <v>8</v>
      </c>
      <c r="U32" s="273">
        <v>8</v>
      </c>
      <c r="V32" s="44" t="s">
        <v>9</v>
      </c>
      <c r="W32" s="273">
        <v>8</v>
      </c>
      <c r="X32" s="273">
        <v>8</v>
      </c>
      <c r="Y32" s="273">
        <v>8</v>
      </c>
      <c r="Z32" s="273">
        <v>8</v>
      </c>
      <c r="AA32" s="273">
        <v>8</v>
      </c>
      <c r="AB32" s="44" t="s">
        <v>9</v>
      </c>
      <c r="AC32" s="44" t="s">
        <v>9</v>
      </c>
      <c r="AD32" s="273">
        <v>8</v>
      </c>
      <c r="AE32" s="273">
        <v>8</v>
      </c>
      <c r="AF32" s="273">
        <v>8</v>
      </c>
      <c r="AG32" s="273">
        <v>8</v>
      </c>
      <c r="AH32" s="273">
        <v>8</v>
      </c>
      <c r="AI32" s="273">
        <v>8</v>
      </c>
      <c r="AJ32" s="273">
        <v>8</v>
      </c>
      <c r="AK32" s="44" t="s">
        <v>9</v>
      </c>
      <c r="AL32" s="342">
        <v>8</v>
      </c>
      <c r="AM32" s="241">
        <f t="shared" si="33"/>
        <v>26</v>
      </c>
      <c r="AN32" s="245">
        <f t="shared" si="34"/>
        <v>208</v>
      </c>
      <c r="AO32" s="181">
        <f t="shared" si="35"/>
        <v>0</v>
      </c>
      <c r="AP32" s="63">
        <f t="shared" si="36"/>
        <v>5</v>
      </c>
      <c r="AQ32" s="63">
        <f t="shared" si="37"/>
        <v>0</v>
      </c>
      <c r="AR32" s="63">
        <f t="shared" si="38"/>
        <v>0</v>
      </c>
      <c r="AS32" s="63">
        <f t="shared" si="39"/>
        <v>0</v>
      </c>
      <c r="AT32" s="63">
        <f t="shared" si="47"/>
        <v>5</v>
      </c>
      <c r="AU32" s="221">
        <f t="shared" si="40"/>
        <v>5</v>
      </c>
      <c r="AV32" s="221">
        <f t="shared" si="41"/>
        <v>0</v>
      </c>
      <c r="AW32" s="221">
        <f t="shared" si="42"/>
        <v>0</v>
      </c>
      <c r="AX32" s="221">
        <f t="shared" si="43"/>
        <v>0</v>
      </c>
      <c r="AY32" s="221">
        <f t="shared" si="44"/>
        <v>0</v>
      </c>
      <c r="AZ32" s="221">
        <f t="shared" si="45"/>
        <v>0</v>
      </c>
      <c r="BA32" s="221">
        <f t="shared" si="46"/>
        <v>0</v>
      </c>
      <c r="BB32" s="77"/>
    </row>
    <row r="33" spans="1:55" s="270" customFormat="1" ht="30" customHeight="1">
      <c r="B33" s="410" t="s">
        <v>214</v>
      </c>
      <c r="C33" s="248" t="s">
        <v>186</v>
      </c>
      <c r="D33" s="345" t="s">
        <v>187</v>
      </c>
      <c r="E33" s="245" t="s">
        <v>40</v>
      </c>
      <c r="F33" s="241" t="s">
        <v>183</v>
      </c>
      <c r="G33" s="245" t="s">
        <v>184</v>
      </c>
      <c r="H33" s="341">
        <v>8</v>
      </c>
      <c r="I33" s="273">
        <v>8</v>
      </c>
      <c r="J33" s="273">
        <v>8</v>
      </c>
      <c r="K33" s="273">
        <v>8</v>
      </c>
      <c r="L33" s="273">
        <v>8</v>
      </c>
      <c r="M33" s="273">
        <v>8</v>
      </c>
      <c r="N33" s="273">
        <v>8</v>
      </c>
      <c r="O33" s="44" t="s">
        <v>9</v>
      </c>
      <c r="P33" s="273">
        <v>8</v>
      </c>
      <c r="Q33" s="273">
        <v>8</v>
      </c>
      <c r="R33" s="273">
        <v>8</v>
      </c>
      <c r="S33" s="273">
        <v>8</v>
      </c>
      <c r="T33" s="273">
        <v>8</v>
      </c>
      <c r="U33" s="44" t="s">
        <v>9</v>
      </c>
      <c r="V33" s="273">
        <v>8</v>
      </c>
      <c r="W33" s="273">
        <v>8</v>
      </c>
      <c r="X33" s="273">
        <v>8</v>
      </c>
      <c r="Y33" s="273">
        <v>8</v>
      </c>
      <c r="Z33" s="273">
        <v>8</v>
      </c>
      <c r="AA33" s="273">
        <v>8</v>
      </c>
      <c r="AB33" s="44" t="s">
        <v>9</v>
      </c>
      <c r="AC33" s="44" t="s">
        <v>9</v>
      </c>
      <c r="AD33" s="273">
        <v>8</v>
      </c>
      <c r="AE33" s="273">
        <v>8</v>
      </c>
      <c r="AF33" s="273">
        <v>8</v>
      </c>
      <c r="AG33" s="273">
        <v>8</v>
      </c>
      <c r="AH33" s="273">
        <v>8</v>
      </c>
      <c r="AI33" s="44" t="s">
        <v>9</v>
      </c>
      <c r="AJ33" s="273">
        <v>8</v>
      </c>
      <c r="AK33" s="273">
        <v>8</v>
      </c>
      <c r="AL33" s="342">
        <v>8</v>
      </c>
      <c r="AM33" s="241">
        <f t="shared" si="33"/>
        <v>26</v>
      </c>
      <c r="AN33" s="245">
        <f t="shared" si="34"/>
        <v>208</v>
      </c>
      <c r="AO33" s="181">
        <f t="shared" si="35"/>
        <v>0</v>
      </c>
      <c r="AP33" s="63">
        <f t="shared" si="36"/>
        <v>5</v>
      </c>
      <c r="AQ33" s="63">
        <f t="shared" si="37"/>
        <v>0</v>
      </c>
      <c r="AR33" s="63">
        <f t="shared" si="38"/>
        <v>0</v>
      </c>
      <c r="AS33" s="63">
        <f t="shared" si="39"/>
        <v>0</v>
      </c>
      <c r="AT33" s="63">
        <f t="shared" si="47"/>
        <v>5</v>
      </c>
      <c r="AU33" s="221">
        <f t="shared" si="40"/>
        <v>5</v>
      </c>
      <c r="AV33" s="221">
        <f t="shared" si="41"/>
        <v>0</v>
      </c>
      <c r="AW33" s="221">
        <f t="shared" si="42"/>
        <v>0</v>
      </c>
      <c r="AX33" s="221">
        <f t="shared" si="43"/>
        <v>0</v>
      </c>
      <c r="AY33" s="221">
        <f t="shared" si="44"/>
        <v>0</v>
      </c>
      <c r="AZ33" s="221">
        <f t="shared" si="45"/>
        <v>0</v>
      </c>
      <c r="BA33" s="221">
        <f t="shared" si="46"/>
        <v>0</v>
      </c>
      <c r="BB33" s="77"/>
    </row>
    <row r="34" spans="1:55" s="270" customFormat="1" ht="30" customHeight="1">
      <c r="B34" s="410" t="s">
        <v>217</v>
      </c>
      <c r="C34" s="275" t="s">
        <v>263</v>
      </c>
      <c r="D34" s="346" t="s">
        <v>264</v>
      </c>
      <c r="E34" s="274" t="s">
        <v>40</v>
      </c>
      <c r="F34" s="286" t="s">
        <v>183</v>
      </c>
      <c r="G34" s="245" t="s">
        <v>184</v>
      </c>
      <c r="H34" s="341">
        <v>8</v>
      </c>
      <c r="I34" s="273">
        <v>8</v>
      </c>
      <c r="J34" s="44" t="s">
        <v>9</v>
      </c>
      <c r="K34" s="273">
        <v>8</v>
      </c>
      <c r="L34" s="273">
        <v>8</v>
      </c>
      <c r="M34" s="273">
        <v>8</v>
      </c>
      <c r="N34" s="273">
        <v>8</v>
      </c>
      <c r="O34" s="273">
        <v>8</v>
      </c>
      <c r="P34" s="273">
        <v>8</v>
      </c>
      <c r="Q34" s="273">
        <v>8</v>
      </c>
      <c r="R34" s="273">
        <v>8</v>
      </c>
      <c r="S34" s="273">
        <v>8</v>
      </c>
      <c r="T34" s="273">
        <v>8</v>
      </c>
      <c r="U34" s="44" t="s">
        <v>9</v>
      </c>
      <c r="V34" s="44" t="s">
        <v>9</v>
      </c>
      <c r="W34" s="273">
        <v>8</v>
      </c>
      <c r="X34" s="273">
        <v>8</v>
      </c>
      <c r="Y34" s="273">
        <v>8</v>
      </c>
      <c r="Z34" s="273">
        <v>8</v>
      </c>
      <c r="AA34" s="273">
        <v>8</v>
      </c>
      <c r="AB34" s="273">
        <v>8</v>
      </c>
      <c r="AC34" s="273">
        <v>8</v>
      </c>
      <c r="AD34" s="273">
        <v>8</v>
      </c>
      <c r="AE34" s="44">
        <v>8</v>
      </c>
      <c r="AF34" s="44" t="s">
        <v>9</v>
      </c>
      <c r="AG34" s="44" t="s">
        <v>9</v>
      </c>
      <c r="AH34" s="273">
        <v>8</v>
      </c>
      <c r="AI34" s="273">
        <v>8</v>
      </c>
      <c r="AJ34" s="327">
        <v>8</v>
      </c>
      <c r="AK34" s="273">
        <v>8</v>
      </c>
      <c r="AL34" s="342">
        <v>8</v>
      </c>
      <c r="AM34" s="241">
        <f t="shared" si="33"/>
        <v>26</v>
      </c>
      <c r="AN34" s="245">
        <f t="shared" si="34"/>
        <v>208</v>
      </c>
      <c r="AO34" s="181">
        <f t="shared" si="35"/>
        <v>0</v>
      </c>
      <c r="AP34" s="63">
        <f t="shared" si="36"/>
        <v>5</v>
      </c>
      <c r="AQ34" s="63">
        <f t="shared" si="37"/>
        <v>0</v>
      </c>
      <c r="AR34" s="63">
        <f t="shared" si="38"/>
        <v>0</v>
      </c>
      <c r="AS34" s="63">
        <f t="shared" si="39"/>
        <v>0</v>
      </c>
      <c r="AT34" s="63">
        <f t="shared" si="47"/>
        <v>5</v>
      </c>
      <c r="AU34" s="221">
        <f t="shared" si="40"/>
        <v>5</v>
      </c>
      <c r="AV34" s="221">
        <f t="shared" si="41"/>
        <v>0</v>
      </c>
      <c r="AW34" s="221">
        <f t="shared" si="42"/>
        <v>0</v>
      </c>
      <c r="AX34" s="221">
        <f t="shared" si="43"/>
        <v>0</v>
      </c>
      <c r="AY34" s="221">
        <f t="shared" si="44"/>
        <v>0</v>
      </c>
      <c r="AZ34" s="221">
        <f t="shared" si="45"/>
        <v>0</v>
      </c>
      <c r="BA34" s="221">
        <f t="shared" si="46"/>
        <v>0</v>
      </c>
      <c r="BB34" s="77"/>
    </row>
    <row r="35" spans="1:55" s="270" customFormat="1" ht="30" customHeight="1">
      <c r="B35" s="410" t="s">
        <v>220</v>
      </c>
      <c r="C35" s="248" t="s">
        <v>271</v>
      </c>
      <c r="D35" s="346" t="s">
        <v>272</v>
      </c>
      <c r="E35" s="245" t="s">
        <v>40</v>
      </c>
      <c r="F35" s="241" t="s">
        <v>183</v>
      </c>
      <c r="G35" s="245" t="s">
        <v>184</v>
      </c>
      <c r="H35" s="341">
        <v>8</v>
      </c>
      <c r="I35" s="273">
        <v>8</v>
      </c>
      <c r="J35" s="273">
        <v>8</v>
      </c>
      <c r="K35" s="273">
        <v>8</v>
      </c>
      <c r="L35" s="273">
        <v>8</v>
      </c>
      <c r="M35" s="273">
        <v>8</v>
      </c>
      <c r="N35" s="44" t="s">
        <v>9</v>
      </c>
      <c r="O35" s="273">
        <v>8</v>
      </c>
      <c r="P35" s="273">
        <v>8</v>
      </c>
      <c r="Q35" s="273">
        <v>8</v>
      </c>
      <c r="R35" s="273">
        <v>8</v>
      </c>
      <c r="S35" s="273">
        <v>8</v>
      </c>
      <c r="T35" s="273">
        <v>8</v>
      </c>
      <c r="U35" s="273">
        <v>8</v>
      </c>
      <c r="V35" s="44" t="s">
        <v>9</v>
      </c>
      <c r="W35" s="273">
        <v>8</v>
      </c>
      <c r="X35" s="273">
        <v>8</v>
      </c>
      <c r="Y35" s="273">
        <v>8</v>
      </c>
      <c r="Z35" s="273">
        <v>8</v>
      </c>
      <c r="AA35" s="273">
        <v>8</v>
      </c>
      <c r="AB35" s="273">
        <v>8</v>
      </c>
      <c r="AC35" s="273">
        <v>8</v>
      </c>
      <c r="AD35" s="44" t="s">
        <v>9</v>
      </c>
      <c r="AE35" s="273">
        <v>8</v>
      </c>
      <c r="AF35" s="273">
        <v>8</v>
      </c>
      <c r="AG35" s="273">
        <v>8</v>
      </c>
      <c r="AH35" s="273">
        <v>8</v>
      </c>
      <c r="AI35" s="273">
        <v>8</v>
      </c>
      <c r="AJ35" s="273">
        <v>8</v>
      </c>
      <c r="AK35" s="44" t="s">
        <v>9</v>
      </c>
      <c r="AL35" s="340" t="s">
        <v>9</v>
      </c>
      <c r="AM35" s="241">
        <f t="shared" si="33"/>
        <v>26</v>
      </c>
      <c r="AN35" s="245">
        <f t="shared" si="34"/>
        <v>208</v>
      </c>
      <c r="AO35" s="181">
        <f t="shared" si="35"/>
        <v>0</v>
      </c>
      <c r="AP35" s="63">
        <f t="shared" si="36"/>
        <v>5</v>
      </c>
      <c r="AQ35" s="63">
        <f t="shared" si="37"/>
        <v>0</v>
      </c>
      <c r="AR35" s="63">
        <f t="shared" si="38"/>
        <v>0</v>
      </c>
      <c r="AS35" s="63">
        <f t="shared" si="39"/>
        <v>0</v>
      </c>
      <c r="AT35" s="63">
        <f t="shared" si="47"/>
        <v>5</v>
      </c>
      <c r="AU35" s="221">
        <f t="shared" si="40"/>
        <v>5</v>
      </c>
      <c r="AV35" s="221">
        <f t="shared" si="41"/>
        <v>0</v>
      </c>
      <c r="AW35" s="221">
        <f t="shared" si="42"/>
        <v>0</v>
      </c>
      <c r="AX35" s="221">
        <f t="shared" si="43"/>
        <v>0</v>
      </c>
      <c r="AY35" s="221">
        <f t="shared" si="44"/>
        <v>0</v>
      </c>
      <c r="AZ35" s="221">
        <f t="shared" si="45"/>
        <v>0</v>
      </c>
      <c r="BA35" s="221">
        <f t="shared" si="46"/>
        <v>0</v>
      </c>
      <c r="BB35" s="77"/>
    </row>
    <row r="36" spans="1:55" s="270" customFormat="1" ht="30" customHeight="1">
      <c r="B36" s="410" t="s">
        <v>223</v>
      </c>
      <c r="C36" s="248" t="s">
        <v>206</v>
      </c>
      <c r="D36" s="345" t="s">
        <v>207</v>
      </c>
      <c r="E36" s="245" t="s">
        <v>40</v>
      </c>
      <c r="F36" s="241" t="s">
        <v>183</v>
      </c>
      <c r="G36" s="245" t="s">
        <v>184</v>
      </c>
      <c r="H36" s="264" t="s">
        <v>9</v>
      </c>
      <c r="I36" s="273">
        <v>8</v>
      </c>
      <c r="J36" s="273">
        <v>8</v>
      </c>
      <c r="K36" s="273">
        <v>8</v>
      </c>
      <c r="L36" s="273">
        <v>8</v>
      </c>
      <c r="M36" s="273">
        <v>8</v>
      </c>
      <c r="N36" s="273">
        <v>8</v>
      </c>
      <c r="O36" s="44" t="s">
        <v>9</v>
      </c>
      <c r="P36" s="273">
        <v>8</v>
      </c>
      <c r="Q36" s="273">
        <v>8</v>
      </c>
      <c r="R36" s="273">
        <v>8</v>
      </c>
      <c r="S36" s="273">
        <v>8</v>
      </c>
      <c r="T36" s="273">
        <v>8</v>
      </c>
      <c r="U36" s="273">
        <v>8</v>
      </c>
      <c r="V36" s="44" t="s">
        <v>9</v>
      </c>
      <c r="W36" s="273">
        <v>8</v>
      </c>
      <c r="X36" s="273">
        <v>8</v>
      </c>
      <c r="Y36" s="273">
        <v>8</v>
      </c>
      <c r="Z36" s="273">
        <v>8</v>
      </c>
      <c r="AA36" s="273">
        <v>8</v>
      </c>
      <c r="AB36" s="273">
        <v>8</v>
      </c>
      <c r="AC36" s="273">
        <v>8</v>
      </c>
      <c r="AD36" s="273">
        <v>8</v>
      </c>
      <c r="AE36" s="44" t="s">
        <v>9</v>
      </c>
      <c r="AF36" s="44" t="s">
        <v>9</v>
      </c>
      <c r="AG36" s="273">
        <v>8</v>
      </c>
      <c r="AH36" s="273">
        <v>8</v>
      </c>
      <c r="AI36" s="273">
        <v>8</v>
      </c>
      <c r="AJ36" s="273">
        <v>8</v>
      </c>
      <c r="AK36" s="273">
        <v>8</v>
      </c>
      <c r="AL36" s="342">
        <v>8</v>
      </c>
      <c r="AM36" s="241">
        <f t="shared" si="33"/>
        <v>26</v>
      </c>
      <c r="AN36" s="245">
        <f t="shared" si="34"/>
        <v>208</v>
      </c>
      <c r="AO36" s="181">
        <f t="shared" si="35"/>
        <v>0</v>
      </c>
      <c r="AP36" s="63">
        <f t="shared" si="36"/>
        <v>5</v>
      </c>
      <c r="AQ36" s="63">
        <f t="shared" si="37"/>
        <v>0</v>
      </c>
      <c r="AR36" s="63">
        <f t="shared" si="38"/>
        <v>0</v>
      </c>
      <c r="AS36" s="63">
        <f t="shared" si="39"/>
        <v>0</v>
      </c>
      <c r="AT36" s="63">
        <f t="shared" si="47"/>
        <v>5</v>
      </c>
      <c r="AU36" s="221">
        <f t="shared" si="40"/>
        <v>5</v>
      </c>
      <c r="AV36" s="221">
        <f t="shared" si="41"/>
        <v>0</v>
      </c>
      <c r="AW36" s="221">
        <f t="shared" si="42"/>
        <v>0</v>
      </c>
      <c r="AX36" s="221">
        <f t="shared" si="43"/>
        <v>0</v>
      </c>
      <c r="AY36" s="221">
        <f t="shared" si="44"/>
        <v>0</v>
      </c>
      <c r="AZ36" s="221">
        <f t="shared" si="45"/>
        <v>0</v>
      </c>
      <c r="BA36" s="221">
        <f t="shared" si="46"/>
        <v>0</v>
      </c>
      <c r="BB36" s="77"/>
    </row>
    <row r="37" spans="1:55" s="240" customFormat="1" ht="30" customHeight="1">
      <c r="A37" s="270"/>
      <c r="B37" s="410" t="s">
        <v>226</v>
      </c>
      <c r="C37" s="248" t="s">
        <v>221</v>
      </c>
      <c r="D37" s="346" t="s">
        <v>222</v>
      </c>
      <c r="E37" s="245" t="s">
        <v>40</v>
      </c>
      <c r="F37" s="241" t="s">
        <v>183</v>
      </c>
      <c r="G37" s="245" t="s">
        <v>184</v>
      </c>
      <c r="H37" s="341">
        <v>8</v>
      </c>
      <c r="I37" s="273">
        <v>8</v>
      </c>
      <c r="J37" s="273">
        <v>8</v>
      </c>
      <c r="K37" s="273">
        <v>8</v>
      </c>
      <c r="L37" s="273">
        <v>8</v>
      </c>
      <c r="M37" s="44" t="s">
        <v>9</v>
      </c>
      <c r="N37" s="273">
        <v>8</v>
      </c>
      <c r="O37" s="273">
        <v>8</v>
      </c>
      <c r="P37" s="273">
        <v>8</v>
      </c>
      <c r="Q37" s="273">
        <v>8</v>
      </c>
      <c r="R37" s="273">
        <v>8</v>
      </c>
      <c r="S37" s="273">
        <v>8</v>
      </c>
      <c r="T37" s="273">
        <v>8</v>
      </c>
      <c r="U37" s="273">
        <v>8</v>
      </c>
      <c r="V37" s="273">
        <v>8</v>
      </c>
      <c r="W37" s="44" t="s">
        <v>9</v>
      </c>
      <c r="X37" s="44" t="s">
        <v>9</v>
      </c>
      <c r="Y37" s="44" t="s">
        <v>9</v>
      </c>
      <c r="Z37" s="273">
        <v>8</v>
      </c>
      <c r="AA37" s="273">
        <v>8</v>
      </c>
      <c r="AB37" s="273">
        <v>8</v>
      </c>
      <c r="AC37" s="273">
        <v>8</v>
      </c>
      <c r="AD37" s="273">
        <v>8</v>
      </c>
      <c r="AE37" s="273">
        <v>8</v>
      </c>
      <c r="AF37" s="44" t="s">
        <v>9</v>
      </c>
      <c r="AG37" s="273">
        <v>8</v>
      </c>
      <c r="AH37" s="273">
        <v>8</v>
      </c>
      <c r="AI37" s="273">
        <v>8</v>
      </c>
      <c r="AJ37" s="273">
        <v>8</v>
      </c>
      <c r="AK37" s="273">
        <v>8</v>
      </c>
      <c r="AL37" s="342">
        <v>8</v>
      </c>
      <c r="AM37" s="241">
        <f t="shared" si="33"/>
        <v>26</v>
      </c>
      <c r="AN37" s="245">
        <f t="shared" si="34"/>
        <v>208</v>
      </c>
      <c r="AO37" s="181">
        <f t="shared" si="35"/>
        <v>0</v>
      </c>
      <c r="AP37" s="63">
        <f t="shared" si="36"/>
        <v>5</v>
      </c>
      <c r="AQ37" s="63">
        <f t="shared" si="37"/>
        <v>0</v>
      </c>
      <c r="AR37" s="63">
        <f t="shared" si="38"/>
        <v>0</v>
      </c>
      <c r="AS37" s="63">
        <f t="shared" si="39"/>
        <v>0</v>
      </c>
      <c r="AT37" s="63">
        <f t="shared" si="47"/>
        <v>5</v>
      </c>
      <c r="AU37" s="221">
        <f t="shared" si="40"/>
        <v>5</v>
      </c>
      <c r="AV37" s="221">
        <f t="shared" si="41"/>
        <v>0</v>
      </c>
      <c r="AW37" s="221">
        <f t="shared" si="42"/>
        <v>0</v>
      </c>
      <c r="AX37" s="221">
        <f t="shared" si="43"/>
        <v>0</v>
      </c>
      <c r="AY37" s="221">
        <f t="shared" si="44"/>
        <v>0</v>
      </c>
      <c r="AZ37" s="221">
        <f t="shared" si="45"/>
        <v>0</v>
      </c>
      <c r="BA37" s="221">
        <f t="shared" si="46"/>
        <v>0</v>
      </c>
      <c r="BB37" s="77"/>
      <c r="BC37" s="270"/>
    </row>
    <row r="38" spans="1:55" s="240" customFormat="1" ht="30" customHeight="1">
      <c r="B38" s="410" t="s">
        <v>229</v>
      </c>
      <c r="C38" s="275" t="s">
        <v>209</v>
      </c>
      <c r="D38" s="346" t="s">
        <v>210</v>
      </c>
      <c r="E38" s="274" t="s">
        <v>40</v>
      </c>
      <c r="F38" s="286" t="s">
        <v>183</v>
      </c>
      <c r="G38" s="274" t="s">
        <v>184</v>
      </c>
      <c r="H38" s="341">
        <v>8</v>
      </c>
      <c r="I38" s="273">
        <v>8</v>
      </c>
      <c r="J38" s="44" t="s">
        <v>9</v>
      </c>
      <c r="K38" s="273">
        <v>8</v>
      </c>
      <c r="L38" s="273">
        <v>8</v>
      </c>
      <c r="M38" s="273">
        <v>8</v>
      </c>
      <c r="N38" s="273">
        <v>8</v>
      </c>
      <c r="O38" s="273">
        <v>8</v>
      </c>
      <c r="P38" s="273">
        <v>8</v>
      </c>
      <c r="Q38" s="273">
        <v>8</v>
      </c>
      <c r="R38" s="273">
        <v>8</v>
      </c>
      <c r="S38" s="44" t="s">
        <v>9</v>
      </c>
      <c r="T38" s="273">
        <v>8</v>
      </c>
      <c r="U38" s="273">
        <v>8</v>
      </c>
      <c r="V38" s="273">
        <v>8</v>
      </c>
      <c r="W38" s="273">
        <v>8</v>
      </c>
      <c r="X38" s="273">
        <v>8</v>
      </c>
      <c r="Y38" s="273">
        <v>8</v>
      </c>
      <c r="Z38" s="273">
        <v>8</v>
      </c>
      <c r="AA38" s="273">
        <v>8</v>
      </c>
      <c r="AB38" s="273">
        <v>8</v>
      </c>
      <c r="AC38" s="44" t="s">
        <v>9</v>
      </c>
      <c r="AD38" s="273" t="s">
        <v>415</v>
      </c>
      <c r="AE38" s="273">
        <v>8</v>
      </c>
      <c r="AF38" s="273">
        <v>8</v>
      </c>
      <c r="AG38" s="273">
        <v>8</v>
      </c>
      <c r="AH38" s="273">
        <v>8</v>
      </c>
      <c r="AI38" s="273">
        <v>8</v>
      </c>
      <c r="AJ38" s="273">
        <v>8</v>
      </c>
      <c r="AK38" s="273">
        <v>8</v>
      </c>
      <c r="AL38" s="340" t="s">
        <v>9</v>
      </c>
      <c r="AM38" s="286">
        <f t="shared" si="33"/>
        <v>26</v>
      </c>
      <c r="AN38" s="274">
        <f t="shared" si="34"/>
        <v>208</v>
      </c>
      <c r="AO38" s="177">
        <f t="shared" si="35"/>
        <v>0</v>
      </c>
      <c r="AP38" s="178">
        <f t="shared" si="36"/>
        <v>5</v>
      </c>
      <c r="AQ38" s="178">
        <f t="shared" si="37"/>
        <v>0</v>
      </c>
      <c r="AR38" s="178">
        <f t="shared" si="38"/>
        <v>0</v>
      </c>
      <c r="AS38" s="178">
        <f t="shared" si="39"/>
        <v>0</v>
      </c>
      <c r="AT38" s="63">
        <f t="shared" si="47"/>
        <v>5</v>
      </c>
      <c r="AU38" s="221">
        <f t="shared" si="40"/>
        <v>5</v>
      </c>
      <c r="AV38" s="221">
        <f t="shared" si="41"/>
        <v>0</v>
      </c>
      <c r="AW38" s="221">
        <f t="shared" si="42"/>
        <v>0</v>
      </c>
      <c r="AX38" s="221">
        <f t="shared" si="43"/>
        <v>0</v>
      </c>
      <c r="AY38" s="221">
        <f t="shared" si="44"/>
        <v>0</v>
      </c>
      <c r="AZ38" s="221">
        <f t="shared" si="45"/>
        <v>0</v>
      </c>
      <c r="BA38" s="221">
        <f t="shared" si="46"/>
        <v>0</v>
      </c>
      <c r="BB38" s="77"/>
    </row>
    <row r="39" spans="1:55" s="270" customFormat="1" ht="30" customHeight="1">
      <c r="B39" s="410" t="s">
        <v>232</v>
      </c>
      <c r="C39" s="248" t="s">
        <v>218</v>
      </c>
      <c r="D39" s="346" t="s">
        <v>219</v>
      </c>
      <c r="E39" s="245" t="s">
        <v>40</v>
      </c>
      <c r="F39" s="241" t="s">
        <v>183</v>
      </c>
      <c r="G39" s="245" t="s">
        <v>184</v>
      </c>
      <c r="H39" s="341">
        <v>8</v>
      </c>
      <c r="I39" s="273">
        <v>8</v>
      </c>
      <c r="J39" s="273">
        <v>8</v>
      </c>
      <c r="K39" s="44" t="s">
        <v>9</v>
      </c>
      <c r="L39" s="273">
        <v>8</v>
      </c>
      <c r="M39" s="273">
        <v>8</v>
      </c>
      <c r="N39" s="273">
        <v>8</v>
      </c>
      <c r="O39" s="273">
        <v>8</v>
      </c>
      <c r="P39" s="273">
        <v>8</v>
      </c>
      <c r="Q39" s="273">
        <v>8</v>
      </c>
      <c r="R39" s="273">
        <v>8</v>
      </c>
      <c r="S39" s="273">
        <v>8</v>
      </c>
      <c r="T39" s="44" t="s">
        <v>9</v>
      </c>
      <c r="U39" s="44" t="s">
        <v>9</v>
      </c>
      <c r="V39" s="273">
        <v>8</v>
      </c>
      <c r="W39" s="273">
        <v>8</v>
      </c>
      <c r="X39" s="273">
        <v>8</v>
      </c>
      <c r="Y39" s="273">
        <v>8</v>
      </c>
      <c r="Z39" s="273">
        <v>8</v>
      </c>
      <c r="AA39" s="273">
        <v>8</v>
      </c>
      <c r="AB39" s="273">
        <v>8</v>
      </c>
      <c r="AC39" s="273">
        <v>8</v>
      </c>
      <c r="AD39" s="273">
        <v>8</v>
      </c>
      <c r="AE39" s="44" t="s">
        <v>9</v>
      </c>
      <c r="AF39" s="273">
        <v>8</v>
      </c>
      <c r="AG39" s="273">
        <v>8</v>
      </c>
      <c r="AH39" s="273">
        <v>8</v>
      </c>
      <c r="AI39" s="273">
        <v>8</v>
      </c>
      <c r="AJ39" s="273">
        <v>8</v>
      </c>
      <c r="AK39" s="273">
        <v>8</v>
      </c>
      <c r="AL39" s="340" t="s">
        <v>9</v>
      </c>
      <c r="AM39" s="241">
        <f t="shared" si="33"/>
        <v>26</v>
      </c>
      <c r="AN39" s="245">
        <f t="shared" si="34"/>
        <v>208</v>
      </c>
      <c r="AO39" s="181">
        <f t="shared" si="35"/>
        <v>0</v>
      </c>
      <c r="AP39" s="63">
        <f t="shared" si="36"/>
        <v>5</v>
      </c>
      <c r="AQ39" s="63">
        <f t="shared" si="37"/>
        <v>0</v>
      </c>
      <c r="AR39" s="63">
        <f t="shared" si="38"/>
        <v>0</v>
      </c>
      <c r="AS39" s="63">
        <f t="shared" si="39"/>
        <v>0</v>
      </c>
      <c r="AT39" s="63">
        <f t="shared" si="47"/>
        <v>5</v>
      </c>
      <c r="AU39" s="221">
        <f t="shared" ref="AU39:AU46" si="48">COUNTIF(H39:AL39,"RD")</f>
        <v>5</v>
      </c>
      <c r="AV39" s="221">
        <f t="shared" si="41"/>
        <v>0</v>
      </c>
      <c r="AW39" s="221">
        <f t="shared" si="42"/>
        <v>0</v>
      </c>
      <c r="AX39" s="221">
        <f t="shared" si="43"/>
        <v>0</v>
      </c>
      <c r="AY39" s="221">
        <f t="shared" si="44"/>
        <v>0</v>
      </c>
      <c r="AZ39" s="221">
        <f t="shared" si="45"/>
        <v>0</v>
      </c>
      <c r="BA39" s="221">
        <f t="shared" si="46"/>
        <v>0</v>
      </c>
      <c r="BB39" s="77"/>
    </row>
    <row r="40" spans="1:55" s="270" customFormat="1" ht="30" customHeight="1">
      <c r="B40" s="410" t="s">
        <v>235</v>
      </c>
      <c r="C40" s="248" t="s">
        <v>215</v>
      </c>
      <c r="D40" s="346" t="s">
        <v>216</v>
      </c>
      <c r="E40" s="245" t="s">
        <v>40</v>
      </c>
      <c r="F40" s="241" t="s">
        <v>183</v>
      </c>
      <c r="G40" s="245" t="s">
        <v>184</v>
      </c>
      <c r="H40" s="341">
        <v>8</v>
      </c>
      <c r="I40" s="273">
        <v>8</v>
      </c>
      <c r="J40" s="273">
        <v>8</v>
      </c>
      <c r="K40" s="44" t="s">
        <v>9</v>
      </c>
      <c r="L40" s="273">
        <v>8</v>
      </c>
      <c r="M40" s="273">
        <v>8</v>
      </c>
      <c r="N40" s="273">
        <v>8</v>
      </c>
      <c r="O40" s="273">
        <v>8</v>
      </c>
      <c r="P40" s="273">
        <v>8</v>
      </c>
      <c r="Q40" s="44" t="s">
        <v>9</v>
      </c>
      <c r="R40" s="273">
        <v>8</v>
      </c>
      <c r="S40" s="273">
        <v>8</v>
      </c>
      <c r="T40" s="273">
        <v>8</v>
      </c>
      <c r="U40" s="273">
        <v>8</v>
      </c>
      <c r="V40" s="273">
        <v>8</v>
      </c>
      <c r="W40" s="44" t="s">
        <v>9</v>
      </c>
      <c r="X40" s="273">
        <v>8</v>
      </c>
      <c r="Y40" s="273">
        <v>8</v>
      </c>
      <c r="Z40" s="273">
        <v>8</v>
      </c>
      <c r="AA40" s="273">
        <v>8</v>
      </c>
      <c r="AB40" s="273">
        <v>8</v>
      </c>
      <c r="AC40" s="273">
        <v>8</v>
      </c>
      <c r="AD40" s="273">
        <v>8</v>
      </c>
      <c r="AE40" s="273">
        <v>8</v>
      </c>
      <c r="AF40" s="44" t="s">
        <v>9</v>
      </c>
      <c r="AG40" s="273">
        <v>8</v>
      </c>
      <c r="AH40" s="273">
        <v>8</v>
      </c>
      <c r="AI40" s="273">
        <v>8</v>
      </c>
      <c r="AJ40" s="273">
        <v>8</v>
      </c>
      <c r="AK40" s="273">
        <v>8</v>
      </c>
      <c r="AL40" s="340" t="s">
        <v>9</v>
      </c>
      <c r="AM40" s="241">
        <f t="shared" si="33"/>
        <v>26</v>
      </c>
      <c r="AN40" s="245">
        <f t="shared" si="34"/>
        <v>208</v>
      </c>
      <c r="AO40" s="181">
        <f t="shared" si="35"/>
        <v>0</v>
      </c>
      <c r="AP40" s="63">
        <f t="shared" si="36"/>
        <v>5</v>
      </c>
      <c r="AQ40" s="63">
        <f t="shared" si="37"/>
        <v>0</v>
      </c>
      <c r="AR40" s="63">
        <f t="shared" si="38"/>
        <v>0</v>
      </c>
      <c r="AS40" s="63">
        <f t="shared" si="39"/>
        <v>0</v>
      </c>
      <c r="AT40" s="63">
        <f t="shared" si="47"/>
        <v>5</v>
      </c>
      <c r="AU40" s="221">
        <f t="shared" si="48"/>
        <v>5</v>
      </c>
      <c r="AV40" s="221">
        <f t="shared" si="41"/>
        <v>0</v>
      </c>
      <c r="AW40" s="221">
        <f t="shared" si="42"/>
        <v>0</v>
      </c>
      <c r="AX40" s="221">
        <f t="shared" si="43"/>
        <v>0</v>
      </c>
      <c r="AY40" s="221">
        <f t="shared" si="44"/>
        <v>0</v>
      </c>
      <c r="AZ40" s="221">
        <f t="shared" si="45"/>
        <v>0</v>
      </c>
      <c r="BA40" s="221">
        <f t="shared" si="46"/>
        <v>0</v>
      </c>
      <c r="BB40" s="77"/>
    </row>
    <row r="41" spans="1:55" s="270" customFormat="1" ht="30" customHeight="1">
      <c r="B41" s="410" t="s">
        <v>238</v>
      </c>
      <c r="C41" s="248" t="s">
        <v>236</v>
      </c>
      <c r="D41" s="346" t="s">
        <v>237</v>
      </c>
      <c r="E41" s="245" t="s">
        <v>40</v>
      </c>
      <c r="F41" s="241" t="s">
        <v>183</v>
      </c>
      <c r="G41" s="245" t="s">
        <v>184</v>
      </c>
      <c r="H41" s="341">
        <v>8</v>
      </c>
      <c r="I41" s="273">
        <v>8</v>
      </c>
      <c r="J41" s="273">
        <v>8</v>
      </c>
      <c r="K41" s="273">
        <v>8</v>
      </c>
      <c r="L41" s="44" t="s">
        <v>9</v>
      </c>
      <c r="M41" s="273">
        <v>8</v>
      </c>
      <c r="N41" s="273">
        <v>8</v>
      </c>
      <c r="O41" s="273">
        <v>8</v>
      </c>
      <c r="P41" s="273">
        <v>8</v>
      </c>
      <c r="Q41" s="273">
        <v>8</v>
      </c>
      <c r="R41" s="273">
        <v>8</v>
      </c>
      <c r="S41" s="44" t="s">
        <v>9</v>
      </c>
      <c r="T41" s="273">
        <v>8</v>
      </c>
      <c r="U41" s="273">
        <v>8</v>
      </c>
      <c r="V41" s="273">
        <v>8</v>
      </c>
      <c r="W41" s="273">
        <v>8</v>
      </c>
      <c r="X41" s="44" t="s">
        <v>9</v>
      </c>
      <c r="Y41" s="44" t="s">
        <v>9</v>
      </c>
      <c r="Z41" s="273">
        <v>8</v>
      </c>
      <c r="AA41" s="273">
        <v>8</v>
      </c>
      <c r="AB41" s="273">
        <v>8</v>
      </c>
      <c r="AC41" s="273">
        <v>8</v>
      </c>
      <c r="AD41" s="273">
        <v>8</v>
      </c>
      <c r="AE41" s="44" t="s">
        <v>9</v>
      </c>
      <c r="AF41" s="273">
        <v>8</v>
      </c>
      <c r="AG41" s="44">
        <v>8</v>
      </c>
      <c r="AH41" s="273">
        <v>8</v>
      </c>
      <c r="AI41" s="273">
        <v>8</v>
      </c>
      <c r="AJ41" s="273">
        <v>8</v>
      </c>
      <c r="AK41" s="273">
        <v>8</v>
      </c>
      <c r="AL41" s="342">
        <v>8</v>
      </c>
      <c r="AM41" s="241">
        <f t="shared" si="33"/>
        <v>26</v>
      </c>
      <c r="AN41" s="245">
        <f t="shared" si="34"/>
        <v>208</v>
      </c>
      <c r="AO41" s="181">
        <f t="shared" si="35"/>
        <v>0</v>
      </c>
      <c r="AP41" s="63">
        <f t="shared" si="36"/>
        <v>5</v>
      </c>
      <c r="AQ41" s="63">
        <f t="shared" si="37"/>
        <v>0</v>
      </c>
      <c r="AR41" s="63">
        <f t="shared" si="38"/>
        <v>0</v>
      </c>
      <c r="AS41" s="63">
        <f t="shared" si="39"/>
        <v>0</v>
      </c>
      <c r="AT41" s="63">
        <f t="shared" si="47"/>
        <v>5</v>
      </c>
      <c r="AU41" s="221">
        <f t="shared" si="48"/>
        <v>5</v>
      </c>
      <c r="AV41" s="221">
        <f t="shared" si="41"/>
        <v>0</v>
      </c>
      <c r="AW41" s="221">
        <f t="shared" si="42"/>
        <v>0</v>
      </c>
      <c r="AX41" s="221">
        <f t="shared" si="43"/>
        <v>0</v>
      </c>
      <c r="AY41" s="221">
        <f t="shared" si="44"/>
        <v>0</v>
      </c>
      <c r="AZ41" s="221">
        <f t="shared" si="45"/>
        <v>0</v>
      </c>
      <c r="BA41" s="221">
        <f t="shared" si="46"/>
        <v>0</v>
      </c>
      <c r="BB41" s="77"/>
    </row>
    <row r="42" spans="1:55" s="270" customFormat="1" ht="30" customHeight="1">
      <c r="B42" s="410" t="s">
        <v>241</v>
      </c>
      <c r="C42" s="248" t="s">
        <v>248</v>
      </c>
      <c r="D42" s="345" t="s">
        <v>249</v>
      </c>
      <c r="E42" s="245" t="s">
        <v>40</v>
      </c>
      <c r="F42" s="241" t="s">
        <v>183</v>
      </c>
      <c r="G42" s="245" t="s">
        <v>184</v>
      </c>
      <c r="H42" s="264" t="s">
        <v>9</v>
      </c>
      <c r="I42" s="273">
        <v>8</v>
      </c>
      <c r="J42" s="273">
        <v>8</v>
      </c>
      <c r="K42" s="273">
        <v>8</v>
      </c>
      <c r="L42" s="273">
        <v>8</v>
      </c>
      <c r="M42" s="273">
        <v>8</v>
      </c>
      <c r="N42" s="273">
        <v>8</v>
      </c>
      <c r="O42" s="273">
        <v>8</v>
      </c>
      <c r="P42" s="273">
        <v>8</v>
      </c>
      <c r="Q42" s="273">
        <v>8</v>
      </c>
      <c r="R42" s="273">
        <v>8</v>
      </c>
      <c r="S42" s="44" t="s">
        <v>9</v>
      </c>
      <c r="T42" s="273">
        <v>8</v>
      </c>
      <c r="U42" s="273">
        <v>8</v>
      </c>
      <c r="V42" s="273">
        <v>8</v>
      </c>
      <c r="W42" s="273">
        <v>8</v>
      </c>
      <c r="X42" s="273">
        <v>8</v>
      </c>
      <c r="Y42" s="44" t="s">
        <v>9</v>
      </c>
      <c r="Z42" s="44" t="s">
        <v>9</v>
      </c>
      <c r="AA42" s="273">
        <v>8</v>
      </c>
      <c r="AB42" s="273">
        <v>8</v>
      </c>
      <c r="AC42" s="273">
        <v>8</v>
      </c>
      <c r="AD42" s="273">
        <v>8</v>
      </c>
      <c r="AE42" s="273">
        <v>8</v>
      </c>
      <c r="AF42" s="44" t="s">
        <v>9</v>
      </c>
      <c r="AG42" s="273">
        <v>8</v>
      </c>
      <c r="AH42" s="273">
        <v>8</v>
      </c>
      <c r="AI42" s="273">
        <v>8</v>
      </c>
      <c r="AJ42" s="273">
        <v>8</v>
      </c>
      <c r="AK42" s="273">
        <v>8</v>
      </c>
      <c r="AL42" s="342">
        <v>8</v>
      </c>
      <c r="AM42" s="429">
        <f t="shared" si="33"/>
        <v>26</v>
      </c>
      <c r="AN42" s="367">
        <f t="shared" si="34"/>
        <v>208</v>
      </c>
      <c r="AO42" s="181">
        <f t="shared" si="35"/>
        <v>0</v>
      </c>
      <c r="AP42" s="63">
        <f t="shared" si="36"/>
        <v>5</v>
      </c>
      <c r="AQ42" s="63">
        <f t="shared" si="37"/>
        <v>0</v>
      </c>
      <c r="AR42" s="63">
        <f t="shared" si="38"/>
        <v>0</v>
      </c>
      <c r="AS42" s="63">
        <f t="shared" si="39"/>
        <v>0</v>
      </c>
      <c r="AT42" s="63">
        <f t="shared" si="47"/>
        <v>5</v>
      </c>
      <c r="AU42" s="221">
        <f t="shared" si="48"/>
        <v>5</v>
      </c>
      <c r="AV42" s="221">
        <f t="shared" si="41"/>
        <v>0</v>
      </c>
      <c r="AW42" s="221">
        <f t="shared" si="42"/>
        <v>0</v>
      </c>
      <c r="AX42" s="221">
        <f t="shared" si="43"/>
        <v>0</v>
      </c>
      <c r="AY42" s="221">
        <f t="shared" si="44"/>
        <v>0</v>
      </c>
      <c r="AZ42" s="221">
        <f t="shared" si="45"/>
        <v>0</v>
      </c>
      <c r="BA42" s="221">
        <f t="shared" si="46"/>
        <v>0</v>
      </c>
      <c r="BB42" s="77"/>
    </row>
    <row r="43" spans="1:55" s="270" customFormat="1" ht="30" customHeight="1">
      <c r="B43" s="410" t="s">
        <v>244</v>
      </c>
      <c r="C43" s="248" t="s">
        <v>212</v>
      </c>
      <c r="D43" s="345" t="s">
        <v>213</v>
      </c>
      <c r="E43" s="245" t="s">
        <v>40</v>
      </c>
      <c r="F43" s="241" t="s">
        <v>183</v>
      </c>
      <c r="G43" s="245" t="s">
        <v>184</v>
      </c>
      <c r="H43" s="341">
        <v>8</v>
      </c>
      <c r="I43" s="273">
        <v>8</v>
      </c>
      <c r="J43" s="273">
        <v>8</v>
      </c>
      <c r="K43" s="273">
        <v>8</v>
      </c>
      <c r="L43" s="44" t="s">
        <v>9</v>
      </c>
      <c r="M43" s="273">
        <v>8</v>
      </c>
      <c r="N43" s="273">
        <v>8</v>
      </c>
      <c r="O43" s="273">
        <v>8</v>
      </c>
      <c r="P43" s="273">
        <v>8</v>
      </c>
      <c r="Q43" s="44" t="s">
        <v>9</v>
      </c>
      <c r="R43" s="44" t="s">
        <v>9</v>
      </c>
      <c r="S43" s="273">
        <v>8</v>
      </c>
      <c r="T43" s="273">
        <v>8</v>
      </c>
      <c r="U43" s="273">
        <v>8</v>
      </c>
      <c r="V43" s="273">
        <v>8</v>
      </c>
      <c r="W43" s="273">
        <v>8</v>
      </c>
      <c r="X43" s="273">
        <v>8</v>
      </c>
      <c r="Y43" s="44" t="s">
        <v>9</v>
      </c>
      <c r="Z43" s="273">
        <v>8</v>
      </c>
      <c r="AA43" s="273">
        <v>8</v>
      </c>
      <c r="AB43" s="273">
        <v>8</v>
      </c>
      <c r="AC43" s="273">
        <v>8</v>
      </c>
      <c r="AD43" s="273">
        <v>8</v>
      </c>
      <c r="AE43" s="273">
        <v>8</v>
      </c>
      <c r="AF43" s="273">
        <v>8</v>
      </c>
      <c r="AG43" s="273">
        <v>8</v>
      </c>
      <c r="AH43" s="44" t="s">
        <v>9</v>
      </c>
      <c r="AI43" s="273">
        <v>8</v>
      </c>
      <c r="AJ43" s="273">
        <v>8</v>
      </c>
      <c r="AK43" s="273">
        <v>8</v>
      </c>
      <c r="AL43" s="342">
        <v>8</v>
      </c>
      <c r="AM43" s="241">
        <f t="shared" si="33"/>
        <v>26</v>
      </c>
      <c r="AN43" s="245">
        <f t="shared" si="34"/>
        <v>208</v>
      </c>
      <c r="AO43" s="181">
        <f t="shared" si="35"/>
        <v>0</v>
      </c>
      <c r="AP43" s="63">
        <f t="shared" si="36"/>
        <v>5</v>
      </c>
      <c r="AQ43" s="63">
        <f t="shared" si="37"/>
        <v>0</v>
      </c>
      <c r="AR43" s="63">
        <f t="shared" si="38"/>
        <v>0</v>
      </c>
      <c r="AS43" s="63">
        <f t="shared" si="39"/>
        <v>0</v>
      </c>
      <c r="AT43" s="63">
        <f t="shared" si="47"/>
        <v>5</v>
      </c>
      <c r="AU43" s="221">
        <f t="shared" si="48"/>
        <v>5</v>
      </c>
      <c r="AV43" s="221">
        <f t="shared" si="41"/>
        <v>0</v>
      </c>
      <c r="AW43" s="221">
        <f t="shared" si="42"/>
        <v>0</v>
      </c>
      <c r="AX43" s="221">
        <f t="shared" si="43"/>
        <v>0</v>
      </c>
      <c r="AY43" s="221">
        <f t="shared" si="44"/>
        <v>0</v>
      </c>
      <c r="AZ43" s="221">
        <f t="shared" si="45"/>
        <v>0</v>
      </c>
      <c r="BA43" s="221">
        <f t="shared" si="46"/>
        <v>0</v>
      </c>
      <c r="BB43" s="77"/>
    </row>
    <row r="44" spans="1:55" s="240" customFormat="1" ht="30" customHeight="1">
      <c r="B44" s="410" t="s">
        <v>247</v>
      </c>
      <c r="C44" s="275" t="s">
        <v>195</v>
      </c>
      <c r="D44" s="346" t="s">
        <v>382</v>
      </c>
      <c r="E44" s="274" t="s">
        <v>40</v>
      </c>
      <c r="F44" s="286" t="s">
        <v>183</v>
      </c>
      <c r="G44" s="274" t="s">
        <v>184</v>
      </c>
      <c r="H44" s="341">
        <v>8</v>
      </c>
      <c r="I44" s="273">
        <v>8</v>
      </c>
      <c r="J44" s="273">
        <v>8</v>
      </c>
      <c r="K44" s="273">
        <v>8</v>
      </c>
      <c r="L44" s="273">
        <v>8</v>
      </c>
      <c r="M44" s="273">
        <v>8</v>
      </c>
      <c r="N44" s="44" t="s">
        <v>9</v>
      </c>
      <c r="O44" s="273">
        <v>8</v>
      </c>
      <c r="P44" s="273">
        <v>8</v>
      </c>
      <c r="Q44" s="273">
        <v>8</v>
      </c>
      <c r="R44" s="273">
        <v>8</v>
      </c>
      <c r="S44" s="273">
        <v>8</v>
      </c>
      <c r="T44" s="44" t="s">
        <v>9</v>
      </c>
      <c r="U44" s="273">
        <v>8</v>
      </c>
      <c r="V44" s="273">
        <v>8</v>
      </c>
      <c r="W44" s="44" t="s">
        <v>9</v>
      </c>
      <c r="X44" s="273">
        <v>8</v>
      </c>
      <c r="Y44" s="273">
        <v>8</v>
      </c>
      <c r="Z44" s="273">
        <v>8</v>
      </c>
      <c r="AA44" s="273">
        <v>8</v>
      </c>
      <c r="AB44" s="273">
        <v>8</v>
      </c>
      <c r="AC44" s="44" t="s">
        <v>9</v>
      </c>
      <c r="AD44" s="273">
        <v>8</v>
      </c>
      <c r="AE44" s="273">
        <v>8</v>
      </c>
      <c r="AF44" s="273">
        <v>8</v>
      </c>
      <c r="AG44" s="273">
        <v>8</v>
      </c>
      <c r="AH44" s="273">
        <v>8</v>
      </c>
      <c r="AI44" s="273">
        <v>8</v>
      </c>
      <c r="AJ44" s="44" t="s">
        <v>9</v>
      </c>
      <c r="AK44" s="273">
        <v>8</v>
      </c>
      <c r="AL44" s="342">
        <v>8</v>
      </c>
      <c r="AM44" s="286">
        <f t="shared" si="33"/>
        <v>26</v>
      </c>
      <c r="AN44" s="274">
        <f t="shared" si="34"/>
        <v>208</v>
      </c>
      <c r="AO44" s="177">
        <f t="shared" si="35"/>
        <v>0</v>
      </c>
      <c r="AP44" s="178">
        <f t="shared" si="36"/>
        <v>5</v>
      </c>
      <c r="AQ44" s="178">
        <f t="shared" si="37"/>
        <v>0</v>
      </c>
      <c r="AR44" s="178">
        <f t="shared" si="38"/>
        <v>0</v>
      </c>
      <c r="AS44" s="178">
        <f t="shared" si="39"/>
        <v>0</v>
      </c>
      <c r="AT44" s="63">
        <v>5</v>
      </c>
      <c r="AU44" s="221">
        <f t="shared" si="48"/>
        <v>5</v>
      </c>
      <c r="AV44" s="221">
        <f t="shared" si="41"/>
        <v>0</v>
      </c>
      <c r="AW44" s="221">
        <f t="shared" si="42"/>
        <v>0</v>
      </c>
      <c r="AX44" s="221">
        <f t="shared" si="43"/>
        <v>0</v>
      </c>
      <c r="AY44" s="221">
        <f t="shared" si="44"/>
        <v>0</v>
      </c>
      <c r="AZ44" s="221">
        <f t="shared" si="45"/>
        <v>0</v>
      </c>
      <c r="BA44" s="221">
        <f t="shared" si="46"/>
        <v>0</v>
      </c>
      <c r="BB44" s="77"/>
    </row>
    <row r="45" spans="1:55" s="270" customFormat="1" ht="30" customHeight="1">
      <c r="A45" s="240"/>
      <c r="B45" s="410" t="s">
        <v>250</v>
      </c>
      <c r="C45" s="275" t="s">
        <v>266</v>
      </c>
      <c r="D45" s="346" t="s">
        <v>385</v>
      </c>
      <c r="E45" s="274" t="s">
        <v>40</v>
      </c>
      <c r="F45" s="286" t="s">
        <v>183</v>
      </c>
      <c r="G45" s="274" t="s">
        <v>184</v>
      </c>
      <c r="H45" s="341">
        <v>8</v>
      </c>
      <c r="I45" s="273">
        <v>8</v>
      </c>
      <c r="J45" s="273">
        <v>8</v>
      </c>
      <c r="K45" s="273">
        <v>8</v>
      </c>
      <c r="L45" s="273">
        <v>8</v>
      </c>
      <c r="M45" s="44" t="s">
        <v>9</v>
      </c>
      <c r="N45" s="273">
        <v>8</v>
      </c>
      <c r="O45" s="273">
        <v>8</v>
      </c>
      <c r="P45" s="273">
        <v>8</v>
      </c>
      <c r="Q45" s="273">
        <v>8</v>
      </c>
      <c r="R45" s="44" t="s">
        <v>9</v>
      </c>
      <c r="S45" s="44" t="s">
        <v>9</v>
      </c>
      <c r="T45" s="44" t="s">
        <v>9</v>
      </c>
      <c r="U45" s="273">
        <v>8</v>
      </c>
      <c r="V45" s="273">
        <v>8</v>
      </c>
      <c r="W45" s="273">
        <v>8</v>
      </c>
      <c r="X45" s="273">
        <v>8</v>
      </c>
      <c r="Y45" s="273">
        <v>8</v>
      </c>
      <c r="Z45" s="273">
        <v>8</v>
      </c>
      <c r="AA45" s="273">
        <v>8</v>
      </c>
      <c r="AB45" s="273">
        <v>8</v>
      </c>
      <c r="AC45" s="273">
        <v>8</v>
      </c>
      <c r="AD45" s="44" t="s">
        <v>9</v>
      </c>
      <c r="AE45" s="273">
        <v>8</v>
      </c>
      <c r="AF45" s="273">
        <v>8</v>
      </c>
      <c r="AG45" s="273">
        <v>8</v>
      </c>
      <c r="AH45" s="273">
        <v>8</v>
      </c>
      <c r="AI45" s="273">
        <v>8</v>
      </c>
      <c r="AJ45" s="273">
        <v>8</v>
      </c>
      <c r="AK45" s="273">
        <v>8</v>
      </c>
      <c r="AL45" s="342">
        <v>8</v>
      </c>
      <c r="AM45" s="241">
        <f t="shared" si="33"/>
        <v>26</v>
      </c>
      <c r="AN45" s="245">
        <f t="shared" si="34"/>
        <v>208</v>
      </c>
      <c r="AO45" s="177">
        <f t="shared" si="35"/>
        <v>0</v>
      </c>
      <c r="AP45" s="63">
        <f t="shared" si="36"/>
        <v>5</v>
      </c>
      <c r="AQ45" s="178">
        <f>COUNTIFS($H45:$AL45,$AQ$6)</f>
        <v>0</v>
      </c>
      <c r="AR45" s="178">
        <f t="shared" si="38"/>
        <v>0</v>
      </c>
      <c r="AS45" s="178">
        <f t="shared" si="39"/>
        <v>0</v>
      </c>
      <c r="AT45" s="63">
        <f t="shared" si="47"/>
        <v>5</v>
      </c>
      <c r="AU45" s="221">
        <f t="shared" si="48"/>
        <v>5</v>
      </c>
      <c r="AV45" s="221">
        <f t="shared" si="41"/>
        <v>0</v>
      </c>
      <c r="AW45" s="221">
        <f t="shared" si="42"/>
        <v>0</v>
      </c>
      <c r="AX45" s="221">
        <f t="shared" si="43"/>
        <v>0</v>
      </c>
      <c r="AY45" s="221">
        <f t="shared" si="44"/>
        <v>0</v>
      </c>
      <c r="AZ45" s="221">
        <f t="shared" si="45"/>
        <v>0</v>
      </c>
      <c r="BA45" s="221">
        <f t="shared" si="46"/>
        <v>0</v>
      </c>
      <c r="BB45" s="77"/>
      <c r="BC45" s="240"/>
    </row>
    <row r="46" spans="1:55" s="270" customFormat="1" ht="30" customHeight="1">
      <c r="A46" s="240"/>
      <c r="B46" s="410" t="s">
        <v>253</v>
      </c>
      <c r="C46" s="275" t="s">
        <v>251</v>
      </c>
      <c r="D46" s="346" t="s">
        <v>252</v>
      </c>
      <c r="E46" s="274" t="s">
        <v>40</v>
      </c>
      <c r="F46" s="286" t="s">
        <v>183</v>
      </c>
      <c r="G46" s="274" t="s">
        <v>184</v>
      </c>
      <c r="H46" s="341">
        <v>8</v>
      </c>
      <c r="I46" s="273">
        <v>8</v>
      </c>
      <c r="J46" s="273">
        <v>8</v>
      </c>
      <c r="K46" s="273">
        <v>8</v>
      </c>
      <c r="L46" s="273">
        <v>8</v>
      </c>
      <c r="M46" s="273">
        <v>8</v>
      </c>
      <c r="N46" s="273">
        <v>8</v>
      </c>
      <c r="O46" s="44" t="s">
        <v>9</v>
      </c>
      <c r="P46" s="273">
        <v>8</v>
      </c>
      <c r="Q46" s="273">
        <v>8</v>
      </c>
      <c r="R46" s="273">
        <v>8</v>
      </c>
      <c r="S46" s="273">
        <v>8</v>
      </c>
      <c r="T46" s="273">
        <v>8</v>
      </c>
      <c r="U46" s="273">
        <v>8</v>
      </c>
      <c r="V46" s="273">
        <v>8</v>
      </c>
      <c r="W46" s="273">
        <v>8</v>
      </c>
      <c r="X46" s="273">
        <v>8</v>
      </c>
      <c r="Y46" s="44" t="s">
        <v>9</v>
      </c>
      <c r="Z46" s="273">
        <v>8</v>
      </c>
      <c r="AA46" s="273">
        <v>8</v>
      </c>
      <c r="AB46" s="273">
        <v>8</v>
      </c>
      <c r="AC46" s="273">
        <v>8</v>
      </c>
      <c r="AD46" s="273">
        <v>8</v>
      </c>
      <c r="AE46" s="273">
        <v>8</v>
      </c>
      <c r="AF46" s="273">
        <v>8</v>
      </c>
      <c r="AG46" s="44" t="s">
        <v>9</v>
      </c>
      <c r="AH46" s="44" t="s">
        <v>9</v>
      </c>
      <c r="AI46" s="44" t="s">
        <v>9</v>
      </c>
      <c r="AJ46" s="273" t="s">
        <v>390</v>
      </c>
      <c r="AK46" s="273" t="s">
        <v>390</v>
      </c>
      <c r="AL46" s="342" t="s">
        <v>390</v>
      </c>
      <c r="AM46" s="286">
        <f t="shared" si="33"/>
        <v>23</v>
      </c>
      <c r="AN46" s="274">
        <f t="shared" si="34"/>
        <v>184</v>
      </c>
      <c r="AO46" s="177">
        <f t="shared" si="35"/>
        <v>0</v>
      </c>
      <c r="AP46" s="178">
        <f t="shared" si="36"/>
        <v>5</v>
      </c>
      <c r="AQ46" s="178">
        <f>COUNTIFS($H46:$AL46,$AQ$6)</f>
        <v>3</v>
      </c>
      <c r="AR46" s="178">
        <f t="shared" si="38"/>
        <v>0</v>
      </c>
      <c r="AS46" s="178">
        <f t="shared" si="39"/>
        <v>0</v>
      </c>
      <c r="AT46" s="63">
        <f t="shared" si="47"/>
        <v>5</v>
      </c>
      <c r="AU46" s="221">
        <f t="shared" si="48"/>
        <v>5</v>
      </c>
      <c r="AV46" s="221">
        <f t="shared" si="41"/>
        <v>0</v>
      </c>
      <c r="AW46" s="221">
        <f t="shared" si="42"/>
        <v>0</v>
      </c>
      <c r="AX46" s="221">
        <f t="shared" si="43"/>
        <v>0</v>
      </c>
      <c r="AY46" s="221">
        <f t="shared" si="44"/>
        <v>3</v>
      </c>
      <c r="AZ46" s="221">
        <f t="shared" si="45"/>
        <v>0</v>
      </c>
      <c r="BA46" s="221">
        <f t="shared" si="46"/>
        <v>0</v>
      </c>
      <c r="BB46" s="77"/>
      <c r="BC46" s="240"/>
    </row>
    <row r="47" spans="1:55" s="270" customFormat="1" ht="30" customHeight="1">
      <c r="B47" s="410" t="s">
        <v>254</v>
      </c>
      <c r="C47" s="248" t="s">
        <v>203</v>
      </c>
      <c r="D47" s="345" t="s">
        <v>204</v>
      </c>
      <c r="E47" s="245" t="s">
        <v>40</v>
      </c>
      <c r="F47" s="241" t="s">
        <v>183</v>
      </c>
      <c r="G47" s="245" t="s">
        <v>184</v>
      </c>
      <c r="H47" s="341">
        <v>8</v>
      </c>
      <c r="I47" s="273">
        <v>8</v>
      </c>
      <c r="J47" s="273">
        <v>8</v>
      </c>
      <c r="K47" s="44" t="s">
        <v>9</v>
      </c>
      <c r="L47" s="273">
        <v>8</v>
      </c>
      <c r="M47" s="273">
        <v>8</v>
      </c>
      <c r="N47" s="273">
        <v>8</v>
      </c>
      <c r="O47" s="273">
        <v>8</v>
      </c>
      <c r="P47" s="44" t="s">
        <v>9</v>
      </c>
      <c r="Q47" s="273">
        <v>8</v>
      </c>
      <c r="R47" s="273">
        <v>8</v>
      </c>
      <c r="S47" s="273">
        <v>8</v>
      </c>
      <c r="T47" s="273">
        <v>8</v>
      </c>
      <c r="U47" s="273">
        <v>8</v>
      </c>
      <c r="V47" s="273">
        <v>8</v>
      </c>
      <c r="W47" s="44" t="s">
        <v>9</v>
      </c>
      <c r="X47" s="44" t="s">
        <v>9</v>
      </c>
      <c r="Y47" s="273">
        <v>8</v>
      </c>
      <c r="Z47" s="273">
        <v>8</v>
      </c>
      <c r="AA47" s="273">
        <v>8</v>
      </c>
      <c r="AB47" s="273">
        <v>8</v>
      </c>
      <c r="AC47" s="273">
        <v>8</v>
      </c>
      <c r="AD47" s="273">
        <v>8</v>
      </c>
      <c r="AE47" s="273">
        <v>8</v>
      </c>
      <c r="AF47" s="44" t="s">
        <v>9</v>
      </c>
      <c r="AG47" s="273">
        <v>8</v>
      </c>
      <c r="AH47" s="273">
        <v>8</v>
      </c>
      <c r="AI47" s="273">
        <v>8</v>
      </c>
      <c r="AJ47" s="273">
        <v>8</v>
      </c>
      <c r="AK47" s="273">
        <v>8</v>
      </c>
      <c r="AL47" s="342">
        <v>8</v>
      </c>
      <c r="AM47" s="241">
        <f t="shared" si="33"/>
        <v>26</v>
      </c>
      <c r="AN47" s="245">
        <f t="shared" si="34"/>
        <v>208</v>
      </c>
      <c r="AO47" s="181">
        <f t="shared" si="35"/>
        <v>0</v>
      </c>
      <c r="AP47" s="63">
        <f t="shared" si="36"/>
        <v>5</v>
      </c>
      <c r="AQ47" s="63">
        <f t="shared" si="37"/>
        <v>0</v>
      </c>
      <c r="AR47" s="63">
        <f t="shared" si="38"/>
        <v>0</v>
      </c>
      <c r="AS47" s="63">
        <f t="shared" si="39"/>
        <v>0</v>
      </c>
      <c r="AT47" s="63">
        <f t="shared" si="47"/>
        <v>5</v>
      </c>
      <c r="AU47" s="221">
        <f t="shared" ref="AU47:AU57" si="49">COUNTIF(H47:AL47,"RD")</f>
        <v>5</v>
      </c>
      <c r="AV47" s="221">
        <f t="shared" si="41"/>
        <v>0</v>
      </c>
      <c r="AW47" s="221">
        <f t="shared" si="42"/>
        <v>0</v>
      </c>
      <c r="AX47" s="221">
        <f t="shared" si="43"/>
        <v>0</v>
      </c>
      <c r="AY47" s="221">
        <f t="shared" si="44"/>
        <v>0</v>
      </c>
      <c r="AZ47" s="221">
        <f t="shared" si="45"/>
        <v>0</v>
      </c>
      <c r="BA47" s="221">
        <f t="shared" si="46"/>
        <v>0</v>
      </c>
      <c r="BB47" s="77"/>
    </row>
    <row r="48" spans="1:55" s="270" customFormat="1" ht="30" customHeight="1" thickBot="1">
      <c r="B48" s="410" t="s">
        <v>255</v>
      </c>
      <c r="C48" s="248" t="s">
        <v>260</v>
      </c>
      <c r="D48" s="346" t="s">
        <v>261</v>
      </c>
      <c r="E48" s="279" t="s">
        <v>40</v>
      </c>
      <c r="F48" s="287" t="s">
        <v>183</v>
      </c>
      <c r="G48" s="245" t="s">
        <v>184</v>
      </c>
      <c r="H48" s="341">
        <v>8</v>
      </c>
      <c r="I48" s="273">
        <v>8</v>
      </c>
      <c r="J48" s="273">
        <v>8</v>
      </c>
      <c r="K48" s="273">
        <v>8</v>
      </c>
      <c r="L48" s="273">
        <v>8</v>
      </c>
      <c r="M48" s="273">
        <v>8</v>
      </c>
      <c r="N48" s="44" t="s">
        <v>9</v>
      </c>
      <c r="O48" s="273">
        <v>8</v>
      </c>
      <c r="P48" s="273">
        <v>8</v>
      </c>
      <c r="Q48" s="44" t="s">
        <v>9</v>
      </c>
      <c r="R48" s="273">
        <v>8</v>
      </c>
      <c r="S48" s="273">
        <v>8</v>
      </c>
      <c r="T48" s="273">
        <v>8</v>
      </c>
      <c r="U48" s="273">
        <v>8</v>
      </c>
      <c r="V48" s="273">
        <v>8</v>
      </c>
      <c r="W48" s="273">
        <v>8</v>
      </c>
      <c r="X48" s="44" t="s">
        <v>9</v>
      </c>
      <c r="Y48" s="273">
        <v>8</v>
      </c>
      <c r="Z48" s="44">
        <v>8</v>
      </c>
      <c r="AA48" s="273">
        <v>8</v>
      </c>
      <c r="AB48" s="273">
        <v>8</v>
      </c>
      <c r="AC48" s="273">
        <v>8</v>
      </c>
      <c r="AD48" s="273">
        <v>8</v>
      </c>
      <c r="AE48" s="273">
        <v>8</v>
      </c>
      <c r="AF48" s="273">
        <v>8</v>
      </c>
      <c r="AG48" s="273">
        <v>8</v>
      </c>
      <c r="AH48" s="273">
        <v>8</v>
      </c>
      <c r="AI48" s="44" t="s">
        <v>9</v>
      </c>
      <c r="AJ48" s="44" t="s">
        <v>9</v>
      </c>
      <c r="AK48" s="273">
        <v>8</v>
      </c>
      <c r="AL48" s="342">
        <v>8</v>
      </c>
      <c r="AM48" s="241">
        <f t="shared" si="33"/>
        <v>26</v>
      </c>
      <c r="AN48" s="245">
        <f t="shared" si="34"/>
        <v>208</v>
      </c>
      <c r="AO48" s="181">
        <f t="shared" si="35"/>
        <v>0</v>
      </c>
      <c r="AP48" s="63">
        <f t="shared" si="36"/>
        <v>5</v>
      </c>
      <c r="AQ48" s="63">
        <f t="shared" si="37"/>
        <v>0</v>
      </c>
      <c r="AR48" s="63">
        <f t="shared" si="38"/>
        <v>0</v>
      </c>
      <c r="AS48" s="63">
        <f t="shared" si="39"/>
        <v>0</v>
      </c>
      <c r="AT48" s="63">
        <f t="shared" si="47"/>
        <v>5</v>
      </c>
      <c r="AU48" s="221">
        <f t="shared" si="49"/>
        <v>5</v>
      </c>
      <c r="AV48" s="221">
        <f t="shared" si="41"/>
        <v>0</v>
      </c>
      <c r="AW48" s="221">
        <f t="shared" si="42"/>
        <v>0</v>
      </c>
      <c r="AX48" s="221">
        <f t="shared" si="43"/>
        <v>0</v>
      </c>
      <c r="AY48" s="221">
        <f t="shared" si="44"/>
        <v>0</v>
      </c>
      <c r="AZ48" s="221">
        <f t="shared" si="45"/>
        <v>0</v>
      </c>
      <c r="BA48" s="221">
        <f t="shared" si="46"/>
        <v>0</v>
      </c>
      <c r="BB48" s="77"/>
    </row>
    <row r="49" spans="1:55" s="270" customFormat="1" ht="30" customHeight="1">
      <c r="B49" s="410" t="s">
        <v>257</v>
      </c>
      <c r="C49" s="248" t="s">
        <v>239</v>
      </c>
      <c r="D49" s="346" t="s">
        <v>240</v>
      </c>
      <c r="E49" s="271" t="s">
        <v>40</v>
      </c>
      <c r="F49" s="246" t="s">
        <v>183</v>
      </c>
      <c r="G49" s="414" t="s">
        <v>184</v>
      </c>
      <c r="H49" s="341">
        <v>8</v>
      </c>
      <c r="I49" s="273">
        <v>8</v>
      </c>
      <c r="J49" s="273">
        <v>8</v>
      </c>
      <c r="K49" s="273">
        <v>8</v>
      </c>
      <c r="L49" s="44" t="s">
        <v>9</v>
      </c>
      <c r="M49" s="273">
        <v>8</v>
      </c>
      <c r="N49" s="273">
        <v>8</v>
      </c>
      <c r="O49" s="273">
        <v>8</v>
      </c>
      <c r="P49" s="273">
        <v>8</v>
      </c>
      <c r="Q49" s="44" t="s">
        <v>9</v>
      </c>
      <c r="R49" s="44" t="s">
        <v>9</v>
      </c>
      <c r="S49" s="273">
        <v>8</v>
      </c>
      <c r="T49" s="273">
        <v>8</v>
      </c>
      <c r="U49" s="273">
        <v>8</v>
      </c>
      <c r="V49" s="273">
        <v>8</v>
      </c>
      <c r="W49" s="273">
        <v>8</v>
      </c>
      <c r="X49" s="44">
        <v>8</v>
      </c>
      <c r="Y49" s="273">
        <v>8</v>
      </c>
      <c r="Z49" s="44" t="s">
        <v>9</v>
      </c>
      <c r="AA49" s="273">
        <v>8</v>
      </c>
      <c r="AB49" s="273">
        <v>8</v>
      </c>
      <c r="AC49" s="273">
        <v>8</v>
      </c>
      <c r="AD49" s="273">
        <v>8</v>
      </c>
      <c r="AE49" s="273">
        <v>8</v>
      </c>
      <c r="AF49" s="273">
        <v>8</v>
      </c>
      <c r="AG49" s="273">
        <v>8</v>
      </c>
      <c r="AH49" s="273">
        <v>8</v>
      </c>
      <c r="AI49" s="273">
        <v>8</v>
      </c>
      <c r="AJ49" s="44" t="s">
        <v>9</v>
      </c>
      <c r="AK49" s="273">
        <v>8</v>
      </c>
      <c r="AL49" s="342">
        <v>8</v>
      </c>
      <c r="AM49" s="241">
        <f t="shared" si="33"/>
        <v>26</v>
      </c>
      <c r="AN49" s="245">
        <f t="shared" si="34"/>
        <v>208</v>
      </c>
      <c r="AO49" s="181">
        <f t="shared" si="35"/>
        <v>0</v>
      </c>
      <c r="AP49" s="63">
        <f t="shared" si="36"/>
        <v>5</v>
      </c>
      <c r="AQ49" s="63">
        <f t="shared" si="37"/>
        <v>0</v>
      </c>
      <c r="AR49" s="63">
        <f t="shared" si="38"/>
        <v>0</v>
      </c>
      <c r="AS49" s="63">
        <f t="shared" si="39"/>
        <v>0</v>
      </c>
      <c r="AT49" s="63">
        <f t="shared" si="47"/>
        <v>5</v>
      </c>
      <c r="AU49" s="221">
        <f t="shared" si="49"/>
        <v>5</v>
      </c>
      <c r="AV49" s="221">
        <f t="shared" si="41"/>
        <v>0</v>
      </c>
      <c r="AW49" s="221">
        <f t="shared" si="42"/>
        <v>0</v>
      </c>
      <c r="AX49" s="221">
        <f t="shared" si="43"/>
        <v>0</v>
      </c>
      <c r="AY49" s="221">
        <f t="shared" si="44"/>
        <v>0</v>
      </c>
      <c r="AZ49" s="221">
        <f t="shared" si="45"/>
        <v>0</v>
      </c>
      <c r="BA49" s="221">
        <f t="shared" si="46"/>
        <v>0</v>
      </c>
      <c r="BB49" s="77"/>
    </row>
    <row r="50" spans="1:55" s="240" customFormat="1" ht="30" customHeight="1">
      <c r="A50" s="270"/>
      <c r="B50" s="410" t="s">
        <v>259</v>
      </c>
      <c r="C50" s="248" t="s">
        <v>258</v>
      </c>
      <c r="D50" s="346" t="s">
        <v>384</v>
      </c>
      <c r="E50" s="245" t="s">
        <v>40</v>
      </c>
      <c r="F50" s="241" t="s">
        <v>183</v>
      </c>
      <c r="G50" s="245" t="s">
        <v>184</v>
      </c>
      <c r="H50" s="341">
        <v>8</v>
      </c>
      <c r="I50" s="273">
        <v>8</v>
      </c>
      <c r="J50" s="44" t="s">
        <v>9</v>
      </c>
      <c r="K50" s="273">
        <v>8</v>
      </c>
      <c r="L50" s="273">
        <v>8</v>
      </c>
      <c r="M50" s="273">
        <v>8</v>
      </c>
      <c r="N50" s="273">
        <v>8</v>
      </c>
      <c r="O50" s="273">
        <v>8</v>
      </c>
      <c r="P50" s="273">
        <v>8</v>
      </c>
      <c r="Q50" s="273">
        <v>8</v>
      </c>
      <c r="R50" s="273">
        <v>8</v>
      </c>
      <c r="S50" s="273">
        <v>8</v>
      </c>
      <c r="T50" s="273">
        <v>8</v>
      </c>
      <c r="U50" s="44" t="s">
        <v>9</v>
      </c>
      <c r="V50" s="273">
        <v>8</v>
      </c>
      <c r="W50" s="273">
        <v>8</v>
      </c>
      <c r="X50" s="273">
        <v>8</v>
      </c>
      <c r="Y50" s="273">
        <v>8</v>
      </c>
      <c r="Z50" s="273">
        <v>8</v>
      </c>
      <c r="AA50" s="44" t="s">
        <v>9</v>
      </c>
      <c r="AB50" s="44" t="s">
        <v>9</v>
      </c>
      <c r="AC50" s="273">
        <v>8</v>
      </c>
      <c r="AD50" s="273">
        <v>8</v>
      </c>
      <c r="AE50" s="273">
        <v>8</v>
      </c>
      <c r="AF50" s="273">
        <v>8</v>
      </c>
      <c r="AG50" s="273">
        <v>8</v>
      </c>
      <c r="AH50" s="273">
        <v>8</v>
      </c>
      <c r="AI50" s="273">
        <v>8</v>
      </c>
      <c r="AJ50" s="273">
        <v>8</v>
      </c>
      <c r="AK50" s="44" t="s">
        <v>9</v>
      </c>
      <c r="AL50" s="342">
        <v>8</v>
      </c>
      <c r="AM50" s="241">
        <f t="shared" si="33"/>
        <v>26</v>
      </c>
      <c r="AN50" s="245">
        <f t="shared" si="34"/>
        <v>208</v>
      </c>
      <c r="AO50" s="181">
        <f t="shared" si="35"/>
        <v>0</v>
      </c>
      <c r="AP50" s="63">
        <f t="shared" si="36"/>
        <v>5</v>
      </c>
      <c r="AQ50" s="63">
        <f t="shared" si="37"/>
        <v>0</v>
      </c>
      <c r="AR50" s="63">
        <f t="shared" si="38"/>
        <v>0</v>
      </c>
      <c r="AS50" s="63">
        <f t="shared" si="39"/>
        <v>0</v>
      </c>
      <c r="AT50" s="63">
        <f t="shared" si="47"/>
        <v>5</v>
      </c>
      <c r="AU50" s="221">
        <f t="shared" si="49"/>
        <v>5</v>
      </c>
      <c r="AV50" s="221">
        <f t="shared" si="41"/>
        <v>0</v>
      </c>
      <c r="AW50" s="221">
        <f t="shared" si="42"/>
        <v>0</v>
      </c>
      <c r="AX50" s="221">
        <f t="shared" si="43"/>
        <v>0</v>
      </c>
      <c r="AY50" s="221">
        <f t="shared" si="44"/>
        <v>0</v>
      </c>
      <c r="AZ50" s="221">
        <f t="shared" si="45"/>
        <v>0</v>
      </c>
      <c r="BA50" s="221">
        <f t="shared" si="46"/>
        <v>0</v>
      </c>
      <c r="BB50" s="77"/>
      <c r="BC50" s="270"/>
    </row>
    <row r="51" spans="1:55" s="270" customFormat="1" ht="30" customHeight="1">
      <c r="B51" s="410" t="s">
        <v>262</v>
      </c>
      <c r="C51" s="317" t="s">
        <v>403</v>
      </c>
      <c r="D51" s="402" t="s">
        <v>418</v>
      </c>
      <c r="E51" s="245" t="s">
        <v>40</v>
      </c>
      <c r="F51" s="241"/>
      <c r="G51" s="245" t="s">
        <v>184</v>
      </c>
      <c r="H51" s="341">
        <v>8</v>
      </c>
      <c r="I51" s="260">
        <v>8</v>
      </c>
      <c r="J51" s="273">
        <v>8</v>
      </c>
      <c r="K51" s="273">
        <v>8</v>
      </c>
      <c r="L51" s="273">
        <v>8</v>
      </c>
      <c r="M51" s="44" t="s">
        <v>9</v>
      </c>
      <c r="N51" s="273">
        <v>8</v>
      </c>
      <c r="O51" s="273">
        <v>8</v>
      </c>
      <c r="P51" s="273">
        <v>8</v>
      </c>
      <c r="Q51" s="273">
        <v>8</v>
      </c>
      <c r="R51" s="273">
        <v>8</v>
      </c>
      <c r="S51" s="273">
        <v>8</v>
      </c>
      <c r="T51" s="273">
        <v>8</v>
      </c>
      <c r="U51" s="273">
        <v>8</v>
      </c>
      <c r="V51" s="44" t="s">
        <v>9</v>
      </c>
      <c r="W51" s="44" t="s">
        <v>9</v>
      </c>
      <c r="X51" s="273">
        <v>8</v>
      </c>
      <c r="Y51" s="273">
        <v>8</v>
      </c>
      <c r="Z51" s="273">
        <v>8</v>
      </c>
      <c r="AA51" s="44" t="s">
        <v>9</v>
      </c>
      <c r="AB51" s="273">
        <v>8</v>
      </c>
      <c r="AC51" s="273">
        <v>8</v>
      </c>
      <c r="AD51" s="273">
        <v>8</v>
      </c>
      <c r="AE51" s="273">
        <v>8</v>
      </c>
      <c r="AF51" s="273">
        <v>8</v>
      </c>
      <c r="AG51" s="44" t="s">
        <v>9</v>
      </c>
      <c r="AH51" s="273">
        <v>8</v>
      </c>
      <c r="AI51" s="44">
        <v>8</v>
      </c>
      <c r="AJ51" s="273">
        <v>8</v>
      </c>
      <c r="AK51" s="273">
        <v>8</v>
      </c>
      <c r="AL51" s="342">
        <v>8</v>
      </c>
      <c r="AM51" s="241">
        <f t="shared" si="33"/>
        <v>26</v>
      </c>
      <c r="AN51" s="245">
        <f t="shared" si="34"/>
        <v>208</v>
      </c>
      <c r="AO51" s="181">
        <f t="shared" ref="AO51:AO58" si="50">COUNTIFS($H51:$AL51,$AO$6)</f>
        <v>0</v>
      </c>
      <c r="AP51" s="63">
        <f t="shared" ref="AP51:AP58" si="51">COUNTIFS($H51:$AL51,$AP$6)</f>
        <v>5</v>
      </c>
      <c r="AQ51" s="63">
        <f t="shared" ref="AQ51:AQ58" si="52">COUNTIFS($H51:$AL51,$AQ$6)</f>
        <v>0</v>
      </c>
      <c r="AR51" s="63">
        <f t="shared" ref="AR51:AR58" si="53">COUNTIFS($H51:$AL51,$AR$6)</f>
        <v>0</v>
      </c>
      <c r="AS51" s="63">
        <f t="shared" ref="AS51:AS58" si="54">COUNTIFS($H51:$AL51,$AS$6)</f>
        <v>0</v>
      </c>
      <c r="AT51" s="63">
        <f>AT50</f>
        <v>5</v>
      </c>
      <c r="AU51" s="221">
        <f t="shared" si="49"/>
        <v>5</v>
      </c>
      <c r="AV51" s="221">
        <f t="shared" si="41"/>
        <v>0</v>
      </c>
      <c r="AW51" s="221">
        <f t="shared" si="42"/>
        <v>0</v>
      </c>
      <c r="AX51" s="221">
        <f t="shared" si="43"/>
        <v>0</v>
      </c>
      <c r="AY51" s="221">
        <f t="shared" si="44"/>
        <v>0</v>
      </c>
      <c r="AZ51" s="221">
        <f t="shared" si="45"/>
        <v>0</v>
      </c>
      <c r="BA51" s="221">
        <f t="shared" si="46"/>
        <v>0</v>
      </c>
      <c r="BB51" s="77"/>
    </row>
    <row r="52" spans="1:55" s="240" customFormat="1" ht="30" customHeight="1">
      <c r="A52" s="270"/>
      <c r="B52" s="410" t="s">
        <v>265</v>
      </c>
      <c r="C52" s="248" t="s">
        <v>224</v>
      </c>
      <c r="D52" s="345" t="s">
        <v>225</v>
      </c>
      <c r="E52" s="245" t="s">
        <v>40</v>
      </c>
      <c r="F52" s="241" t="s">
        <v>183</v>
      </c>
      <c r="G52" s="245" t="s">
        <v>184</v>
      </c>
      <c r="H52" s="341">
        <v>8</v>
      </c>
      <c r="I52" s="273">
        <v>8</v>
      </c>
      <c r="J52" s="273">
        <v>8</v>
      </c>
      <c r="K52" s="44" t="s">
        <v>9</v>
      </c>
      <c r="L52" s="273">
        <v>8</v>
      </c>
      <c r="M52" s="273">
        <v>8</v>
      </c>
      <c r="N52" s="273">
        <v>8</v>
      </c>
      <c r="O52" s="273">
        <v>8</v>
      </c>
      <c r="P52" s="273">
        <v>8</v>
      </c>
      <c r="Q52" s="273">
        <v>8</v>
      </c>
      <c r="R52" s="273">
        <v>8</v>
      </c>
      <c r="S52" s="273">
        <v>8</v>
      </c>
      <c r="T52" s="273">
        <v>8</v>
      </c>
      <c r="U52" s="273">
        <v>8</v>
      </c>
      <c r="V52" s="44" t="s">
        <v>9</v>
      </c>
      <c r="W52" s="273">
        <v>8</v>
      </c>
      <c r="X52" s="273">
        <v>8</v>
      </c>
      <c r="Y52" s="273">
        <v>8</v>
      </c>
      <c r="Z52" s="273">
        <v>8</v>
      </c>
      <c r="AA52" s="273">
        <v>8</v>
      </c>
      <c r="AB52" s="273">
        <v>8</v>
      </c>
      <c r="AC52" s="273">
        <v>8</v>
      </c>
      <c r="AD52" s="44" t="s">
        <v>9</v>
      </c>
      <c r="AE52" s="44" t="s">
        <v>9</v>
      </c>
      <c r="AF52" s="273">
        <v>8</v>
      </c>
      <c r="AG52" s="273">
        <v>8</v>
      </c>
      <c r="AH52" s="273">
        <v>8</v>
      </c>
      <c r="AI52" s="273">
        <v>8</v>
      </c>
      <c r="AJ52" s="44" t="s">
        <v>9</v>
      </c>
      <c r="AK52" s="273">
        <v>8</v>
      </c>
      <c r="AL52" s="342">
        <v>8</v>
      </c>
      <c r="AM52" s="241">
        <f t="shared" si="33"/>
        <v>26</v>
      </c>
      <c r="AN52" s="245">
        <f t="shared" si="34"/>
        <v>208</v>
      </c>
      <c r="AO52" s="181">
        <f t="shared" si="35"/>
        <v>0</v>
      </c>
      <c r="AP52" s="63">
        <f t="shared" si="36"/>
        <v>5</v>
      </c>
      <c r="AQ52" s="63">
        <f t="shared" si="37"/>
        <v>0</v>
      </c>
      <c r="AR52" s="63">
        <f t="shared" si="38"/>
        <v>0</v>
      </c>
      <c r="AS52" s="63">
        <f t="shared" si="39"/>
        <v>0</v>
      </c>
      <c r="AT52" s="63">
        <f>AT50</f>
        <v>5</v>
      </c>
      <c r="AU52" s="220">
        <f t="shared" si="49"/>
        <v>5</v>
      </c>
      <c r="AV52" s="220">
        <f t="shared" si="41"/>
        <v>0</v>
      </c>
      <c r="AW52" s="220">
        <f t="shared" si="42"/>
        <v>0</v>
      </c>
      <c r="AX52" s="220">
        <f t="shared" si="43"/>
        <v>0</v>
      </c>
      <c r="AY52" s="220">
        <f t="shared" si="44"/>
        <v>0</v>
      </c>
      <c r="AZ52" s="220">
        <f t="shared" si="45"/>
        <v>0</v>
      </c>
      <c r="BA52" s="220">
        <f t="shared" si="46"/>
        <v>0</v>
      </c>
      <c r="BB52" s="226"/>
      <c r="BC52" s="270"/>
    </row>
    <row r="53" spans="1:55" s="270" customFormat="1" ht="30" customHeight="1">
      <c r="A53" s="240"/>
      <c r="B53" s="410" t="s">
        <v>267</v>
      </c>
      <c r="C53" s="275" t="s">
        <v>227</v>
      </c>
      <c r="D53" s="346" t="s">
        <v>228</v>
      </c>
      <c r="E53" s="274" t="s">
        <v>40</v>
      </c>
      <c r="F53" s="286" t="s">
        <v>183</v>
      </c>
      <c r="G53" s="274" t="s">
        <v>184</v>
      </c>
      <c r="H53" s="341">
        <v>8</v>
      </c>
      <c r="I53" s="273">
        <v>8</v>
      </c>
      <c r="J53" s="273">
        <v>8</v>
      </c>
      <c r="K53" s="273">
        <v>8</v>
      </c>
      <c r="L53" s="273">
        <v>8</v>
      </c>
      <c r="M53" s="273">
        <v>8</v>
      </c>
      <c r="N53" s="44" t="s">
        <v>9</v>
      </c>
      <c r="O53" s="273">
        <v>8</v>
      </c>
      <c r="P53" s="273">
        <v>8</v>
      </c>
      <c r="Q53" s="273">
        <v>8</v>
      </c>
      <c r="R53" s="273">
        <v>8</v>
      </c>
      <c r="S53" s="273">
        <v>8</v>
      </c>
      <c r="T53" s="273">
        <v>8</v>
      </c>
      <c r="U53" s="273">
        <v>8</v>
      </c>
      <c r="V53" s="273">
        <v>8</v>
      </c>
      <c r="W53" s="273">
        <v>8</v>
      </c>
      <c r="X53" s="273">
        <v>8</v>
      </c>
      <c r="Y53" s="273">
        <v>8</v>
      </c>
      <c r="Z53" s="44" t="s">
        <v>9</v>
      </c>
      <c r="AA53" s="273">
        <v>8</v>
      </c>
      <c r="AB53" s="273">
        <v>8</v>
      </c>
      <c r="AC53" s="273">
        <v>8</v>
      </c>
      <c r="AD53" s="273">
        <v>8</v>
      </c>
      <c r="AE53" s="273">
        <v>8</v>
      </c>
      <c r="AF53" s="273">
        <v>8</v>
      </c>
      <c r="AG53" s="273">
        <v>8</v>
      </c>
      <c r="AH53" s="44" t="s">
        <v>9</v>
      </c>
      <c r="AI53" s="44" t="s">
        <v>9</v>
      </c>
      <c r="AJ53" s="44" t="s">
        <v>9</v>
      </c>
      <c r="AK53" s="273">
        <v>8</v>
      </c>
      <c r="AL53" s="342">
        <v>8</v>
      </c>
      <c r="AM53" s="241">
        <f t="shared" si="33"/>
        <v>26</v>
      </c>
      <c r="AN53" s="245">
        <f t="shared" si="34"/>
        <v>208</v>
      </c>
      <c r="AO53" s="177">
        <f t="shared" si="35"/>
        <v>0</v>
      </c>
      <c r="AP53" s="63">
        <f t="shared" si="36"/>
        <v>5</v>
      </c>
      <c r="AQ53" s="178">
        <f t="shared" si="37"/>
        <v>0</v>
      </c>
      <c r="AR53" s="178">
        <f t="shared" si="38"/>
        <v>0</v>
      </c>
      <c r="AS53" s="178">
        <f t="shared" si="39"/>
        <v>0</v>
      </c>
      <c r="AT53" s="63">
        <f t="shared" si="47"/>
        <v>5</v>
      </c>
      <c r="AU53" s="221">
        <f t="shared" si="49"/>
        <v>5</v>
      </c>
      <c r="AV53" s="221">
        <f t="shared" si="41"/>
        <v>0</v>
      </c>
      <c r="AW53" s="221">
        <f t="shared" si="42"/>
        <v>0</v>
      </c>
      <c r="AX53" s="221">
        <f t="shared" si="43"/>
        <v>0</v>
      </c>
      <c r="AY53" s="221">
        <f t="shared" si="44"/>
        <v>0</v>
      </c>
      <c r="AZ53" s="221">
        <f t="shared" si="45"/>
        <v>0</v>
      </c>
      <c r="BA53" s="221">
        <f t="shared" si="46"/>
        <v>0</v>
      </c>
      <c r="BB53" s="77"/>
      <c r="BC53" s="240"/>
    </row>
    <row r="54" spans="1:55" s="270" customFormat="1" ht="30" customHeight="1">
      <c r="B54" s="410" t="s">
        <v>270</v>
      </c>
      <c r="C54" s="248" t="s">
        <v>274</v>
      </c>
      <c r="D54" s="346" t="s">
        <v>275</v>
      </c>
      <c r="E54" s="245" t="s">
        <v>40</v>
      </c>
      <c r="F54" s="241" t="s">
        <v>183</v>
      </c>
      <c r="G54" s="245" t="s">
        <v>184</v>
      </c>
      <c r="H54" s="264" t="s">
        <v>9</v>
      </c>
      <c r="I54" s="273" t="s">
        <v>395</v>
      </c>
      <c r="J54" s="273" t="s">
        <v>395</v>
      </c>
      <c r="K54" s="273">
        <v>8</v>
      </c>
      <c r="L54" s="273">
        <v>8</v>
      </c>
      <c r="M54" s="273">
        <v>8</v>
      </c>
      <c r="N54" s="273">
        <v>8</v>
      </c>
      <c r="O54" s="273">
        <v>8</v>
      </c>
      <c r="P54" s="273" t="s">
        <v>395</v>
      </c>
      <c r="Q54" s="273">
        <v>8</v>
      </c>
      <c r="R54" s="273">
        <v>8</v>
      </c>
      <c r="S54" s="44" t="s">
        <v>9</v>
      </c>
      <c r="T54" s="273" t="s">
        <v>395</v>
      </c>
      <c r="U54" s="273">
        <v>8</v>
      </c>
      <c r="V54" s="273">
        <v>8</v>
      </c>
      <c r="W54" s="273">
        <v>8</v>
      </c>
      <c r="X54" s="44" t="s">
        <v>9</v>
      </c>
      <c r="Y54" s="273">
        <v>8</v>
      </c>
      <c r="Z54" s="273" t="s">
        <v>395</v>
      </c>
      <c r="AA54" s="273" t="s">
        <v>395</v>
      </c>
      <c r="AB54" s="273" t="s">
        <v>395</v>
      </c>
      <c r="AC54" s="273">
        <v>8</v>
      </c>
      <c r="AD54" s="44" t="s">
        <v>9</v>
      </c>
      <c r="AE54" s="273" t="s">
        <v>395</v>
      </c>
      <c r="AF54" s="273">
        <v>8</v>
      </c>
      <c r="AG54" s="273">
        <v>8</v>
      </c>
      <c r="AH54" s="273" t="s">
        <v>395</v>
      </c>
      <c r="AI54" s="273">
        <v>8</v>
      </c>
      <c r="AJ54" s="273">
        <v>8</v>
      </c>
      <c r="AK54" s="273">
        <v>8</v>
      </c>
      <c r="AL54" s="340" t="s">
        <v>9</v>
      </c>
      <c r="AM54" s="241">
        <f t="shared" si="33"/>
        <v>17</v>
      </c>
      <c r="AN54" s="245">
        <f t="shared" si="34"/>
        <v>136</v>
      </c>
      <c r="AO54" s="181">
        <f t="shared" si="35"/>
        <v>0</v>
      </c>
      <c r="AP54" s="63">
        <f t="shared" si="36"/>
        <v>5</v>
      </c>
      <c r="AQ54" s="63">
        <f t="shared" si="37"/>
        <v>0</v>
      </c>
      <c r="AR54" s="63">
        <f t="shared" si="38"/>
        <v>0</v>
      </c>
      <c r="AS54" s="63">
        <f t="shared" si="39"/>
        <v>0</v>
      </c>
      <c r="AT54" s="63">
        <f t="shared" si="47"/>
        <v>5</v>
      </c>
      <c r="AU54" s="221">
        <f t="shared" si="49"/>
        <v>5</v>
      </c>
      <c r="AV54" s="221">
        <f t="shared" si="41"/>
        <v>0</v>
      </c>
      <c r="AW54" s="221">
        <f t="shared" si="42"/>
        <v>0</v>
      </c>
      <c r="AX54" s="221">
        <f t="shared" si="43"/>
        <v>0</v>
      </c>
      <c r="AY54" s="221">
        <f t="shared" si="44"/>
        <v>0</v>
      </c>
      <c r="AZ54" s="221">
        <f t="shared" si="45"/>
        <v>0</v>
      </c>
      <c r="BA54" s="221">
        <f t="shared" si="46"/>
        <v>0</v>
      </c>
      <c r="BB54" s="77"/>
    </row>
    <row r="55" spans="1:55" s="270" customFormat="1" ht="30" customHeight="1">
      <c r="B55" s="410" t="s">
        <v>273</v>
      </c>
      <c r="C55" s="248" t="s">
        <v>182</v>
      </c>
      <c r="D55" s="345" t="s">
        <v>380</v>
      </c>
      <c r="E55" s="245" t="s">
        <v>40</v>
      </c>
      <c r="F55" s="241" t="s">
        <v>183</v>
      </c>
      <c r="G55" s="245" t="s">
        <v>184</v>
      </c>
      <c r="H55" s="341">
        <v>8</v>
      </c>
      <c r="I55" s="44" t="s">
        <v>9</v>
      </c>
      <c r="J55" s="273">
        <v>8</v>
      </c>
      <c r="K55" s="273">
        <v>8</v>
      </c>
      <c r="L55" s="273">
        <v>8</v>
      </c>
      <c r="M55" s="273">
        <v>8</v>
      </c>
      <c r="N55" s="273">
        <v>8</v>
      </c>
      <c r="O55" s="273">
        <v>8</v>
      </c>
      <c r="P55" s="273">
        <v>8</v>
      </c>
      <c r="Q55" s="273">
        <v>8</v>
      </c>
      <c r="R55" s="273">
        <v>8</v>
      </c>
      <c r="S55" s="273">
        <v>8</v>
      </c>
      <c r="T55" s="44" t="s">
        <v>9</v>
      </c>
      <c r="U55" s="273">
        <v>8</v>
      </c>
      <c r="V55" s="273">
        <v>8</v>
      </c>
      <c r="W55" s="273">
        <v>8</v>
      </c>
      <c r="X55" s="273">
        <v>8</v>
      </c>
      <c r="Y55" s="273">
        <v>8</v>
      </c>
      <c r="Z55" s="273">
        <v>8</v>
      </c>
      <c r="AA55" s="44" t="s">
        <v>9</v>
      </c>
      <c r="AB55" s="273">
        <v>8</v>
      </c>
      <c r="AC55" s="273">
        <v>8</v>
      </c>
      <c r="AD55" s="273">
        <v>8</v>
      </c>
      <c r="AE55" s="273">
        <v>8</v>
      </c>
      <c r="AF55" s="273">
        <v>8</v>
      </c>
      <c r="AG55" s="44" t="s">
        <v>9</v>
      </c>
      <c r="AH55" s="44" t="s">
        <v>9</v>
      </c>
      <c r="AI55" s="273">
        <v>8</v>
      </c>
      <c r="AJ55" s="273">
        <v>8</v>
      </c>
      <c r="AK55" s="273">
        <v>8</v>
      </c>
      <c r="AL55" s="342">
        <v>8</v>
      </c>
      <c r="AM55" s="241">
        <f t="shared" si="33"/>
        <v>26</v>
      </c>
      <c r="AN55" s="245">
        <f t="shared" si="34"/>
        <v>208</v>
      </c>
      <c r="AO55" s="181">
        <f t="shared" si="35"/>
        <v>0</v>
      </c>
      <c r="AP55" s="63">
        <f t="shared" si="36"/>
        <v>5</v>
      </c>
      <c r="AQ55" s="63">
        <f t="shared" si="37"/>
        <v>0</v>
      </c>
      <c r="AR55" s="63">
        <f t="shared" si="38"/>
        <v>0</v>
      </c>
      <c r="AS55" s="63">
        <f t="shared" si="39"/>
        <v>0</v>
      </c>
      <c r="AT55" s="63">
        <f t="shared" si="47"/>
        <v>5</v>
      </c>
      <c r="AU55" s="221">
        <f t="shared" si="49"/>
        <v>5</v>
      </c>
      <c r="AV55" s="221">
        <f t="shared" si="41"/>
        <v>0</v>
      </c>
      <c r="AW55" s="221">
        <f t="shared" si="42"/>
        <v>0</v>
      </c>
      <c r="AX55" s="221">
        <f t="shared" si="43"/>
        <v>0</v>
      </c>
      <c r="AY55" s="221">
        <f t="shared" si="44"/>
        <v>0</v>
      </c>
      <c r="AZ55" s="221">
        <f t="shared" si="45"/>
        <v>0</v>
      </c>
      <c r="BA55" s="221">
        <f t="shared" si="46"/>
        <v>0</v>
      </c>
      <c r="BB55" s="77"/>
    </row>
    <row r="56" spans="1:55" s="270" customFormat="1" ht="30" customHeight="1">
      <c r="A56" s="240"/>
      <c r="B56" s="410" t="s">
        <v>276</v>
      </c>
      <c r="C56" s="248" t="s">
        <v>268</v>
      </c>
      <c r="D56" s="346" t="s">
        <v>269</v>
      </c>
      <c r="E56" s="245" t="s">
        <v>40</v>
      </c>
      <c r="F56" s="241" t="s">
        <v>183</v>
      </c>
      <c r="G56" s="245" t="s">
        <v>184</v>
      </c>
      <c r="H56" s="341">
        <v>8</v>
      </c>
      <c r="I56" s="273">
        <v>8</v>
      </c>
      <c r="J56" s="273">
        <v>8</v>
      </c>
      <c r="K56" s="44" t="s">
        <v>9</v>
      </c>
      <c r="L56" s="273">
        <v>8</v>
      </c>
      <c r="M56" s="273">
        <v>8</v>
      </c>
      <c r="N56" s="273">
        <v>8</v>
      </c>
      <c r="O56" s="273">
        <v>8</v>
      </c>
      <c r="P56" s="273">
        <v>8</v>
      </c>
      <c r="Q56" s="44" t="s">
        <v>9</v>
      </c>
      <c r="R56" s="44" t="s">
        <v>9</v>
      </c>
      <c r="S56" s="273">
        <v>8</v>
      </c>
      <c r="T56" s="273">
        <v>8</v>
      </c>
      <c r="U56" s="273">
        <v>8</v>
      </c>
      <c r="V56" s="273">
        <v>8</v>
      </c>
      <c r="W56" s="273">
        <v>8</v>
      </c>
      <c r="X56" s="44" t="s">
        <v>9</v>
      </c>
      <c r="Y56" s="273">
        <v>8</v>
      </c>
      <c r="Z56" s="273">
        <v>8</v>
      </c>
      <c r="AA56" s="273">
        <v>8</v>
      </c>
      <c r="AB56" s="273">
        <v>8</v>
      </c>
      <c r="AC56" s="273">
        <v>8</v>
      </c>
      <c r="AD56" s="273">
        <v>8</v>
      </c>
      <c r="AE56" s="273">
        <v>8</v>
      </c>
      <c r="AF56" s="273">
        <v>8</v>
      </c>
      <c r="AG56" s="44" t="s">
        <v>9</v>
      </c>
      <c r="AH56" s="273">
        <v>8</v>
      </c>
      <c r="AI56" s="273">
        <v>8</v>
      </c>
      <c r="AJ56" s="273">
        <v>8</v>
      </c>
      <c r="AK56" s="273">
        <v>8</v>
      </c>
      <c r="AL56" s="342">
        <v>8</v>
      </c>
      <c r="AM56" s="430">
        <f t="shared" si="33"/>
        <v>26</v>
      </c>
      <c r="AN56" s="417">
        <f t="shared" si="34"/>
        <v>208</v>
      </c>
      <c r="AO56" s="177">
        <f t="shared" si="35"/>
        <v>0</v>
      </c>
      <c r="AP56" s="63">
        <f t="shared" si="36"/>
        <v>5</v>
      </c>
      <c r="AQ56" s="178">
        <f t="shared" si="37"/>
        <v>0</v>
      </c>
      <c r="AR56" s="178">
        <f t="shared" si="38"/>
        <v>0</v>
      </c>
      <c r="AS56" s="178">
        <f t="shared" si="39"/>
        <v>0</v>
      </c>
      <c r="AT56" s="63">
        <f t="shared" si="47"/>
        <v>5</v>
      </c>
      <c r="AU56" s="221">
        <f t="shared" si="49"/>
        <v>5</v>
      </c>
      <c r="AV56" s="221">
        <f t="shared" si="41"/>
        <v>0</v>
      </c>
      <c r="AW56" s="221">
        <f t="shared" si="42"/>
        <v>0</v>
      </c>
      <c r="AX56" s="221">
        <f t="shared" si="43"/>
        <v>0</v>
      </c>
      <c r="AY56" s="221">
        <f t="shared" si="44"/>
        <v>0</v>
      </c>
      <c r="AZ56" s="221">
        <f t="shared" si="45"/>
        <v>0</v>
      </c>
      <c r="BA56" s="221">
        <f t="shared" si="46"/>
        <v>0</v>
      </c>
      <c r="BB56" s="77"/>
      <c r="BC56" s="240"/>
    </row>
    <row r="57" spans="1:55" s="270" customFormat="1" ht="30" customHeight="1" thickBot="1">
      <c r="B57" s="410" t="s">
        <v>279</v>
      </c>
      <c r="C57" s="248" t="s">
        <v>381</v>
      </c>
      <c r="D57" s="346" t="s">
        <v>283</v>
      </c>
      <c r="E57" s="279" t="s">
        <v>40</v>
      </c>
      <c r="F57" s="287" t="s">
        <v>183</v>
      </c>
      <c r="G57" s="245" t="s">
        <v>184</v>
      </c>
      <c r="H57" s="341">
        <v>8</v>
      </c>
      <c r="I57" s="273">
        <v>8</v>
      </c>
      <c r="J57" s="273">
        <v>8</v>
      </c>
      <c r="K57" s="273">
        <v>8</v>
      </c>
      <c r="L57" s="44" t="s">
        <v>9</v>
      </c>
      <c r="M57" s="273">
        <v>8</v>
      </c>
      <c r="N57" s="273">
        <v>8</v>
      </c>
      <c r="O57" s="273">
        <v>8</v>
      </c>
      <c r="P57" s="273">
        <v>8</v>
      </c>
      <c r="Q57" s="273">
        <v>8</v>
      </c>
      <c r="R57" s="273">
        <v>8</v>
      </c>
      <c r="S57" s="273">
        <v>8</v>
      </c>
      <c r="T57" s="44" t="s">
        <v>9</v>
      </c>
      <c r="U57" s="273">
        <v>8</v>
      </c>
      <c r="V57" s="273">
        <v>8</v>
      </c>
      <c r="W57" s="273">
        <v>8</v>
      </c>
      <c r="X57" s="273">
        <v>8</v>
      </c>
      <c r="Y57" s="273">
        <v>8</v>
      </c>
      <c r="Z57" s="44" t="s">
        <v>9</v>
      </c>
      <c r="AA57" s="273">
        <v>8</v>
      </c>
      <c r="AB57" s="273">
        <v>8</v>
      </c>
      <c r="AC57" s="273">
        <v>8</v>
      </c>
      <c r="AD57" s="273">
        <v>8</v>
      </c>
      <c r="AE57" s="273">
        <v>8</v>
      </c>
      <c r="AF57" s="273">
        <v>8</v>
      </c>
      <c r="AG57" s="44" t="s">
        <v>9</v>
      </c>
      <c r="AH57" s="44" t="s">
        <v>9</v>
      </c>
      <c r="AI57" s="273">
        <v>8</v>
      </c>
      <c r="AJ57" s="273">
        <v>8</v>
      </c>
      <c r="AK57" s="273">
        <v>8</v>
      </c>
      <c r="AL57" s="342">
        <v>8</v>
      </c>
      <c r="AM57" s="429">
        <f t="shared" si="33"/>
        <v>26</v>
      </c>
      <c r="AN57" s="367">
        <f t="shared" si="34"/>
        <v>208</v>
      </c>
      <c r="AO57" s="181">
        <f t="shared" si="35"/>
        <v>0</v>
      </c>
      <c r="AP57" s="63">
        <f t="shared" si="36"/>
        <v>5</v>
      </c>
      <c r="AQ57" s="63">
        <f t="shared" si="37"/>
        <v>0</v>
      </c>
      <c r="AR57" s="63">
        <f t="shared" si="38"/>
        <v>0</v>
      </c>
      <c r="AS57" s="63">
        <f t="shared" si="39"/>
        <v>0</v>
      </c>
      <c r="AT57" s="63">
        <f t="shared" si="47"/>
        <v>5</v>
      </c>
      <c r="AU57" s="221">
        <f t="shared" si="49"/>
        <v>5</v>
      </c>
      <c r="AV57" s="221">
        <f t="shared" si="41"/>
        <v>0</v>
      </c>
      <c r="AW57" s="221">
        <f t="shared" si="42"/>
        <v>0</v>
      </c>
      <c r="AX57" s="221">
        <f t="shared" si="43"/>
        <v>0</v>
      </c>
      <c r="AY57" s="221">
        <f t="shared" si="44"/>
        <v>0</v>
      </c>
      <c r="AZ57" s="221">
        <f t="shared" si="45"/>
        <v>0</v>
      </c>
      <c r="BA57" s="221">
        <f t="shared" si="46"/>
        <v>0</v>
      </c>
      <c r="BB57" s="77"/>
    </row>
    <row r="58" spans="1:55" s="270" customFormat="1" ht="30" customHeight="1" thickBot="1">
      <c r="B58" s="411" t="s">
        <v>282</v>
      </c>
      <c r="C58" s="277" t="s">
        <v>414</v>
      </c>
      <c r="D58" s="403" t="s">
        <v>402</v>
      </c>
      <c r="E58" s="148" t="s">
        <v>40</v>
      </c>
      <c r="F58" s="147" t="s">
        <v>183</v>
      </c>
      <c r="G58" s="415" t="s">
        <v>184</v>
      </c>
      <c r="H58" s="343" t="s">
        <v>407</v>
      </c>
      <c r="I58" s="283" t="s">
        <v>407</v>
      </c>
      <c r="J58" s="283" t="s">
        <v>407</v>
      </c>
      <c r="K58" s="283" t="s">
        <v>407</v>
      </c>
      <c r="L58" s="283" t="s">
        <v>407</v>
      </c>
      <c r="M58" s="283" t="s">
        <v>407</v>
      </c>
      <c r="N58" s="283" t="s">
        <v>407</v>
      </c>
      <c r="O58" s="283" t="s">
        <v>407</v>
      </c>
      <c r="P58" s="283" t="s">
        <v>407</v>
      </c>
      <c r="Q58" s="283" t="s">
        <v>407</v>
      </c>
      <c r="R58" s="283">
        <v>8</v>
      </c>
      <c r="S58" s="283">
        <v>8</v>
      </c>
      <c r="T58" s="283">
        <v>8</v>
      </c>
      <c r="U58" s="283">
        <v>8</v>
      </c>
      <c r="V58" s="283">
        <v>8</v>
      </c>
      <c r="W58" s="283">
        <v>8</v>
      </c>
      <c r="X58" s="283">
        <v>8</v>
      </c>
      <c r="Y58" s="283">
        <v>8</v>
      </c>
      <c r="Z58" s="269">
        <v>8</v>
      </c>
      <c r="AA58" s="269" t="s">
        <v>9</v>
      </c>
      <c r="AB58" s="269" t="s">
        <v>9</v>
      </c>
      <c r="AC58" s="283">
        <v>8</v>
      </c>
      <c r="AD58" s="283">
        <v>8</v>
      </c>
      <c r="AE58" s="283">
        <v>8</v>
      </c>
      <c r="AF58" s="283">
        <v>8</v>
      </c>
      <c r="AG58" s="283">
        <v>8</v>
      </c>
      <c r="AH58" s="283">
        <v>8</v>
      </c>
      <c r="AI58" s="269" t="s">
        <v>9</v>
      </c>
      <c r="AJ58" s="283">
        <v>8</v>
      </c>
      <c r="AK58" s="283">
        <v>8</v>
      </c>
      <c r="AL58" s="344">
        <v>8</v>
      </c>
      <c r="AM58" s="287">
        <f t="shared" ref="AM58" si="55">COUNT(H58:AL58)</f>
        <v>18</v>
      </c>
      <c r="AN58" s="279">
        <f t="shared" ref="AN58" si="56">SUM(H58:AL58)</f>
        <v>144</v>
      </c>
      <c r="AO58" s="215">
        <f t="shared" si="50"/>
        <v>0</v>
      </c>
      <c r="AP58" s="137">
        <f t="shared" si="51"/>
        <v>3</v>
      </c>
      <c r="AQ58" s="137">
        <f t="shared" si="52"/>
        <v>0</v>
      </c>
      <c r="AR58" s="137">
        <f t="shared" si="53"/>
        <v>0</v>
      </c>
      <c r="AS58" s="137">
        <f t="shared" si="54"/>
        <v>0</v>
      </c>
      <c r="AT58" s="137">
        <v>3</v>
      </c>
      <c r="AU58" s="72">
        <f t="shared" ref="AU58" si="57">COUNTIF(H58:AL58,"RD")</f>
        <v>3</v>
      </c>
      <c r="AV58" s="72">
        <f t="shared" ref="AV58" si="58">AT58-AU58</f>
        <v>0</v>
      </c>
      <c r="AW58" s="72">
        <f t="shared" ref="AW58" si="59">COUNTIF(H58:AL58,"SH")</f>
        <v>0</v>
      </c>
      <c r="AX58" s="72">
        <f t="shared" ref="AX58" si="60">COUNTIF(H58:AL58,"SL")</f>
        <v>0</v>
      </c>
      <c r="AY58" s="72">
        <f t="shared" ref="AY58" si="61">COUNTIF(H58:AL58,"np")</f>
        <v>0</v>
      </c>
      <c r="AZ58" s="72">
        <f t="shared" ref="AZ58" si="62">COUNTIF(H58:AL58,"AL*")</f>
        <v>0</v>
      </c>
      <c r="BA58" s="72">
        <f t="shared" ref="BA58" si="63">COUNTIF(H58:AL58,"NC*")</f>
        <v>10</v>
      </c>
      <c r="BB58" s="347"/>
    </row>
    <row r="59" spans="1:55" ht="21.95" customHeight="1" thickBot="1">
      <c r="B59" s="477" t="s">
        <v>284</v>
      </c>
      <c r="C59" s="477"/>
      <c r="D59" s="478" t="s">
        <v>158</v>
      </c>
      <c r="E59" s="478"/>
      <c r="F59" s="478"/>
      <c r="G59" s="478"/>
      <c r="H59" s="40">
        <f t="shared" ref="H59:AL59" si="64">COUNTIF(H20:H58,"8")</f>
        <v>31</v>
      </c>
      <c r="I59" s="40">
        <f t="shared" si="64"/>
        <v>31</v>
      </c>
      <c r="J59" s="40">
        <f t="shared" si="64"/>
        <v>31</v>
      </c>
      <c r="K59" s="40">
        <f t="shared" si="64"/>
        <v>31</v>
      </c>
      <c r="L59" s="40">
        <f t="shared" si="64"/>
        <v>31</v>
      </c>
      <c r="M59" s="40">
        <f t="shared" si="64"/>
        <v>31</v>
      </c>
      <c r="N59" s="40">
        <f t="shared" si="64"/>
        <v>31</v>
      </c>
      <c r="O59" s="40">
        <f t="shared" si="64"/>
        <v>31</v>
      </c>
      <c r="P59" s="40">
        <f t="shared" si="64"/>
        <v>31</v>
      </c>
      <c r="Q59" s="40">
        <f t="shared" si="64"/>
        <v>31</v>
      </c>
      <c r="R59" s="40">
        <f t="shared" si="64"/>
        <v>31</v>
      </c>
      <c r="S59" s="40">
        <f t="shared" si="64"/>
        <v>31</v>
      </c>
      <c r="T59" s="40">
        <f t="shared" si="64"/>
        <v>31</v>
      </c>
      <c r="U59" s="40">
        <f t="shared" si="64"/>
        <v>30</v>
      </c>
      <c r="V59" s="40">
        <f t="shared" si="64"/>
        <v>30</v>
      </c>
      <c r="W59" s="40">
        <f t="shared" si="64"/>
        <v>31</v>
      </c>
      <c r="X59" s="40">
        <f t="shared" si="64"/>
        <v>31</v>
      </c>
      <c r="Y59" s="40">
        <f t="shared" si="64"/>
        <v>31</v>
      </c>
      <c r="Z59" s="40">
        <f t="shared" si="64"/>
        <v>31</v>
      </c>
      <c r="AA59" s="40">
        <f t="shared" si="64"/>
        <v>31</v>
      </c>
      <c r="AB59" s="40">
        <f t="shared" si="64"/>
        <v>31</v>
      </c>
      <c r="AC59" s="40">
        <f t="shared" si="64"/>
        <v>31</v>
      </c>
      <c r="AD59" s="40">
        <f t="shared" si="64"/>
        <v>31</v>
      </c>
      <c r="AE59" s="40">
        <f t="shared" si="64"/>
        <v>31</v>
      </c>
      <c r="AF59" s="40">
        <f t="shared" si="64"/>
        <v>31</v>
      </c>
      <c r="AG59" s="40">
        <f t="shared" si="64"/>
        <v>31</v>
      </c>
      <c r="AH59" s="40">
        <f t="shared" si="64"/>
        <v>31</v>
      </c>
      <c r="AI59" s="40">
        <f t="shared" si="64"/>
        <v>31</v>
      </c>
      <c r="AJ59" s="40">
        <f t="shared" si="64"/>
        <v>31</v>
      </c>
      <c r="AK59" s="40">
        <f t="shared" si="64"/>
        <v>31</v>
      </c>
      <c r="AL59" s="40">
        <f t="shared" si="64"/>
        <v>31</v>
      </c>
      <c r="AM59" s="94">
        <f>SUM(AM20:AM58)</f>
        <v>959</v>
      </c>
      <c r="AN59" s="94">
        <f>SUM(AN20:AN58)</f>
        <v>7672</v>
      </c>
      <c r="AO59" s="40"/>
      <c r="AP59" s="40"/>
      <c r="AQ59" s="40"/>
      <c r="AR59" s="40"/>
      <c r="AS59" s="40"/>
      <c r="AT59" s="75"/>
      <c r="AU59" s="69"/>
      <c r="AV59" s="69"/>
      <c r="AW59" s="69"/>
      <c r="AX59" s="69"/>
      <c r="AY59" s="69"/>
      <c r="AZ59" s="69"/>
      <c r="BA59" s="69"/>
      <c r="BB59" s="68"/>
    </row>
    <row r="60" spans="1:55" s="1" customFormat="1" ht="15.75" customHeight="1">
      <c r="A60" s="4"/>
      <c r="B60" s="67"/>
      <c r="C60" s="67"/>
      <c r="D60" s="67"/>
      <c r="E60" s="67"/>
      <c r="F60" s="67"/>
      <c r="G60" s="67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78"/>
      <c r="AN60" s="78"/>
      <c r="AO60" s="78"/>
      <c r="AP60" s="78"/>
      <c r="AQ60" s="78"/>
      <c r="AR60" s="78"/>
      <c r="AS60" s="78"/>
      <c r="AT60" s="68"/>
      <c r="AU60" s="69"/>
      <c r="AV60" s="69"/>
      <c r="AW60" s="69"/>
      <c r="AX60" s="69"/>
      <c r="AY60" s="69"/>
      <c r="AZ60" s="69"/>
      <c r="BA60" s="69"/>
      <c r="BB60" s="68"/>
    </row>
    <row r="61" spans="1:55" ht="21.95" customHeight="1" thickBot="1">
      <c r="B61" s="90"/>
      <c r="C61" s="91"/>
      <c r="D61" s="91"/>
      <c r="E61" s="91"/>
      <c r="F61" s="91"/>
      <c r="G61" s="91"/>
      <c r="H61" s="90"/>
      <c r="I61" s="90"/>
      <c r="J61" s="90"/>
      <c r="K61" s="90"/>
      <c r="L61" s="90"/>
      <c r="AM61" s="47" t="s">
        <v>45</v>
      </c>
      <c r="AN61" s="49" t="s">
        <v>46</v>
      </c>
    </row>
    <row r="62" spans="1:55" ht="21.95" customHeight="1">
      <c r="B62" s="471" t="s">
        <v>159</v>
      </c>
      <c r="C62" s="472"/>
      <c r="D62" s="473"/>
      <c r="E62" s="8"/>
      <c r="F62" s="8"/>
      <c r="G62" s="50" t="s">
        <v>2</v>
      </c>
      <c r="H62" s="92">
        <f t="shared" ref="H62:AL62" si="65">H15</f>
        <v>2</v>
      </c>
      <c r="I62" s="92">
        <f t="shared" si="65"/>
        <v>2</v>
      </c>
      <c r="J62" s="92">
        <f t="shared" si="65"/>
        <v>2</v>
      </c>
      <c r="K62" s="92">
        <f t="shared" si="65"/>
        <v>2</v>
      </c>
      <c r="L62" s="92">
        <f t="shared" si="65"/>
        <v>2</v>
      </c>
      <c r="M62" s="92">
        <f t="shared" si="65"/>
        <v>2</v>
      </c>
      <c r="N62" s="92">
        <f t="shared" si="65"/>
        <v>2</v>
      </c>
      <c r="O62" s="92">
        <f t="shared" si="65"/>
        <v>2</v>
      </c>
      <c r="P62" s="92">
        <f t="shared" si="65"/>
        <v>2</v>
      </c>
      <c r="Q62" s="92">
        <f t="shared" si="65"/>
        <v>2</v>
      </c>
      <c r="R62" s="92">
        <f t="shared" si="65"/>
        <v>2</v>
      </c>
      <c r="S62" s="92">
        <f t="shared" si="65"/>
        <v>2</v>
      </c>
      <c r="T62" s="92">
        <f t="shared" si="65"/>
        <v>2</v>
      </c>
      <c r="U62" s="92">
        <f t="shared" si="65"/>
        <v>2</v>
      </c>
      <c r="V62" s="92">
        <f t="shared" si="65"/>
        <v>2</v>
      </c>
      <c r="W62" s="92">
        <f t="shared" si="65"/>
        <v>2</v>
      </c>
      <c r="X62" s="92">
        <f t="shared" si="65"/>
        <v>2</v>
      </c>
      <c r="Y62" s="92">
        <f t="shared" si="65"/>
        <v>2</v>
      </c>
      <c r="Z62" s="92">
        <f t="shared" si="65"/>
        <v>2</v>
      </c>
      <c r="AA62" s="92">
        <f t="shared" si="65"/>
        <v>2</v>
      </c>
      <c r="AB62" s="92">
        <f t="shared" si="65"/>
        <v>2</v>
      </c>
      <c r="AC62" s="92">
        <f t="shared" si="65"/>
        <v>2</v>
      </c>
      <c r="AD62" s="92">
        <f t="shared" si="65"/>
        <v>2</v>
      </c>
      <c r="AE62" s="92">
        <f t="shared" si="65"/>
        <v>2</v>
      </c>
      <c r="AF62" s="92">
        <f t="shared" si="65"/>
        <v>2</v>
      </c>
      <c r="AG62" s="92">
        <f t="shared" si="65"/>
        <v>2</v>
      </c>
      <c r="AH62" s="92">
        <f t="shared" si="65"/>
        <v>2</v>
      </c>
      <c r="AI62" s="92">
        <f t="shared" si="65"/>
        <v>2</v>
      </c>
      <c r="AJ62" s="92">
        <f t="shared" si="65"/>
        <v>2</v>
      </c>
      <c r="AK62" s="92">
        <f t="shared" si="65"/>
        <v>2</v>
      </c>
      <c r="AL62" s="92">
        <f t="shared" si="65"/>
        <v>2</v>
      </c>
      <c r="AM62" s="50">
        <f t="shared" ref="AM62" si="66">SUM(H62:AL62)</f>
        <v>62</v>
      </c>
      <c r="AN62" s="50">
        <f t="shared" ref="AN62" si="67">AM62*8</f>
        <v>496</v>
      </c>
    </row>
    <row r="63" spans="1:55" ht="21.95" customHeight="1">
      <c r="B63" s="474" t="s">
        <v>160</v>
      </c>
      <c r="C63" s="475"/>
      <c r="D63" s="476"/>
      <c r="E63" s="12"/>
      <c r="F63" s="12"/>
      <c r="G63" s="51"/>
      <c r="H63" s="93">
        <v>2</v>
      </c>
      <c r="I63" s="93">
        <v>2</v>
      </c>
      <c r="J63" s="93">
        <v>2</v>
      </c>
      <c r="K63" s="93">
        <v>2</v>
      </c>
      <c r="L63" s="93">
        <v>2</v>
      </c>
      <c r="M63" s="93">
        <v>2</v>
      </c>
      <c r="N63" s="93">
        <v>2</v>
      </c>
      <c r="O63" s="93">
        <v>2</v>
      </c>
      <c r="P63" s="93">
        <v>2</v>
      </c>
      <c r="Q63" s="93">
        <v>2</v>
      </c>
      <c r="R63" s="93">
        <v>2</v>
      </c>
      <c r="S63" s="93">
        <v>2</v>
      </c>
      <c r="T63" s="93">
        <v>2</v>
      </c>
      <c r="U63" s="93">
        <v>2</v>
      </c>
      <c r="V63" s="93">
        <v>2</v>
      </c>
      <c r="W63" s="93">
        <v>2</v>
      </c>
      <c r="X63" s="93">
        <v>2</v>
      </c>
      <c r="Y63" s="93">
        <v>2</v>
      </c>
      <c r="Z63" s="93">
        <v>2</v>
      </c>
      <c r="AA63" s="93">
        <v>2</v>
      </c>
      <c r="AB63" s="93">
        <v>2</v>
      </c>
      <c r="AC63" s="93">
        <v>2</v>
      </c>
      <c r="AD63" s="93">
        <v>2</v>
      </c>
      <c r="AE63" s="93">
        <v>2</v>
      </c>
      <c r="AF63" s="93">
        <v>2</v>
      </c>
      <c r="AG63" s="93">
        <v>2</v>
      </c>
      <c r="AH63" s="93">
        <v>2</v>
      </c>
      <c r="AI63" s="93">
        <v>2</v>
      </c>
      <c r="AJ63" s="93">
        <v>2</v>
      </c>
      <c r="AK63" s="93">
        <v>2</v>
      </c>
      <c r="AL63" s="93">
        <v>2</v>
      </c>
      <c r="AM63" s="51">
        <f t="shared" ref="AM63:AM67" si="68">SUM(H63:AL63)</f>
        <v>62</v>
      </c>
      <c r="AN63" s="51">
        <f t="shared" ref="AN63:AN67" si="69">AM63*8</f>
        <v>496</v>
      </c>
    </row>
    <row r="64" spans="1:55" ht="21.95" customHeight="1" thickBot="1">
      <c r="B64" s="468" t="s">
        <v>161</v>
      </c>
      <c r="C64" s="469"/>
      <c r="D64" s="470"/>
      <c r="E64" s="16"/>
      <c r="F64" s="16"/>
      <c r="G64" s="89"/>
      <c r="H64" s="103">
        <f>IF((H62-H63)&lt;0,H62-H63,0)</f>
        <v>0</v>
      </c>
      <c r="I64" s="103">
        <f t="shared" ref="I64" si="70">IF((I62-I63)&lt;0,I62-I63,0)</f>
        <v>0</v>
      </c>
      <c r="J64" s="103">
        <f t="shared" ref="J64:AL64" si="71">IF((J62-J63)&lt;0,J62-J63,0)</f>
        <v>0</v>
      </c>
      <c r="K64" s="103">
        <f t="shared" si="71"/>
        <v>0</v>
      </c>
      <c r="L64" s="103">
        <f t="shared" si="71"/>
        <v>0</v>
      </c>
      <c r="M64" s="103">
        <f t="shared" si="71"/>
        <v>0</v>
      </c>
      <c r="N64" s="103">
        <f t="shared" si="71"/>
        <v>0</v>
      </c>
      <c r="O64" s="103">
        <f t="shared" si="71"/>
        <v>0</v>
      </c>
      <c r="P64" s="103">
        <f t="shared" si="71"/>
        <v>0</v>
      </c>
      <c r="Q64" s="103">
        <f t="shared" si="71"/>
        <v>0</v>
      </c>
      <c r="R64" s="103">
        <f t="shared" si="71"/>
        <v>0</v>
      </c>
      <c r="S64" s="103">
        <f t="shared" si="71"/>
        <v>0</v>
      </c>
      <c r="T64" s="103">
        <f t="shared" si="71"/>
        <v>0</v>
      </c>
      <c r="U64" s="103">
        <f t="shared" si="71"/>
        <v>0</v>
      </c>
      <c r="V64" s="103">
        <f t="shared" si="71"/>
        <v>0</v>
      </c>
      <c r="W64" s="103">
        <f t="shared" si="71"/>
        <v>0</v>
      </c>
      <c r="X64" s="103">
        <f t="shared" si="71"/>
        <v>0</v>
      </c>
      <c r="Y64" s="103">
        <f t="shared" si="71"/>
        <v>0</v>
      </c>
      <c r="Z64" s="103">
        <f t="shared" si="71"/>
        <v>0</v>
      </c>
      <c r="AA64" s="103">
        <f t="shared" si="71"/>
        <v>0</v>
      </c>
      <c r="AB64" s="103">
        <f t="shared" si="71"/>
        <v>0</v>
      </c>
      <c r="AC64" s="103">
        <f t="shared" si="71"/>
        <v>0</v>
      </c>
      <c r="AD64" s="103">
        <f t="shared" si="71"/>
        <v>0</v>
      </c>
      <c r="AE64" s="103">
        <f t="shared" si="71"/>
        <v>0</v>
      </c>
      <c r="AF64" s="103">
        <f t="shared" si="71"/>
        <v>0</v>
      </c>
      <c r="AG64" s="103">
        <f t="shared" si="71"/>
        <v>0</v>
      </c>
      <c r="AH64" s="103">
        <f t="shared" si="71"/>
        <v>0</v>
      </c>
      <c r="AI64" s="103">
        <f t="shared" si="71"/>
        <v>0</v>
      </c>
      <c r="AJ64" s="103">
        <f t="shared" si="71"/>
        <v>0</v>
      </c>
      <c r="AK64" s="103">
        <f t="shared" si="71"/>
        <v>0</v>
      </c>
      <c r="AL64" s="103">
        <f t="shared" si="71"/>
        <v>0</v>
      </c>
      <c r="AM64" s="52">
        <f t="shared" si="68"/>
        <v>0</v>
      </c>
      <c r="AN64" s="52">
        <f t="shared" si="69"/>
        <v>0</v>
      </c>
    </row>
    <row r="65" spans="2:55" ht="21.95" customHeight="1">
      <c r="B65" s="471" t="s">
        <v>162</v>
      </c>
      <c r="C65" s="472"/>
      <c r="D65" s="473"/>
      <c r="E65" s="8"/>
      <c r="F65" s="8"/>
      <c r="G65" s="50" t="s">
        <v>3</v>
      </c>
      <c r="H65" s="92">
        <f>H59-H62</f>
        <v>29</v>
      </c>
      <c r="I65" s="92">
        <f t="shared" ref="I65:AL65" si="72">I59-I62</f>
        <v>29</v>
      </c>
      <c r="J65" s="92">
        <f t="shared" si="72"/>
        <v>29</v>
      </c>
      <c r="K65" s="92">
        <f t="shared" si="72"/>
        <v>29</v>
      </c>
      <c r="L65" s="92">
        <f t="shared" si="72"/>
        <v>29</v>
      </c>
      <c r="M65" s="92">
        <f t="shared" si="72"/>
        <v>29</v>
      </c>
      <c r="N65" s="92">
        <f t="shared" si="72"/>
        <v>29</v>
      </c>
      <c r="O65" s="92">
        <f t="shared" si="72"/>
        <v>29</v>
      </c>
      <c r="P65" s="92">
        <f t="shared" si="72"/>
        <v>29</v>
      </c>
      <c r="Q65" s="92">
        <f t="shared" si="72"/>
        <v>29</v>
      </c>
      <c r="R65" s="92">
        <f t="shared" si="72"/>
        <v>29</v>
      </c>
      <c r="S65" s="92">
        <f t="shared" si="72"/>
        <v>29</v>
      </c>
      <c r="T65" s="92">
        <f t="shared" si="72"/>
        <v>29</v>
      </c>
      <c r="U65" s="92">
        <f t="shared" si="72"/>
        <v>28</v>
      </c>
      <c r="V65" s="92">
        <f t="shared" si="72"/>
        <v>28</v>
      </c>
      <c r="W65" s="92">
        <f t="shared" si="72"/>
        <v>29</v>
      </c>
      <c r="X65" s="92">
        <f t="shared" si="72"/>
        <v>29</v>
      </c>
      <c r="Y65" s="92">
        <f t="shared" si="72"/>
        <v>29</v>
      </c>
      <c r="Z65" s="92">
        <f t="shared" si="72"/>
        <v>29</v>
      </c>
      <c r="AA65" s="92">
        <f t="shared" si="72"/>
        <v>29</v>
      </c>
      <c r="AB65" s="92">
        <f t="shared" si="72"/>
        <v>29</v>
      </c>
      <c r="AC65" s="92">
        <f t="shared" si="72"/>
        <v>29</v>
      </c>
      <c r="AD65" s="92">
        <f t="shared" si="72"/>
        <v>29</v>
      </c>
      <c r="AE65" s="92">
        <f t="shared" si="72"/>
        <v>29</v>
      </c>
      <c r="AF65" s="92">
        <f t="shared" si="72"/>
        <v>29</v>
      </c>
      <c r="AG65" s="92">
        <f t="shared" si="72"/>
        <v>29</v>
      </c>
      <c r="AH65" s="92">
        <f t="shared" si="72"/>
        <v>29</v>
      </c>
      <c r="AI65" s="92">
        <f t="shared" si="72"/>
        <v>29</v>
      </c>
      <c r="AJ65" s="92">
        <f t="shared" si="72"/>
        <v>29</v>
      </c>
      <c r="AK65" s="92">
        <f t="shared" si="72"/>
        <v>29</v>
      </c>
      <c r="AL65" s="92">
        <f t="shared" si="72"/>
        <v>29</v>
      </c>
      <c r="AM65" s="50">
        <f t="shared" si="68"/>
        <v>897</v>
      </c>
      <c r="AN65" s="50">
        <f t="shared" si="69"/>
        <v>7176</v>
      </c>
    </row>
    <row r="66" spans="2:55" ht="21.95" customHeight="1">
      <c r="B66" s="474" t="s">
        <v>163</v>
      </c>
      <c r="C66" s="475"/>
      <c r="D66" s="476"/>
      <c r="E66" s="12"/>
      <c r="F66" s="12"/>
      <c r="G66" s="51"/>
      <c r="H66" s="93">
        <v>29</v>
      </c>
      <c r="I66" s="93">
        <v>29</v>
      </c>
      <c r="J66" s="93">
        <v>29</v>
      </c>
      <c r="K66" s="93">
        <v>29</v>
      </c>
      <c r="L66" s="93">
        <v>29</v>
      </c>
      <c r="M66" s="93">
        <v>29</v>
      </c>
      <c r="N66" s="93">
        <v>29</v>
      </c>
      <c r="O66" s="93">
        <v>29</v>
      </c>
      <c r="P66" s="93">
        <v>29</v>
      </c>
      <c r="Q66" s="93">
        <v>29</v>
      </c>
      <c r="R66" s="93">
        <v>29</v>
      </c>
      <c r="S66" s="93">
        <v>29</v>
      </c>
      <c r="T66" s="93">
        <v>29</v>
      </c>
      <c r="U66" s="93">
        <v>29</v>
      </c>
      <c r="V66" s="93">
        <v>29</v>
      </c>
      <c r="W66" s="93">
        <v>29</v>
      </c>
      <c r="X66" s="93">
        <v>29</v>
      </c>
      <c r="Y66" s="93">
        <v>29</v>
      </c>
      <c r="Z66" s="93">
        <v>29</v>
      </c>
      <c r="AA66" s="93">
        <v>29</v>
      </c>
      <c r="AB66" s="93">
        <v>29</v>
      </c>
      <c r="AC66" s="93">
        <v>29</v>
      </c>
      <c r="AD66" s="93">
        <v>29</v>
      </c>
      <c r="AE66" s="93">
        <v>29</v>
      </c>
      <c r="AF66" s="93">
        <v>29</v>
      </c>
      <c r="AG66" s="93">
        <v>29</v>
      </c>
      <c r="AH66" s="93">
        <v>29</v>
      </c>
      <c r="AI66" s="93">
        <v>29</v>
      </c>
      <c r="AJ66" s="93">
        <v>29</v>
      </c>
      <c r="AK66" s="93">
        <v>29</v>
      </c>
      <c r="AL66" s="93">
        <v>29</v>
      </c>
      <c r="AM66" s="51">
        <f t="shared" si="68"/>
        <v>899</v>
      </c>
      <c r="AN66" s="51">
        <f t="shared" si="69"/>
        <v>7192</v>
      </c>
    </row>
    <row r="67" spans="2:55" ht="21.95" customHeight="1" thickBot="1">
      <c r="B67" s="468" t="s">
        <v>164</v>
      </c>
      <c r="C67" s="469"/>
      <c r="D67" s="470"/>
      <c r="E67" s="16"/>
      <c r="F67" s="16"/>
      <c r="G67" s="89"/>
      <c r="H67" s="103">
        <f>IF((H65-H66)&lt;0,H65-H66,0)</f>
        <v>0</v>
      </c>
      <c r="I67" s="38">
        <f t="shared" ref="I67" si="73">IF((I65-I66)&lt;0,I65-I66,0)</f>
        <v>0</v>
      </c>
      <c r="J67" s="38">
        <f t="shared" ref="J67:AK67" si="74">IF((J65-J66)&lt;0,J65-J66,0)</f>
        <v>0</v>
      </c>
      <c r="K67" s="38">
        <f t="shared" si="74"/>
        <v>0</v>
      </c>
      <c r="L67" s="38">
        <f t="shared" si="74"/>
        <v>0</v>
      </c>
      <c r="M67" s="38">
        <f t="shared" si="74"/>
        <v>0</v>
      </c>
      <c r="N67" s="38">
        <f t="shared" si="74"/>
        <v>0</v>
      </c>
      <c r="O67" s="38">
        <f t="shared" si="74"/>
        <v>0</v>
      </c>
      <c r="P67" s="38">
        <f t="shared" si="74"/>
        <v>0</v>
      </c>
      <c r="Q67" s="38">
        <f t="shared" si="74"/>
        <v>0</v>
      </c>
      <c r="R67" s="38">
        <f t="shared" si="74"/>
        <v>0</v>
      </c>
      <c r="S67" s="38">
        <f t="shared" si="74"/>
        <v>0</v>
      </c>
      <c r="T67" s="38">
        <f t="shared" si="74"/>
        <v>0</v>
      </c>
      <c r="U67" s="38">
        <f t="shared" si="74"/>
        <v>-1</v>
      </c>
      <c r="V67" s="38">
        <f t="shared" si="74"/>
        <v>-1</v>
      </c>
      <c r="W67" s="38">
        <f t="shared" si="74"/>
        <v>0</v>
      </c>
      <c r="X67" s="38">
        <f t="shared" si="74"/>
        <v>0</v>
      </c>
      <c r="Y67" s="38">
        <f t="shared" si="74"/>
        <v>0</v>
      </c>
      <c r="Z67" s="38">
        <f t="shared" si="74"/>
        <v>0</v>
      </c>
      <c r="AA67" s="38">
        <f t="shared" si="74"/>
        <v>0</v>
      </c>
      <c r="AB67" s="38">
        <f t="shared" si="74"/>
        <v>0</v>
      </c>
      <c r="AC67" s="38">
        <f t="shared" si="74"/>
        <v>0</v>
      </c>
      <c r="AD67" s="38">
        <f t="shared" si="74"/>
        <v>0</v>
      </c>
      <c r="AE67" s="38">
        <f t="shared" si="74"/>
        <v>0</v>
      </c>
      <c r="AF67" s="38">
        <f t="shared" si="74"/>
        <v>0</v>
      </c>
      <c r="AG67" s="38">
        <f t="shared" si="74"/>
        <v>0</v>
      </c>
      <c r="AH67" s="38">
        <f t="shared" si="74"/>
        <v>0</v>
      </c>
      <c r="AI67" s="38">
        <f t="shared" si="74"/>
        <v>0</v>
      </c>
      <c r="AJ67" s="38">
        <f t="shared" si="74"/>
        <v>0</v>
      </c>
      <c r="AK67" s="38">
        <f t="shared" si="74"/>
        <v>0</v>
      </c>
      <c r="AL67" s="38">
        <f t="shared" ref="AL67" si="75">IF((AL65-AL66)&lt;0,AL65-AL66,0)</f>
        <v>0</v>
      </c>
      <c r="AM67" s="52">
        <f t="shared" si="68"/>
        <v>-2</v>
      </c>
      <c r="AN67" s="52">
        <f t="shared" si="69"/>
        <v>-16</v>
      </c>
    </row>
    <row r="68" spans="2:55" ht="21.95" customHeight="1">
      <c r="B68" s="471" t="s">
        <v>165</v>
      </c>
      <c r="C68" s="472"/>
      <c r="D68" s="473"/>
      <c r="E68" s="8"/>
      <c r="F68" s="8"/>
      <c r="G68" s="50"/>
      <c r="H68" s="92">
        <f>SUM(H15+H62+H65)</f>
        <v>33</v>
      </c>
      <c r="I68" s="92">
        <f t="shared" ref="I68:AL69" si="76">SUM(I15+I62+I65)</f>
        <v>33</v>
      </c>
      <c r="J68" s="92">
        <f t="shared" si="76"/>
        <v>33</v>
      </c>
      <c r="K68" s="92">
        <f t="shared" si="76"/>
        <v>33</v>
      </c>
      <c r="L68" s="92">
        <f t="shared" si="76"/>
        <v>33</v>
      </c>
      <c r="M68" s="92">
        <f t="shared" si="76"/>
        <v>33</v>
      </c>
      <c r="N68" s="92">
        <f t="shared" si="76"/>
        <v>33</v>
      </c>
      <c r="O68" s="92">
        <f t="shared" si="76"/>
        <v>33</v>
      </c>
      <c r="P68" s="92">
        <f t="shared" si="76"/>
        <v>33</v>
      </c>
      <c r="Q68" s="92">
        <f t="shared" si="76"/>
        <v>33</v>
      </c>
      <c r="R68" s="92">
        <f t="shared" si="76"/>
        <v>33</v>
      </c>
      <c r="S68" s="92">
        <f t="shared" si="76"/>
        <v>33</v>
      </c>
      <c r="T68" s="92">
        <f t="shared" si="76"/>
        <v>33</v>
      </c>
      <c r="U68" s="92">
        <f t="shared" si="76"/>
        <v>32</v>
      </c>
      <c r="V68" s="92">
        <f t="shared" si="76"/>
        <v>32</v>
      </c>
      <c r="W68" s="92">
        <f t="shared" si="76"/>
        <v>33</v>
      </c>
      <c r="X68" s="92">
        <f t="shared" si="76"/>
        <v>33</v>
      </c>
      <c r="Y68" s="92">
        <f t="shared" si="76"/>
        <v>33</v>
      </c>
      <c r="Z68" s="92">
        <f t="shared" si="76"/>
        <v>33</v>
      </c>
      <c r="AA68" s="92">
        <f t="shared" si="76"/>
        <v>33</v>
      </c>
      <c r="AB68" s="92">
        <f t="shared" si="76"/>
        <v>33</v>
      </c>
      <c r="AC68" s="92">
        <f t="shared" si="76"/>
        <v>33</v>
      </c>
      <c r="AD68" s="92">
        <f t="shared" si="76"/>
        <v>33</v>
      </c>
      <c r="AE68" s="92">
        <f t="shared" si="76"/>
        <v>33</v>
      </c>
      <c r="AF68" s="92">
        <f t="shared" si="76"/>
        <v>33</v>
      </c>
      <c r="AG68" s="92">
        <f t="shared" si="76"/>
        <v>33</v>
      </c>
      <c r="AH68" s="92">
        <f t="shared" si="76"/>
        <v>33</v>
      </c>
      <c r="AI68" s="92">
        <f t="shared" si="76"/>
        <v>33</v>
      </c>
      <c r="AJ68" s="92">
        <f t="shared" si="76"/>
        <v>33</v>
      </c>
      <c r="AK68" s="92">
        <f t="shared" si="76"/>
        <v>33</v>
      </c>
      <c r="AL68" s="92">
        <f t="shared" si="76"/>
        <v>33</v>
      </c>
      <c r="AM68" s="50">
        <f>SUM(H68:AL68)</f>
        <v>1021</v>
      </c>
      <c r="AN68" s="50">
        <f>AM68*8</f>
        <v>8168</v>
      </c>
    </row>
    <row r="69" spans="2:55" ht="21.95" customHeight="1">
      <c r="B69" s="474" t="s">
        <v>166</v>
      </c>
      <c r="C69" s="475"/>
      <c r="D69" s="476"/>
      <c r="E69" s="12"/>
      <c r="F69" s="12"/>
      <c r="G69" s="51"/>
      <c r="H69" s="93">
        <f>SUM(H16+H63+H66)</f>
        <v>33</v>
      </c>
      <c r="I69" s="93">
        <f t="shared" si="76"/>
        <v>33</v>
      </c>
      <c r="J69" s="93">
        <f t="shared" si="76"/>
        <v>33</v>
      </c>
      <c r="K69" s="93">
        <f t="shared" si="76"/>
        <v>33</v>
      </c>
      <c r="L69" s="93">
        <f t="shared" si="76"/>
        <v>33</v>
      </c>
      <c r="M69" s="93">
        <f t="shared" si="76"/>
        <v>33</v>
      </c>
      <c r="N69" s="93">
        <f t="shared" si="76"/>
        <v>33</v>
      </c>
      <c r="O69" s="93">
        <f t="shared" si="76"/>
        <v>33</v>
      </c>
      <c r="P69" s="93">
        <f t="shared" si="76"/>
        <v>33</v>
      </c>
      <c r="Q69" s="93">
        <f t="shared" si="76"/>
        <v>33</v>
      </c>
      <c r="R69" s="93">
        <f t="shared" si="76"/>
        <v>33</v>
      </c>
      <c r="S69" s="93">
        <f t="shared" si="76"/>
        <v>33</v>
      </c>
      <c r="T69" s="93">
        <f t="shared" si="76"/>
        <v>33</v>
      </c>
      <c r="U69" s="93">
        <f t="shared" si="76"/>
        <v>33</v>
      </c>
      <c r="V69" s="93">
        <f t="shared" si="76"/>
        <v>33</v>
      </c>
      <c r="W69" s="93">
        <f t="shared" si="76"/>
        <v>33</v>
      </c>
      <c r="X69" s="93">
        <f t="shared" si="76"/>
        <v>33</v>
      </c>
      <c r="Y69" s="93">
        <f t="shared" si="76"/>
        <v>33</v>
      </c>
      <c r="Z69" s="93">
        <f t="shared" si="76"/>
        <v>33</v>
      </c>
      <c r="AA69" s="93">
        <f t="shared" si="76"/>
        <v>33</v>
      </c>
      <c r="AB69" s="93">
        <f t="shared" si="76"/>
        <v>33</v>
      </c>
      <c r="AC69" s="93">
        <f t="shared" si="76"/>
        <v>33</v>
      </c>
      <c r="AD69" s="93">
        <f t="shared" si="76"/>
        <v>33</v>
      </c>
      <c r="AE69" s="93">
        <f t="shared" si="76"/>
        <v>33</v>
      </c>
      <c r="AF69" s="93">
        <f t="shared" si="76"/>
        <v>33</v>
      </c>
      <c r="AG69" s="93">
        <f t="shared" si="76"/>
        <v>33</v>
      </c>
      <c r="AH69" s="93">
        <f t="shared" si="76"/>
        <v>33</v>
      </c>
      <c r="AI69" s="93">
        <f t="shared" si="76"/>
        <v>33</v>
      </c>
      <c r="AJ69" s="93">
        <f t="shared" si="76"/>
        <v>33</v>
      </c>
      <c r="AK69" s="93">
        <f t="shared" si="76"/>
        <v>33</v>
      </c>
      <c r="AL69" s="93">
        <f t="shared" si="76"/>
        <v>33</v>
      </c>
      <c r="AM69" s="51">
        <f>SUM(H69:AL69)</f>
        <v>1023</v>
      </c>
      <c r="AN69" s="51">
        <f>AM69*8</f>
        <v>8184</v>
      </c>
    </row>
    <row r="70" spans="2:55" ht="21.95" customHeight="1" thickBot="1">
      <c r="B70" s="468" t="s">
        <v>167</v>
      </c>
      <c r="C70" s="469"/>
      <c r="D70" s="470"/>
      <c r="E70" s="16"/>
      <c r="F70" s="16"/>
      <c r="G70" s="89"/>
      <c r="H70" s="103">
        <f>H68-H69</f>
        <v>0</v>
      </c>
      <c r="I70" s="38">
        <f t="shared" ref="I70:AL70" si="77">I68-I69</f>
        <v>0</v>
      </c>
      <c r="J70" s="38">
        <f t="shared" si="77"/>
        <v>0</v>
      </c>
      <c r="K70" s="38">
        <f t="shared" si="77"/>
        <v>0</v>
      </c>
      <c r="L70" s="38">
        <f t="shared" si="77"/>
        <v>0</v>
      </c>
      <c r="M70" s="38">
        <f t="shared" si="77"/>
        <v>0</v>
      </c>
      <c r="N70" s="38">
        <f t="shared" si="77"/>
        <v>0</v>
      </c>
      <c r="O70" s="38">
        <f t="shared" si="77"/>
        <v>0</v>
      </c>
      <c r="P70" s="38">
        <f t="shared" si="77"/>
        <v>0</v>
      </c>
      <c r="Q70" s="38">
        <f t="shared" si="77"/>
        <v>0</v>
      </c>
      <c r="R70" s="38">
        <f t="shared" si="77"/>
        <v>0</v>
      </c>
      <c r="S70" s="38">
        <f t="shared" si="77"/>
        <v>0</v>
      </c>
      <c r="T70" s="38">
        <f t="shared" si="77"/>
        <v>0</v>
      </c>
      <c r="U70" s="38">
        <f t="shared" si="77"/>
        <v>-1</v>
      </c>
      <c r="V70" s="38">
        <f t="shared" si="77"/>
        <v>-1</v>
      </c>
      <c r="W70" s="38">
        <f t="shared" si="77"/>
        <v>0</v>
      </c>
      <c r="X70" s="38">
        <f t="shared" si="77"/>
        <v>0</v>
      </c>
      <c r="Y70" s="38">
        <f t="shared" si="77"/>
        <v>0</v>
      </c>
      <c r="Z70" s="38">
        <f t="shared" si="77"/>
        <v>0</v>
      </c>
      <c r="AA70" s="38">
        <f t="shared" si="77"/>
        <v>0</v>
      </c>
      <c r="AB70" s="38">
        <f t="shared" si="77"/>
        <v>0</v>
      </c>
      <c r="AC70" s="38">
        <f t="shared" si="77"/>
        <v>0</v>
      </c>
      <c r="AD70" s="38">
        <f t="shared" si="77"/>
        <v>0</v>
      </c>
      <c r="AE70" s="38">
        <f t="shared" si="77"/>
        <v>0</v>
      </c>
      <c r="AF70" s="38">
        <f t="shared" si="77"/>
        <v>0</v>
      </c>
      <c r="AG70" s="38">
        <f t="shared" si="77"/>
        <v>0</v>
      </c>
      <c r="AH70" s="38">
        <f t="shared" si="77"/>
        <v>0</v>
      </c>
      <c r="AI70" s="38">
        <f t="shared" si="77"/>
        <v>0</v>
      </c>
      <c r="AJ70" s="38">
        <f t="shared" si="77"/>
        <v>0</v>
      </c>
      <c r="AK70" s="38">
        <f t="shared" si="77"/>
        <v>0</v>
      </c>
      <c r="AL70" s="38">
        <f t="shared" si="77"/>
        <v>0</v>
      </c>
      <c r="AM70" s="52">
        <f t="shared" ref="AM70" si="78">SUM(H70:AL70)</f>
        <v>-2</v>
      </c>
      <c r="AN70" s="52">
        <f>AN68-AN69</f>
        <v>-16</v>
      </c>
    </row>
    <row r="71" spans="2:55" ht="21.95" customHeight="1"/>
    <row r="72" spans="2:55" s="3" customFormat="1" ht="21.95" customHeight="1">
      <c r="C72" s="40"/>
      <c r="D72" s="115" t="s">
        <v>168</v>
      </c>
      <c r="E72" s="40"/>
      <c r="F72" s="40"/>
      <c r="G72" s="40"/>
      <c r="I72" s="3" t="s">
        <v>169</v>
      </c>
      <c r="J72" s="42"/>
      <c r="K72" s="42"/>
      <c r="L72" s="42"/>
      <c r="M72" s="42"/>
      <c r="N72" s="42"/>
      <c r="O72" s="42"/>
      <c r="P72" s="42"/>
      <c r="Q72" s="42"/>
      <c r="R72" s="67"/>
      <c r="S72" s="40"/>
      <c r="W72" s="40"/>
      <c r="X72" s="40"/>
      <c r="Y72" s="434" t="s">
        <v>416</v>
      </c>
      <c r="Z72" s="434"/>
      <c r="AA72" s="44" t="s">
        <v>9</v>
      </c>
      <c r="AB72" s="364" t="s">
        <v>390</v>
      </c>
      <c r="AC72" s="45" t="s">
        <v>11</v>
      </c>
      <c r="AD72" s="46" t="s">
        <v>12</v>
      </c>
      <c r="AE72" s="119" t="s">
        <v>170</v>
      </c>
      <c r="AF72" s="129" t="s">
        <v>14</v>
      </c>
      <c r="AG72" s="124" t="s">
        <v>376</v>
      </c>
      <c r="AH72" s="125"/>
      <c r="AI72" s="126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78"/>
      <c r="AV72" s="40"/>
      <c r="BA72" s="40"/>
    </row>
    <row r="73" spans="2:55" s="3" customFormat="1" ht="21.95" customHeight="1">
      <c r="C73" s="40"/>
      <c r="D73" s="40"/>
      <c r="E73" s="40"/>
      <c r="F73" s="40"/>
      <c r="G73" s="40"/>
      <c r="I73" s="3" t="s">
        <v>417</v>
      </c>
      <c r="O73" s="40"/>
      <c r="R73" s="85"/>
      <c r="AN73" s="40"/>
      <c r="AO73" s="40"/>
      <c r="AP73" s="40"/>
      <c r="AQ73" s="40"/>
      <c r="AR73" s="40"/>
      <c r="AS73" s="40"/>
      <c r="AT73" s="40"/>
      <c r="AU73" s="40"/>
      <c r="AV73" s="40"/>
      <c r="AW73" s="78"/>
      <c r="AX73" s="40"/>
      <c r="BC73" s="40"/>
    </row>
    <row r="74" spans="2:55" ht="21.95" customHeight="1">
      <c r="B74" s="80"/>
      <c r="C74" s="285"/>
      <c r="D74" s="75"/>
      <c r="E74" s="75"/>
      <c r="F74" s="75"/>
      <c r="G74" s="75"/>
      <c r="H74" s="192"/>
      <c r="I74" s="192"/>
      <c r="J74" s="3"/>
      <c r="K74" s="3"/>
      <c r="L74" s="3"/>
      <c r="M74" s="3"/>
      <c r="N74" s="3"/>
      <c r="O74" s="3"/>
      <c r="P74" s="3"/>
      <c r="Q74" s="3"/>
      <c r="R74" s="85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2:55" s="3" customFormat="1" ht="21.95" customHeight="1">
      <c r="B75" s="104"/>
      <c r="C75" s="483"/>
      <c r="D75" s="483"/>
      <c r="E75" s="40"/>
      <c r="F75" s="105"/>
      <c r="G75" s="100"/>
      <c r="W75" s="4"/>
      <c r="AG75" s="84"/>
      <c r="AH75" s="85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78"/>
      <c r="BB75" s="40"/>
    </row>
    <row r="76" spans="2:55" s="3" customFormat="1" ht="21.95" customHeight="1">
      <c r="C76" s="40"/>
      <c r="D76" s="40"/>
      <c r="E76" s="40"/>
      <c r="F76" s="105"/>
      <c r="G76" s="40"/>
      <c r="W76" s="4"/>
      <c r="AO76" s="40"/>
      <c r="AP76" s="40"/>
      <c r="AQ76" s="40"/>
      <c r="AR76" s="40"/>
      <c r="AS76" s="40"/>
      <c r="AT76" s="40"/>
      <c r="AU76" s="40"/>
      <c r="AV76" s="78"/>
      <c r="BB76" s="40"/>
    </row>
    <row r="77" spans="2:55" s="3" customFormat="1" ht="21.95" customHeight="1">
      <c r="C77" s="40"/>
      <c r="E77" s="40"/>
      <c r="F77" s="40"/>
      <c r="G77" s="40"/>
      <c r="H77" s="40"/>
      <c r="I77" s="40"/>
      <c r="W77" s="4"/>
      <c r="AM77" s="40"/>
      <c r="AN77" s="40"/>
      <c r="AO77" s="40"/>
      <c r="AP77" s="40"/>
      <c r="AQ77" s="40"/>
      <c r="AR77" s="40"/>
      <c r="AS77" s="40"/>
      <c r="AT77" s="40"/>
      <c r="AU77" s="40"/>
      <c r="AV77" s="78"/>
      <c r="BB77" s="40"/>
    </row>
    <row r="78" spans="2:55" s="3" customFormat="1" ht="21.95" customHeight="1">
      <c r="C78" s="40"/>
      <c r="E78" s="40"/>
      <c r="F78" s="40"/>
      <c r="G78" s="40"/>
      <c r="L78" s="106" t="s">
        <v>54</v>
      </c>
      <c r="AM78" s="40"/>
      <c r="AN78" s="40"/>
      <c r="AO78" s="40"/>
      <c r="AP78" s="40"/>
      <c r="AQ78" s="40"/>
      <c r="AR78" s="40"/>
      <c r="AS78" s="40"/>
      <c r="AT78" s="40"/>
      <c r="AU78" s="40"/>
      <c r="AV78" s="78"/>
      <c r="BB78" s="40"/>
    </row>
    <row r="79" spans="2:55" ht="21.95" customHeight="1">
      <c r="AG79" s="84"/>
      <c r="AI79" s="2"/>
      <c r="AJ79" s="2"/>
      <c r="AK79" s="2"/>
      <c r="AL79" s="2"/>
    </row>
    <row r="80" spans="2:55" ht="21.95" customHeight="1">
      <c r="AM80" s="4"/>
      <c r="AN80" s="4"/>
    </row>
    <row r="81" spans="25:38" ht="21.95" customHeight="1"/>
    <row r="82" spans="25:38" ht="21.95" customHeight="1"/>
    <row r="83" spans="25:38" ht="21.95" customHeight="1">
      <c r="AG83" s="84"/>
      <c r="AH83" s="86"/>
      <c r="AI83" s="2"/>
      <c r="AJ83" s="2"/>
      <c r="AK83" s="2"/>
      <c r="AL83" s="2"/>
    </row>
    <row r="84" spans="25:38" ht="21.95" customHeight="1"/>
    <row r="85" spans="25:38" ht="21.95" customHeight="1">
      <c r="Y85" s="4" t="s">
        <v>285</v>
      </c>
      <c r="Z85" s="4" t="s">
        <v>285</v>
      </c>
    </row>
    <row r="86" spans="25:38" ht="21.95" customHeight="1"/>
    <row r="87" spans="25:38" ht="21.95" customHeight="1"/>
    <row r="88" spans="25:38" ht="21.95" customHeight="1"/>
    <row r="89" spans="25:38" ht="21.95" customHeight="1"/>
    <row r="90" spans="25:38" ht="21.95" customHeight="1"/>
    <row r="91" spans="25:38" ht="21.95" customHeight="1"/>
    <row r="92" spans="25:38" ht="21.95" customHeight="1"/>
    <row r="93" spans="25:38" ht="21.95" customHeight="1"/>
    <row r="94" spans="25:38" ht="21.95" customHeight="1"/>
    <row r="95" spans="25:38" ht="21.95" customHeight="1"/>
    <row r="96" spans="25:38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</sheetData>
  <sortState xmlns:xlrd2="http://schemas.microsoft.com/office/spreadsheetml/2017/richdata2" ref="A22:BC57">
    <sortCondition ref="C22:C57" customList="从小到大"/>
  </sortState>
  <mergeCells count="21">
    <mergeCell ref="Y72:Z72"/>
    <mergeCell ref="B1:AN1"/>
    <mergeCell ref="B2:AN2"/>
    <mergeCell ref="B3:AN3"/>
    <mergeCell ref="B4:AN4"/>
    <mergeCell ref="B70:D70"/>
    <mergeCell ref="C75:D75"/>
    <mergeCell ref="B62:D62"/>
    <mergeCell ref="B63:D63"/>
    <mergeCell ref="B64:D64"/>
    <mergeCell ref="B65:D65"/>
    <mergeCell ref="B66:D66"/>
    <mergeCell ref="BB6:BB7"/>
    <mergeCell ref="BB18:BB19"/>
    <mergeCell ref="B67:D67"/>
    <mergeCell ref="B68:D68"/>
    <mergeCell ref="B69:D69"/>
    <mergeCell ref="B59:C59"/>
    <mergeCell ref="D59:G59"/>
    <mergeCell ref="AM6:AM7"/>
    <mergeCell ref="AN6:AN7"/>
  </mergeCells>
  <phoneticPr fontId="22" type="noConversion"/>
  <conditionalFormatting sqref="H58:X58">
    <cfRule type="containsText" dxfId="1777" priority="29" operator="containsText" text="NC">
      <formula>NOT(ISERROR(SEARCH("NC",H58)))</formula>
    </cfRule>
  </conditionalFormatting>
  <conditionalFormatting sqref="H10:AL11">
    <cfRule type="containsText" dxfId="1776" priority="27" operator="containsText" text="G">
      <formula>NOT(ISERROR(SEARCH("G",H10)))</formula>
    </cfRule>
  </conditionalFormatting>
  <conditionalFormatting sqref="H20:AL21">
    <cfRule type="containsText" dxfId="1775" priority="25" operator="containsText" text="GS">
      <formula>NOT(ISERROR(SEARCH("GS",H20)))</formula>
    </cfRule>
  </conditionalFormatting>
  <conditionalFormatting sqref="H20:AL58">
    <cfRule type="containsText" dxfId="1774" priority="19" operator="containsText" text="8">
      <formula>NOT(ISERROR(SEARCH("8",H20)))</formula>
    </cfRule>
    <cfRule type="containsText" dxfId="1773" priority="20" operator="containsText" text="RD">
      <formula>NOT(ISERROR(SEARCH("RD",H20)))</formula>
    </cfRule>
  </conditionalFormatting>
  <conditionalFormatting sqref="H24:AL24">
    <cfRule type="containsText" dxfId="1772" priority="21" operator="containsText" text="FH">
      <formula>NOT(ISERROR(SEARCH("FH",H24)))</formula>
    </cfRule>
  </conditionalFormatting>
  <conditionalFormatting sqref="H26:AL26">
    <cfRule type="containsText" dxfId="1771" priority="23" operator="containsText" text="SL">
      <formula>NOT(ISERROR(SEARCH("SL",H26)))</formula>
    </cfRule>
  </conditionalFormatting>
  <conditionalFormatting sqref="H27:AL27">
    <cfRule type="containsText" dxfId="1770" priority="24" operator="containsText" text="WTT">
      <formula>NOT(ISERROR(SEARCH("WTT",H27)))</formula>
    </cfRule>
  </conditionalFormatting>
  <conditionalFormatting sqref="H31:AL31">
    <cfRule type="containsText" dxfId="1769" priority="32" operator="containsText" text="SL">
      <formula>NOT(ISERROR(SEARCH("SL",H31)))</formula>
    </cfRule>
  </conditionalFormatting>
  <conditionalFormatting sqref="H51:AL51">
    <cfRule type="containsText" dxfId="1768" priority="22" operator="containsText" text="GS">
      <formula>NOT(ISERROR(SEARCH("GS",H51)))</formula>
    </cfRule>
  </conditionalFormatting>
  <conditionalFormatting sqref="H54:AL54">
    <cfRule type="containsText" dxfId="1767" priority="30" operator="containsText" text="FH">
      <formula>NOT(ISERROR(SEARCH("FH",H54)))</formula>
    </cfRule>
  </conditionalFormatting>
  <conditionalFormatting sqref="I73">
    <cfRule type="cellIs" dxfId="1766" priority="1" operator="equal">
      <formula>"NP"</formula>
    </cfRule>
  </conditionalFormatting>
  <conditionalFormatting sqref="J20:K20 M20:T20 Z20 AI20">
    <cfRule type="containsText" dxfId="1765" priority="26" operator="containsText" text="G">
      <formula>NOT(ISERROR(SEARCH("G",J20)))</formula>
    </cfRule>
  </conditionalFormatting>
  <conditionalFormatting sqref="AA73">
    <cfRule type="cellIs" dxfId="1764" priority="10" stopIfTrue="1" operator="equal">
      <formula>"TPN"</formula>
    </cfRule>
  </conditionalFormatting>
  <conditionalFormatting sqref="AB58:AH58 AJ58:AL58">
    <cfRule type="containsText" dxfId="1763" priority="28" operator="containsText" text="早">
      <formula>NOT(ISERROR(SEARCH("早",AB58)))</formula>
    </cfRule>
  </conditionalFormatting>
  <conditionalFormatting sqref="AH72:AI72">
    <cfRule type="cellIs" dxfId="1762" priority="2" operator="equal">
      <formula>"NP"</formula>
    </cfRule>
    <cfRule type="cellIs" dxfId="1761" priority="3" operator="equal">
      <formula>"NC"</formula>
    </cfRule>
    <cfRule type="cellIs" dxfId="1760" priority="4" operator="equal">
      <formula>"NC"</formula>
    </cfRule>
    <cfRule type="cellIs" dxfId="1759" priority="5" operator="equal">
      <formula>"R"</formula>
    </cfRule>
    <cfRule type="cellIs" dxfId="1758" priority="6" operator="equal">
      <formula>"NH11"</formula>
    </cfRule>
    <cfRule type="cellIs" dxfId="1757" priority="7" operator="equal">
      <formula>"NH"</formula>
    </cfRule>
    <cfRule type="cellIs" dxfId="1756" priority="8" stopIfTrue="1" operator="equal">
      <formula>"NP"</formula>
    </cfRule>
    <cfRule type="cellIs" dxfId="1755" priority="9" stopIfTrue="1" operator="equal">
      <formula>"RD"</formula>
    </cfRule>
  </conditionalFormatting>
  <conditionalFormatting sqref="AJ46:AL46">
    <cfRule type="containsText" dxfId="1754" priority="31" operator="containsText" text="NP">
      <formula>NOT(ISERROR(SEARCH("NP",AJ46)))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paperSize="9" scale="52" fitToHeight="0" orientation="landscape" r:id="rId1"/>
  <rowBreaks count="1" manualBreakCount="1">
    <brk id="39" min="1" max="3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C117"/>
  <sheetViews>
    <sheetView view="pageBreakPreview" zoomScale="70" zoomScaleNormal="70" zoomScaleSheetLayoutView="70" workbookViewId="0">
      <selection activeCell="AP15" sqref="AP15"/>
    </sheetView>
  </sheetViews>
  <sheetFormatPr defaultColWidth="9" defaultRowHeight="15" outlineLevelCol="1"/>
  <cols>
    <col min="1" max="1" width="1.625" style="4" customWidth="1"/>
    <col min="2" max="2" width="9" style="4"/>
    <col min="3" max="3" width="18.875" style="2" customWidth="1"/>
    <col min="4" max="4" width="14.125" style="2" customWidth="1"/>
    <col min="5" max="7" width="6.625" style="2" hidden="1" customWidth="1" outlineLevel="1"/>
    <col min="8" max="8" width="6.625" style="4" customWidth="1" collapsed="1"/>
    <col min="9" max="39" width="6" style="4" customWidth="1"/>
    <col min="40" max="41" width="9.625" style="2" customWidth="1"/>
    <col min="42" max="44" width="9" style="2" customWidth="1" outlineLevel="1"/>
    <col min="45" max="46" width="9" style="4" customWidth="1" outlineLevel="1"/>
    <col min="47" max="48" width="4" style="4" customWidth="1"/>
    <col min="49" max="49" width="4" style="1" customWidth="1"/>
    <col min="50" max="54" width="4" style="4" customWidth="1"/>
    <col min="55" max="55" width="6.5" style="4" customWidth="1" outlineLevel="1"/>
    <col min="56" max="57" width="6.5" style="4" customWidth="1"/>
    <col min="58" max="16384" width="9" style="4"/>
  </cols>
  <sheetData>
    <row r="1" spans="2:55" ht="21.95" customHeight="1">
      <c r="B1" s="460" t="s">
        <v>4</v>
      </c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0"/>
      <c r="AA1" s="460"/>
      <c r="AB1" s="460"/>
      <c r="AC1" s="460"/>
      <c r="AD1" s="460"/>
      <c r="AE1" s="460"/>
      <c r="AF1" s="460"/>
      <c r="AG1" s="460"/>
      <c r="AH1" s="460"/>
      <c r="AI1" s="460"/>
      <c r="AJ1" s="460"/>
      <c r="AK1" s="460"/>
      <c r="AL1" s="460"/>
      <c r="AM1" s="460"/>
      <c r="AN1" s="460"/>
      <c r="AO1" s="460"/>
      <c r="AP1" s="56"/>
      <c r="AQ1" s="56"/>
      <c r="AR1" s="56"/>
      <c r="AS1" s="56"/>
      <c r="AT1" s="56"/>
    </row>
    <row r="2" spans="2:55" ht="21.95" customHeight="1">
      <c r="B2" s="460" t="s">
        <v>5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60"/>
      <c r="AA2" s="460"/>
      <c r="AB2" s="460"/>
      <c r="AC2" s="460"/>
      <c r="AD2" s="460"/>
      <c r="AE2" s="460"/>
      <c r="AF2" s="460"/>
      <c r="AG2" s="460"/>
      <c r="AH2" s="460"/>
      <c r="AI2" s="460"/>
      <c r="AJ2" s="460"/>
      <c r="AK2" s="460"/>
      <c r="AL2" s="460"/>
      <c r="AM2" s="460"/>
      <c r="AN2" s="460"/>
      <c r="AO2" s="460"/>
      <c r="AP2" s="56"/>
      <c r="AQ2" s="56"/>
      <c r="AR2" s="56"/>
      <c r="AS2" s="56"/>
      <c r="AT2" s="56"/>
    </row>
    <row r="3" spans="2:55" ht="21.95" customHeight="1">
      <c r="B3" s="464" t="str">
        <f>YEAR(I6)&amp;"年"&amp;MONTH(I6)&amp;"月保安出勤及休假記錄  (夜更 23:00 - 07:00) "</f>
        <v xml:space="preserve">2026年3月保安出勤及休假記錄  (夜更 23:00 - 07:00) 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F3" s="464"/>
      <c r="AG3" s="464"/>
      <c r="AH3" s="464"/>
      <c r="AI3" s="464"/>
      <c r="AJ3" s="464"/>
      <c r="AK3" s="464"/>
      <c r="AL3" s="464"/>
      <c r="AM3" s="464"/>
      <c r="AN3" s="464"/>
      <c r="AO3" s="464"/>
      <c r="AP3" s="57"/>
      <c r="AQ3" s="57"/>
      <c r="AR3" s="57"/>
      <c r="AS3" s="57"/>
      <c r="AT3" s="57"/>
    </row>
    <row r="4" spans="2:55" ht="21.95" customHeight="1">
      <c r="B4" s="464" t="s">
        <v>374</v>
      </c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  <c r="AM4" s="464"/>
      <c r="AN4" s="464"/>
      <c r="AO4" s="464"/>
      <c r="AP4" s="57"/>
      <c r="AQ4" s="57"/>
      <c r="AR4" s="57"/>
      <c r="AS4" s="57"/>
      <c r="AT4" s="57"/>
    </row>
    <row r="5" spans="2:55" ht="21.95" customHeight="1" thickBot="1">
      <c r="B5" s="6" t="s">
        <v>6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</row>
    <row r="6" spans="2:55" s="90" customFormat="1" ht="30" customHeight="1">
      <c r="B6" s="293"/>
      <c r="C6" s="271"/>
      <c r="D6" s="231"/>
      <c r="E6" s="232"/>
      <c r="F6" s="232"/>
      <c r="G6" s="232"/>
      <c r="H6" s="294"/>
      <c r="I6" s="258">
        <f>早!I6</f>
        <v>46082</v>
      </c>
      <c r="J6" s="234">
        <f>I6+1</f>
        <v>46083</v>
      </c>
      <c r="K6" s="234">
        <f t="shared" ref="K6" si="0">J6+1</f>
        <v>46084</v>
      </c>
      <c r="L6" s="234">
        <f t="shared" ref="L6:AM6" si="1">K6+1</f>
        <v>46085</v>
      </c>
      <c r="M6" s="234">
        <f t="shared" si="1"/>
        <v>46086</v>
      </c>
      <c r="N6" s="234">
        <f t="shared" si="1"/>
        <v>46087</v>
      </c>
      <c r="O6" s="234">
        <f t="shared" si="1"/>
        <v>46088</v>
      </c>
      <c r="P6" s="234">
        <f t="shared" si="1"/>
        <v>46089</v>
      </c>
      <c r="Q6" s="234">
        <f t="shared" si="1"/>
        <v>46090</v>
      </c>
      <c r="R6" s="234">
        <f t="shared" si="1"/>
        <v>46091</v>
      </c>
      <c r="S6" s="234">
        <f t="shared" si="1"/>
        <v>46092</v>
      </c>
      <c r="T6" s="234">
        <f t="shared" si="1"/>
        <v>46093</v>
      </c>
      <c r="U6" s="234">
        <f t="shared" si="1"/>
        <v>46094</v>
      </c>
      <c r="V6" s="234">
        <f t="shared" si="1"/>
        <v>46095</v>
      </c>
      <c r="W6" s="234">
        <f t="shared" si="1"/>
        <v>46096</v>
      </c>
      <c r="X6" s="234">
        <f t="shared" si="1"/>
        <v>46097</v>
      </c>
      <c r="Y6" s="234">
        <f t="shared" si="1"/>
        <v>46098</v>
      </c>
      <c r="Z6" s="234">
        <f t="shared" si="1"/>
        <v>46099</v>
      </c>
      <c r="AA6" s="234">
        <f t="shared" si="1"/>
        <v>46100</v>
      </c>
      <c r="AB6" s="234">
        <f t="shared" si="1"/>
        <v>46101</v>
      </c>
      <c r="AC6" s="234">
        <f t="shared" si="1"/>
        <v>46102</v>
      </c>
      <c r="AD6" s="234">
        <f t="shared" si="1"/>
        <v>46103</v>
      </c>
      <c r="AE6" s="234">
        <f t="shared" si="1"/>
        <v>46104</v>
      </c>
      <c r="AF6" s="234">
        <f t="shared" si="1"/>
        <v>46105</v>
      </c>
      <c r="AG6" s="256">
        <f t="shared" si="1"/>
        <v>46106</v>
      </c>
      <c r="AH6" s="295">
        <f t="shared" si="1"/>
        <v>46107</v>
      </c>
      <c r="AI6" s="234">
        <f t="shared" si="1"/>
        <v>46108</v>
      </c>
      <c r="AJ6" s="234">
        <f t="shared" si="1"/>
        <v>46109</v>
      </c>
      <c r="AK6" s="234">
        <f t="shared" si="1"/>
        <v>46110</v>
      </c>
      <c r="AL6" s="234">
        <f t="shared" si="1"/>
        <v>46111</v>
      </c>
      <c r="AM6" s="235">
        <f t="shared" si="1"/>
        <v>46112</v>
      </c>
      <c r="AN6" s="503" t="s">
        <v>419</v>
      </c>
      <c r="AO6" s="481" t="s">
        <v>420</v>
      </c>
      <c r="AP6" s="131" t="s">
        <v>0</v>
      </c>
      <c r="AQ6" s="62" t="s">
        <v>9</v>
      </c>
      <c r="AR6" s="62" t="s">
        <v>10</v>
      </c>
      <c r="AS6" s="62" t="s">
        <v>11</v>
      </c>
      <c r="AT6" s="58" t="s">
        <v>12</v>
      </c>
      <c r="AU6" s="58" t="s">
        <v>9</v>
      </c>
      <c r="AV6" s="59" t="s">
        <v>9</v>
      </c>
      <c r="AW6" s="70" t="s">
        <v>13</v>
      </c>
      <c r="AX6" s="59" t="s">
        <v>0</v>
      </c>
      <c r="AY6" s="62" t="s">
        <v>11</v>
      </c>
      <c r="AZ6" s="59" t="s">
        <v>10</v>
      </c>
      <c r="BA6" s="59" t="s">
        <v>12</v>
      </c>
      <c r="BB6" s="71" t="s">
        <v>14</v>
      </c>
      <c r="BC6" s="484" t="s">
        <v>15</v>
      </c>
    </row>
    <row r="7" spans="2:55" s="90" customFormat="1" ht="30" customHeight="1" thickBot="1">
      <c r="B7" s="287" t="s">
        <v>16</v>
      </c>
      <c r="C7" s="367" t="s">
        <v>17</v>
      </c>
      <c r="D7" s="368" t="s">
        <v>18</v>
      </c>
      <c r="E7" s="288" t="s">
        <v>19</v>
      </c>
      <c r="F7" s="288" t="s">
        <v>20</v>
      </c>
      <c r="G7" s="288" t="s">
        <v>21</v>
      </c>
      <c r="H7" s="297" t="s">
        <v>22</v>
      </c>
      <c r="I7" s="259" t="str">
        <f t="shared" ref="I7" si="2">SUBSTITUTE(TEXT(I6,"aaa"),"週","")</f>
        <v>日</v>
      </c>
      <c r="J7" s="251" t="str">
        <f t="shared" ref="J7:AL7" si="3">SUBSTITUTE(TEXT(J6,"aaa"),"週","")</f>
        <v>一</v>
      </c>
      <c r="K7" s="251" t="str">
        <f t="shared" si="3"/>
        <v>二</v>
      </c>
      <c r="L7" s="251" t="str">
        <f t="shared" si="3"/>
        <v>三</v>
      </c>
      <c r="M7" s="251" t="str">
        <f t="shared" si="3"/>
        <v>四</v>
      </c>
      <c r="N7" s="307" t="str">
        <f t="shared" si="3"/>
        <v>五</v>
      </c>
      <c r="O7" s="251" t="str">
        <f t="shared" si="3"/>
        <v>六</v>
      </c>
      <c r="P7" s="251" t="str">
        <f t="shared" si="3"/>
        <v>日</v>
      </c>
      <c r="Q7" s="251" t="str">
        <f t="shared" si="3"/>
        <v>一</v>
      </c>
      <c r="R7" s="251" t="str">
        <f t="shared" si="3"/>
        <v>二</v>
      </c>
      <c r="S7" s="251" t="str">
        <f t="shared" si="3"/>
        <v>三</v>
      </c>
      <c r="T7" s="251" t="str">
        <f t="shared" si="3"/>
        <v>四</v>
      </c>
      <c r="U7" s="251" t="str">
        <f t="shared" si="3"/>
        <v>五</v>
      </c>
      <c r="V7" s="251" t="str">
        <f t="shared" si="3"/>
        <v>六</v>
      </c>
      <c r="W7" s="251" t="str">
        <f t="shared" si="3"/>
        <v>日</v>
      </c>
      <c r="X7" s="251" t="str">
        <f t="shared" si="3"/>
        <v>一</v>
      </c>
      <c r="Y7" s="251" t="str">
        <f t="shared" si="3"/>
        <v>二</v>
      </c>
      <c r="Z7" s="251" t="str">
        <f t="shared" si="3"/>
        <v>三</v>
      </c>
      <c r="AA7" s="251" t="str">
        <f t="shared" si="3"/>
        <v>四</v>
      </c>
      <c r="AB7" s="251" t="str">
        <f t="shared" si="3"/>
        <v>五</v>
      </c>
      <c r="AC7" s="251" t="str">
        <f t="shared" si="3"/>
        <v>六</v>
      </c>
      <c r="AD7" s="251" t="str">
        <f t="shared" si="3"/>
        <v>日</v>
      </c>
      <c r="AE7" s="251" t="str">
        <f t="shared" si="3"/>
        <v>一</v>
      </c>
      <c r="AF7" s="251" t="str">
        <f t="shared" si="3"/>
        <v>二</v>
      </c>
      <c r="AG7" s="257" t="str">
        <f t="shared" si="3"/>
        <v>三</v>
      </c>
      <c r="AH7" s="307" t="str">
        <f t="shared" si="3"/>
        <v>四</v>
      </c>
      <c r="AI7" s="251" t="str">
        <f t="shared" si="3"/>
        <v>五</v>
      </c>
      <c r="AJ7" s="251" t="str">
        <f t="shared" si="3"/>
        <v>六</v>
      </c>
      <c r="AK7" s="251" t="str">
        <f t="shared" si="3"/>
        <v>日</v>
      </c>
      <c r="AL7" s="251" t="str">
        <f t="shared" si="3"/>
        <v>一</v>
      </c>
      <c r="AM7" s="252" t="str">
        <f t="shared" ref="AM7" si="4">SUBSTITUTE(TEXT(AM6,"aaa"),"週","")</f>
        <v>二</v>
      </c>
      <c r="AN7" s="504"/>
      <c r="AO7" s="505"/>
      <c r="AP7" s="136" t="s">
        <v>23</v>
      </c>
      <c r="AQ7" s="137" t="s">
        <v>24</v>
      </c>
      <c r="AR7" s="137" t="s">
        <v>25</v>
      </c>
      <c r="AS7" s="137" t="s">
        <v>26</v>
      </c>
      <c r="AT7" s="298" t="s">
        <v>27</v>
      </c>
      <c r="AU7" s="137" t="s">
        <v>28</v>
      </c>
      <c r="AV7" s="61" t="s">
        <v>29</v>
      </c>
      <c r="AW7" s="72"/>
      <c r="AX7" s="61" t="s">
        <v>29</v>
      </c>
      <c r="AY7" s="61" t="s">
        <v>29</v>
      </c>
      <c r="AZ7" s="61" t="s">
        <v>29</v>
      </c>
      <c r="BA7" s="61" t="s">
        <v>29</v>
      </c>
      <c r="BB7" s="73" t="s">
        <v>29</v>
      </c>
      <c r="BC7" s="485"/>
    </row>
    <row r="8" spans="2:55" s="90" customFormat="1" ht="29.25" customHeight="1">
      <c r="B8" s="299" t="s">
        <v>286</v>
      </c>
      <c r="C8" s="311" t="s">
        <v>287</v>
      </c>
      <c r="D8" s="271" t="s">
        <v>288</v>
      </c>
      <c r="E8" s="242" t="s">
        <v>1</v>
      </c>
      <c r="F8" s="288"/>
      <c r="G8" s="243"/>
      <c r="H8" s="246" t="s">
        <v>373</v>
      </c>
      <c r="I8" s="214">
        <v>8</v>
      </c>
      <c r="J8" s="58">
        <v>8</v>
      </c>
      <c r="K8" s="58">
        <v>8</v>
      </c>
      <c r="L8" s="58">
        <v>8</v>
      </c>
      <c r="M8" s="58">
        <v>8</v>
      </c>
      <c r="N8" s="31" t="s">
        <v>9</v>
      </c>
      <c r="O8" s="31" t="s">
        <v>9</v>
      </c>
      <c r="P8" s="31" t="s">
        <v>9</v>
      </c>
      <c r="Q8" s="31" t="s">
        <v>9</v>
      </c>
      <c r="R8" s="58">
        <v>8</v>
      </c>
      <c r="S8" s="58">
        <v>8</v>
      </c>
      <c r="T8" s="58">
        <v>8</v>
      </c>
      <c r="U8" s="58">
        <v>8</v>
      </c>
      <c r="V8" s="58">
        <v>8</v>
      </c>
      <c r="W8" s="58">
        <v>8</v>
      </c>
      <c r="X8" s="58">
        <v>8</v>
      </c>
      <c r="Y8" s="58">
        <v>8</v>
      </c>
      <c r="Z8" s="58">
        <v>8</v>
      </c>
      <c r="AA8" s="58">
        <v>8</v>
      </c>
      <c r="AB8" s="31" t="s">
        <v>9</v>
      </c>
      <c r="AC8" s="58">
        <v>8</v>
      </c>
      <c r="AD8" s="58">
        <v>8</v>
      </c>
      <c r="AE8" s="58">
        <v>8</v>
      </c>
      <c r="AF8" s="58">
        <v>8</v>
      </c>
      <c r="AG8" s="58">
        <v>8</v>
      </c>
      <c r="AH8" s="58">
        <v>8</v>
      </c>
      <c r="AI8" s="58">
        <v>8</v>
      </c>
      <c r="AJ8" s="58">
        <v>8</v>
      </c>
      <c r="AK8" s="58">
        <v>8</v>
      </c>
      <c r="AL8" s="58">
        <v>8</v>
      </c>
      <c r="AM8" s="236">
        <v>8</v>
      </c>
      <c r="AN8" s="308">
        <f>COUNT(I8:AM8)</f>
        <v>26</v>
      </c>
      <c r="AO8" s="271">
        <f>SUM(I8:AM8)</f>
        <v>208</v>
      </c>
      <c r="AP8" s="131">
        <f>COUNTIFS($I8:$AM8,$AP$6)</f>
        <v>0</v>
      </c>
      <c r="AQ8" s="62">
        <f>COUNTIFS($I8:$AM8,$AQ$6)</f>
        <v>5</v>
      </c>
      <c r="AR8" s="62">
        <f>COUNTIFS($I8:$AM8,$AR$6)</f>
        <v>0</v>
      </c>
      <c r="AS8" s="62">
        <f>COUNTIFS($I8:$AM8,$AS$6)</f>
        <v>0</v>
      </c>
      <c r="AT8" s="62">
        <f>COUNTIFS($I8:$AM8,$AT$6)</f>
        <v>0</v>
      </c>
      <c r="AU8" s="62">
        <v>5</v>
      </c>
      <c r="AV8" s="70">
        <f>COUNTIF(I8:AM8,"RD")</f>
        <v>5</v>
      </c>
      <c r="AW8" s="70">
        <f>AU8-AV8</f>
        <v>0</v>
      </c>
      <c r="AX8" s="70">
        <f>COUNTIF(I8:AM8,"SH")</f>
        <v>0</v>
      </c>
      <c r="AY8" s="70">
        <f>COUNTIF(I8:AM8,"SL")</f>
        <v>0</v>
      </c>
      <c r="AZ8" s="70">
        <f>COUNTIF(I8:AM8,"np")</f>
        <v>0</v>
      </c>
      <c r="BA8" s="70">
        <f>COUNTIF(I8:AM8,"AL*")</f>
        <v>0</v>
      </c>
      <c r="BB8" s="225">
        <f>COUNTIF(I8:AM8,"NC*")</f>
        <v>0</v>
      </c>
      <c r="BC8" s="101">
        <v>6</v>
      </c>
    </row>
    <row r="9" spans="2:55" s="90" customFormat="1" ht="29.25" customHeight="1">
      <c r="B9" s="241" t="s">
        <v>289</v>
      </c>
      <c r="C9" s="248" t="s">
        <v>290</v>
      </c>
      <c r="D9" s="245" t="s">
        <v>291</v>
      </c>
      <c r="E9" s="242" t="s">
        <v>1</v>
      </c>
      <c r="F9" s="288"/>
      <c r="G9" s="243"/>
      <c r="H9" s="241" t="s">
        <v>373</v>
      </c>
      <c r="I9" s="300">
        <v>8</v>
      </c>
      <c r="J9" s="122" t="s">
        <v>9</v>
      </c>
      <c r="K9" s="301">
        <v>8</v>
      </c>
      <c r="L9" s="301">
        <v>8</v>
      </c>
      <c r="M9" s="301">
        <v>8</v>
      </c>
      <c r="N9" s="301">
        <v>8</v>
      </c>
      <c r="O9" s="301">
        <v>8</v>
      </c>
      <c r="P9" s="301">
        <v>8</v>
      </c>
      <c r="Q9" s="122" t="s">
        <v>9</v>
      </c>
      <c r="R9" s="301">
        <v>8</v>
      </c>
      <c r="S9" s="301">
        <v>8</v>
      </c>
      <c r="T9" s="301">
        <v>8</v>
      </c>
      <c r="U9" s="301">
        <v>8</v>
      </c>
      <c r="V9" s="301">
        <v>8</v>
      </c>
      <c r="W9" s="301">
        <v>8</v>
      </c>
      <c r="X9" s="122" t="s">
        <v>9</v>
      </c>
      <c r="Y9" s="301">
        <v>8</v>
      </c>
      <c r="Z9" s="301">
        <v>8</v>
      </c>
      <c r="AA9" s="301">
        <v>8</v>
      </c>
      <c r="AB9" s="301">
        <v>8</v>
      </c>
      <c r="AC9" s="301">
        <v>8</v>
      </c>
      <c r="AD9" s="301">
        <v>8</v>
      </c>
      <c r="AE9" s="122" t="s">
        <v>9</v>
      </c>
      <c r="AF9" s="301">
        <v>8</v>
      </c>
      <c r="AG9" s="301">
        <v>8</v>
      </c>
      <c r="AH9" s="301">
        <v>8</v>
      </c>
      <c r="AI9" s="301">
        <v>8</v>
      </c>
      <c r="AJ9" s="301">
        <v>8</v>
      </c>
      <c r="AK9" s="301">
        <v>8</v>
      </c>
      <c r="AL9" s="122" t="s">
        <v>9</v>
      </c>
      <c r="AM9" s="302">
        <v>8</v>
      </c>
      <c r="AN9" s="309">
        <f t="shared" ref="AN9" si="5">COUNT(I9:AM9)</f>
        <v>26</v>
      </c>
      <c r="AO9" s="245">
        <f t="shared" ref="AO9" si="6">SUM(I9:AM9)</f>
        <v>208</v>
      </c>
      <c r="AP9" s="291">
        <f>COUNTIFS($I9:$AM9,$AP$6)</f>
        <v>0</v>
      </c>
      <c r="AQ9" s="63">
        <f>COUNTIFS($I9:$AM9,$AQ$6)</f>
        <v>5</v>
      </c>
      <c r="AR9" s="63">
        <f>COUNTIFS($I9:$AM9,$AR$6)</f>
        <v>0</v>
      </c>
      <c r="AS9" s="63">
        <f>COUNTIFS($I9:$AM9,$AS$6)</f>
        <v>0</v>
      </c>
      <c r="AT9" s="63">
        <f>COUNTIFS($I9:$AM9,$AT$6)</f>
        <v>0</v>
      </c>
      <c r="AU9" s="63">
        <v>5</v>
      </c>
      <c r="AV9" s="221">
        <f>COUNTIF(I9:AM9,"RD")</f>
        <v>5</v>
      </c>
      <c r="AW9" s="221">
        <f t="shared" ref="AW9" si="7">AU9-AV9</f>
        <v>0</v>
      </c>
      <c r="AX9" s="221">
        <f>COUNTIF(I9:AM9,"SH")</f>
        <v>0</v>
      </c>
      <c r="AY9" s="221">
        <f>COUNTIF(I9:AM9,"SL")</f>
        <v>0</v>
      </c>
      <c r="AZ9" s="221">
        <f>COUNTIF(I9:AM9,"np")</f>
        <v>0</v>
      </c>
      <c r="BA9" s="221">
        <f>COUNTIF(I9:AM9,"AL*")</f>
        <v>0</v>
      </c>
      <c r="BB9" s="272">
        <f>COUNTIF(I9:AM9,"NC*")</f>
        <v>0</v>
      </c>
      <c r="BC9" s="102">
        <v>6</v>
      </c>
    </row>
    <row r="10" spans="2:55" s="90" customFormat="1" ht="29.25" customHeight="1">
      <c r="B10" s="241" t="s">
        <v>292</v>
      </c>
      <c r="C10" s="248" t="s">
        <v>293</v>
      </c>
      <c r="D10" s="337" t="s">
        <v>294</v>
      </c>
      <c r="E10" s="314" t="s">
        <v>1</v>
      </c>
      <c r="F10" s="289"/>
      <c r="G10" s="303"/>
      <c r="H10" s="286" t="s">
        <v>373</v>
      </c>
      <c r="I10" s="123" t="s">
        <v>9</v>
      </c>
      <c r="J10" s="301">
        <v>8</v>
      </c>
      <c r="K10" s="260" t="s">
        <v>391</v>
      </c>
      <c r="L10" s="260" t="s">
        <v>391</v>
      </c>
      <c r="M10" s="260" t="s">
        <v>391</v>
      </c>
      <c r="N10" s="301">
        <v>8</v>
      </c>
      <c r="O10" s="122" t="s">
        <v>9</v>
      </c>
      <c r="P10" s="301">
        <v>8</v>
      </c>
      <c r="Q10" s="301">
        <v>8</v>
      </c>
      <c r="R10" s="260" t="s">
        <v>391</v>
      </c>
      <c r="S10" s="260" t="s">
        <v>391</v>
      </c>
      <c r="T10" s="260" t="s">
        <v>391</v>
      </c>
      <c r="U10" s="260" t="s">
        <v>391</v>
      </c>
      <c r="V10" s="260" t="s">
        <v>391</v>
      </c>
      <c r="W10" s="122" t="s">
        <v>9</v>
      </c>
      <c r="X10" s="301">
        <v>8</v>
      </c>
      <c r="Y10" s="260" t="s">
        <v>391</v>
      </c>
      <c r="Z10" s="260" t="s">
        <v>391</v>
      </c>
      <c r="AA10" s="260" t="s">
        <v>391</v>
      </c>
      <c r="AB10" s="301">
        <v>8</v>
      </c>
      <c r="AC10" s="260" t="s">
        <v>391</v>
      </c>
      <c r="AD10" s="122" t="s">
        <v>9</v>
      </c>
      <c r="AE10" s="301">
        <v>8</v>
      </c>
      <c r="AF10" s="260" t="s">
        <v>391</v>
      </c>
      <c r="AG10" s="260" t="s">
        <v>391</v>
      </c>
      <c r="AH10" s="260" t="s">
        <v>391</v>
      </c>
      <c r="AI10" s="260" t="s">
        <v>391</v>
      </c>
      <c r="AJ10" s="260" t="s">
        <v>391</v>
      </c>
      <c r="AK10" s="122" t="s">
        <v>9</v>
      </c>
      <c r="AL10" s="301">
        <v>8</v>
      </c>
      <c r="AM10" s="265" t="s">
        <v>391</v>
      </c>
      <c r="AN10" s="309">
        <f>COUNT(I10:AM10)</f>
        <v>8</v>
      </c>
      <c r="AO10" s="245">
        <f>SUM(I10:AM10)</f>
        <v>64</v>
      </c>
      <c r="AP10" s="291"/>
      <c r="AQ10" s="63"/>
      <c r="AR10" s="63"/>
      <c r="AS10" s="63"/>
      <c r="AT10" s="63"/>
      <c r="AU10" s="63"/>
      <c r="AV10" s="221"/>
      <c r="AW10" s="221"/>
      <c r="AX10" s="221"/>
      <c r="AY10" s="221"/>
      <c r="AZ10" s="221"/>
      <c r="BA10" s="221"/>
      <c r="BB10" s="272"/>
      <c r="BC10" s="102"/>
    </row>
    <row r="11" spans="2:55" s="90" customFormat="1" ht="29.25" customHeight="1" thickBot="1">
      <c r="B11" s="287" t="s">
        <v>292</v>
      </c>
      <c r="C11" s="369" t="s">
        <v>296</v>
      </c>
      <c r="D11" s="370" t="s">
        <v>297</v>
      </c>
      <c r="E11" s="296" t="s">
        <v>1</v>
      </c>
      <c r="F11" s="304"/>
      <c r="G11" s="305"/>
      <c r="H11" s="287" t="s">
        <v>373</v>
      </c>
      <c r="I11" s="306" t="s">
        <v>391</v>
      </c>
      <c r="J11" s="268" t="s">
        <v>391</v>
      </c>
      <c r="K11" s="60" t="s">
        <v>9</v>
      </c>
      <c r="L11" s="268" t="s">
        <v>391</v>
      </c>
      <c r="M11" s="268" t="s">
        <v>391</v>
      </c>
      <c r="N11" s="268" t="s">
        <v>391</v>
      </c>
      <c r="O11" s="298">
        <v>8</v>
      </c>
      <c r="P11" s="268" t="s">
        <v>391</v>
      </c>
      <c r="Q11" s="298">
        <v>8</v>
      </c>
      <c r="R11" s="268" t="s">
        <v>391</v>
      </c>
      <c r="S11" s="298" t="s">
        <v>10</v>
      </c>
      <c r="T11" s="60" t="s">
        <v>9</v>
      </c>
      <c r="U11" s="60" t="s">
        <v>9</v>
      </c>
      <c r="V11" s="60" t="s">
        <v>9</v>
      </c>
      <c r="W11" s="268" t="s">
        <v>391</v>
      </c>
      <c r="X11" s="268" t="s">
        <v>391</v>
      </c>
      <c r="Y11" s="268" t="s">
        <v>391</v>
      </c>
      <c r="Z11" s="268" t="s">
        <v>391</v>
      </c>
      <c r="AA11" s="268" t="s">
        <v>391</v>
      </c>
      <c r="AB11" s="268" t="s">
        <v>391</v>
      </c>
      <c r="AC11" s="268" t="s">
        <v>391</v>
      </c>
      <c r="AD11" s="268" t="s">
        <v>391</v>
      </c>
      <c r="AE11" s="268" t="s">
        <v>391</v>
      </c>
      <c r="AF11" s="268" t="s">
        <v>391</v>
      </c>
      <c r="AG11" s="60" t="s">
        <v>9</v>
      </c>
      <c r="AH11" s="268" t="s">
        <v>391</v>
      </c>
      <c r="AI11" s="268" t="s">
        <v>391</v>
      </c>
      <c r="AJ11" s="268" t="s">
        <v>391</v>
      </c>
      <c r="AK11" s="268" t="s">
        <v>391</v>
      </c>
      <c r="AL11" s="268" t="s">
        <v>391</v>
      </c>
      <c r="AM11" s="422" t="s">
        <v>391</v>
      </c>
      <c r="AN11" s="310">
        <f t="shared" ref="AN11" si="8">COUNT(I11:AM11)</f>
        <v>2</v>
      </c>
      <c r="AO11" s="279">
        <f t="shared" ref="AO11" si="9">SUM(I11:AM11)</f>
        <v>16</v>
      </c>
      <c r="AP11" s="291"/>
      <c r="AQ11" s="63"/>
      <c r="AR11" s="63"/>
      <c r="AS11" s="63"/>
      <c r="AT11" s="63"/>
      <c r="AU11" s="63"/>
      <c r="AV11" s="221"/>
      <c r="AW11" s="221"/>
      <c r="AX11" s="221"/>
      <c r="AY11" s="221"/>
      <c r="AZ11" s="221"/>
      <c r="BA11" s="221"/>
      <c r="BB11" s="272"/>
      <c r="BC11" s="102"/>
    </row>
    <row r="12" spans="2:55" ht="21.95" customHeight="1" thickBot="1">
      <c r="B12" s="2"/>
      <c r="H12" s="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423">
        <f>SUM(AN8:AN11)</f>
        <v>62</v>
      </c>
      <c r="AO12" s="20">
        <f>SUM(AO8:AO11)</f>
        <v>496</v>
      </c>
      <c r="AP12" s="40"/>
      <c r="AQ12" s="40"/>
      <c r="AR12" s="40"/>
      <c r="AS12" s="40"/>
      <c r="AT12" s="40"/>
      <c r="BC12" s="40"/>
    </row>
    <row r="13" spans="2:55" ht="21.95" customHeight="1" thickBot="1">
      <c r="B13" s="2"/>
      <c r="H13" s="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48"/>
      <c r="AP13" s="40"/>
      <c r="AQ13" s="40"/>
      <c r="AR13" s="40"/>
      <c r="AS13" s="40"/>
      <c r="AT13" s="40"/>
      <c r="BC13" s="40"/>
    </row>
    <row r="14" spans="2:55" ht="21.95" customHeight="1" thickBot="1">
      <c r="AN14" s="49" t="s">
        <v>45</v>
      </c>
      <c r="AO14" s="64" t="s">
        <v>46</v>
      </c>
    </row>
    <row r="15" spans="2:55" ht="21.95" customHeight="1">
      <c r="B15" s="499" t="s">
        <v>47</v>
      </c>
      <c r="C15" s="500"/>
      <c r="D15" s="501"/>
      <c r="E15" s="8"/>
      <c r="F15" s="8"/>
      <c r="G15" s="9"/>
      <c r="H15" s="10" t="s">
        <v>1</v>
      </c>
      <c r="I15" s="33">
        <f t="shared" ref="I15:AG15" si="10">COUNT(I8:I11)</f>
        <v>2</v>
      </c>
      <c r="J15" s="34">
        <f t="shared" si="10"/>
        <v>2</v>
      </c>
      <c r="K15" s="34">
        <f t="shared" si="10"/>
        <v>2</v>
      </c>
      <c r="L15" s="34">
        <f t="shared" si="10"/>
        <v>2</v>
      </c>
      <c r="M15" s="34">
        <f t="shared" si="10"/>
        <v>2</v>
      </c>
      <c r="N15" s="34">
        <f t="shared" si="10"/>
        <v>2</v>
      </c>
      <c r="O15" s="34">
        <f t="shared" si="10"/>
        <v>2</v>
      </c>
      <c r="P15" s="34">
        <f t="shared" si="10"/>
        <v>2</v>
      </c>
      <c r="Q15" s="34">
        <f t="shared" si="10"/>
        <v>2</v>
      </c>
      <c r="R15" s="34">
        <f t="shared" si="10"/>
        <v>2</v>
      </c>
      <c r="S15" s="34">
        <f t="shared" si="10"/>
        <v>2</v>
      </c>
      <c r="T15" s="34">
        <f t="shared" si="10"/>
        <v>2</v>
      </c>
      <c r="U15" s="34">
        <f t="shared" si="10"/>
        <v>2</v>
      </c>
      <c r="V15" s="34">
        <f t="shared" si="10"/>
        <v>2</v>
      </c>
      <c r="W15" s="34">
        <f t="shared" si="10"/>
        <v>2</v>
      </c>
      <c r="X15" s="34">
        <f t="shared" si="10"/>
        <v>2</v>
      </c>
      <c r="Y15" s="34">
        <f t="shared" si="10"/>
        <v>2</v>
      </c>
      <c r="Z15" s="34">
        <f t="shared" si="10"/>
        <v>2</v>
      </c>
      <c r="AA15" s="34">
        <f t="shared" si="10"/>
        <v>2</v>
      </c>
      <c r="AB15" s="34">
        <f t="shared" si="10"/>
        <v>2</v>
      </c>
      <c r="AC15" s="34">
        <f t="shared" si="10"/>
        <v>2</v>
      </c>
      <c r="AD15" s="34">
        <f t="shared" si="10"/>
        <v>2</v>
      </c>
      <c r="AE15" s="34">
        <f t="shared" si="10"/>
        <v>2</v>
      </c>
      <c r="AF15" s="34">
        <f t="shared" si="10"/>
        <v>2</v>
      </c>
      <c r="AG15" s="34">
        <f t="shared" si="10"/>
        <v>2</v>
      </c>
      <c r="AH15" s="34">
        <f>COUNT(AH8:AH12)</f>
        <v>2</v>
      </c>
      <c r="AI15" s="34">
        <f>COUNT(AI8:AI11)</f>
        <v>2</v>
      </c>
      <c r="AJ15" s="34">
        <f>COUNT(AJ8:AJ11)</f>
        <v>2</v>
      </c>
      <c r="AK15" s="34">
        <f>COUNT(AK8:AK11)</f>
        <v>2</v>
      </c>
      <c r="AL15" s="10">
        <f>COUNT(AL8:AL11)</f>
        <v>2</v>
      </c>
      <c r="AM15" s="10">
        <f>COUNT(AM8:AM11)</f>
        <v>2</v>
      </c>
      <c r="AN15" s="50">
        <f t="shared" ref="AN15" si="11">SUM(I15:AM15)</f>
        <v>62</v>
      </c>
      <c r="AO15" s="53">
        <f>AN15*8</f>
        <v>496</v>
      </c>
    </row>
    <row r="16" spans="2:55" ht="21.95" customHeight="1">
      <c r="B16" s="496" t="s">
        <v>48</v>
      </c>
      <c r="C16" s="497"/>
      <c r="D16" s="498"/>
      <c r="E16" s="12"/>
      <c r="F16" s="12"/>
      <c r="G16" s="13"/>
      <c r="H16" s="14"/>
      <c r="I16" s="35">
        <v>2</v>
      </c>
      <c r="J16" s="36">
        <v>2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T16" s="36">
        <v>2</v>
      </c>
      <c r="U16" s="36">
        <v>2</v>
      </c>
      <c r="V16" s="36">
        <v>2</v>
      </c>
      <c r="W16" s="36">
        <v>2</v>
      </c>
      <c r="X16" s="36">
        <v>2</v>
      </c>
      <c r="Y16" s="36">
        <v>2</v>
      </c>
      <c r="Z16" s="36">
        <v>2</v>
      </c>
      <c r="AA16" s="36">
        <v>2</v>
      </c>
      <c r="AB16" s="36">
        <v>2</v>
      </c>
      <c r="AC16" s="36">
        <v>2</v>
      </c>
      <c r="AD16" s="36">
        <v>2</v>
      </c>
      <c r="AE16" s="36">
        <v>2</v>
      </c>
      <c r="AF16" s="36">
        <v>2</v>
      </c>
      <c r="AG16" s="36">
        <v>2</v>
      </c>
      <c r="AH16" s="36">
        <v>2</v>
      </c>
      <c r="AI16" s="36">
        <v>2</v>
      </c>
      <c r="AJ16" s="36">
        <v>2</v>
      </c>
      <c r="AK16" s="36">
        <v>2</v>
      </c>
      <c r="AL16" s="14">
        <v>2</v>
      </c>
      <c r="AM16" s="14">
        <v>2</v>
      </c>
      <c r="AN16" s="51">
        <f>SUM(I16:AM16)</f>
        <v>62</v>
      </c>
      <c r="AO16" s="54">
        <f t="shared" ref="AO16" si="12">AN16*8</f>
        <v>496</v>
      </c>
    </row>
    <row r="17" spans="2:55" ht="21.95" customHeight="1" thickBot="1">
      <c r="B17" s="493" t="s">
        <v>49</v>
      </c>
      <c r="C17" s="494"/>
      <c r="D17" s="495"/>
      <c r="E17" s="16"/>
      <c r="F17" s="16"/>
      <c r="G17" s="17"/>
      <c r="H17" s="18"/>
      <c r="I17" s="37">
        <f>IF((I15-I16)&lt;0,I15-I16,0)</f>
        <v>0</v>
      </c>
      <c r="J17" s="38">
        <f t="shared" ref="J17" si="13">IF((J15-J16)&lt;0,J15-J16,0)</f>
        <v>0</v>
      </c>
      <c r="K17" s="38">
        <f t="shared" ref="K17:AL17" si="14">IF((K15-K16)&lt;0,K15-K16,0)</f>
        <v>0</v>
      </c>
      <c r="L17" s="38">
        <f t="shared" si="14"/>
        <v>0</v>
      </c>
      <c r="M17" s="38">
        <f t="shared" si="14"/>
        <v>0</v>
      </c>
      <c r="N17" s="38">
        <f t="shared" si="14"/>
        <v>0</v>
      </c>
      <c r="O17" s="38">
        <f t="shared" si="14"/>
        <v>0</v>
      </c>
      <c r="P17" s="38">
        <f t="shared" si="14"/>
        <v>0</v>
      </c>
      <c r="Q17" s="38">
        <f t="shared" si="14"/>
        <v>0</v>
      </c>
      <c r="R17" s="38">
        <f t="shared" si="14"/>
        <v>0</v>
      </c>
      <c r="S17" s="38">
        <f t="shared" si="14"/>
        <v>0</v>
      </c>
      <c r="T17" s="38">
        <f t="shared" si="14"/>
        <v>0</v>
      </c>
      <c r="U17" s="38">
        <f t="shared" si="14"/>
        <v>0</v>
      </c>
      <c r="V17" s="38">
        <f t="shared" si="14"/>
        <v>0</v>
      </c>
      <c r="W17" s="38">
        <f t="shared" si="14"/>
        <v>0</v>
      </c>
      <c r="X17" s="38">
        <f t="shared" si="14"/>
        <v>0</v>
      </c>
      <c r="Y17" s="38">
        <f t="shared" si="14"/>
        <v>0</v>
      </c>
      <c r="Z17" s="38">
        <f t="shared" si="14"/>
        <v>0</v>
      </c>
      <c r="AA17" s="38">
        <f t="shared" si="14"/>
        <v>0</v>
      </c>
      <c r="AB17" s="38">
        <f t="shared" si="14"/>
        <v>0</v>
      </c>
      <c r="AC17" s="38">
        <f t="shared" si="14"/>
        <v>0</v>
      </c>
      <c r="AD17" s="38">
        <f t="shared" si="14"/>
        <v>0</v>
      </c>
      <c r="AE17" s="38">
        <f t="shared" si="14"/>
        <v>0</v>
      </c>
      <c r="AF17" s="38">
        <f t="shared" si="14"/>
        <v>0</v>
      </c>
      <c r="AG17" s="38">
        <f t="shared" si="14"/>
        <v>0</v>
      </c>
      <c r="AH17" s="38">
        <f t="shared" si="14"/>
        <v>0</v>
      </c>
      <c r="AI17" s="38">
        <f t="shared" si="14"/>
        <v>0</v>
      </c>
      <c r="AJ17" s="38">
        <f t="shared" si="14"/>
        <v>0</v>
      </c>
      <c r="AK17" s="38">
        <f t="shared" si="14"/>
        <v>0</v>
      </c>
      <c r="AL17" s="41">
        <f t="shared" si="14"/>
        <v>0</v>
      </c>
      <c r="AM17" s="41">
        <f t="shared" ref="AM17" si="15">IF((AM15-AM16)&lt;0,AM15-AM16,0)</f>
        <v>0</v>
      </c>
      <c r="AN17" s="52">
        <f>SUM(I17:AM17)</f>
        <v>0</v>
      </c>
      <c r="AO17" s="55">
        <f>AN17*8</f>
        <v>0</v>
      </c>
    </row>
    <row r="18" spans="2:55" ht="21.95" customHeight="1">
      <c r="B18" s="5"/>
      <c r="C18" s="5"/>
      <c r="D18" s="5"/>
      <c r="E18" s="5"/>
      <c r="F18" s="5"/>
      <c r="G18" s="5"/>
      <c r="H18" s="1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U18" s="65"/>
      <c r="AV18" s="66"/>
      <c r="AW18" s="74"/>
      <c r="AX18" s="66"/>
      <c r="AY18" s="75"/>
      <c r="AZ18" s="66"/>
      <c r="BA18" s="66"/>
      <c r="BB18" s="66"/>
    </row>
    <row r="19" spans="2:55" ht="21.95" customHeight="1" thickBot="1">
      <c r="B19" s="6" t="s">
        <v>50</v>
      </c>
      <c r="H19" s="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Q19" s="48"/>
      <c r="AS19" s="40"/>
      <c r="AT19" s="40"/>
      <c r="AU19" s="67"/>
      <c r="AV19" s="66"/>
      <c r="AW19" s="74"/>
      <c r="AX19" s="66"/>
      <c r="AY19" s="66"/>
      <c r="AZ19" s="66"/>
      <c r="BA19" s="66"/>
      <c r="BB19" s="66"/>
      <c r="BC19" s="40"/>
    </row>
    <row r="20" spans="2:55" s="240" customFormat="1" ht="29.25" customHeight="1">
      <c r="B20" s="239" t="s">
        <v>292</v>
      </c>
      <c r="C20" s="311" t="s">
        <v>293</v>
      </c>
      <c r="D20" s="336" t="s">
        <v>294</v>
      </c>
      <c r="E20" s="231" t="s">
        <v>40</v>
      </c>
      <c r="F20" s="232"/>
      <c r="G20" s="233"/>
      <c r="H20" s="246" t="s">
        <v>373</v>
      </c>
      <c r="I20" s="323" t="s">
        <v>9</v>
      </c>
      <c r="J20" s="262" t="s">
        <v>392</v>
      </c>
      <c r="K20" s="58">
        <v>8</v>
      </c>
      <c r="L20" s="58">
        <v>8</v>
      </c>
      <c r="M20" s="58">
        <v>8</v>
      </c>
      <c r="N20" s="262" t="s">
        <v>392</v>
      </c>
      <c r="O20" s="31" t="s">
        <v>9</v>
      </c>
      <c r="P20" s="262" t="s">
        <v>392</v>
      </c>
      <c r="Q20" s="262" t="s">
        <v>392</v>
      </c>
      <c r="R20" s="58">
        <v>8</v>
      </c>
      <c r="S20" s="58">
        <v>8</v>
      </c>
      <c r="T20" s="58">
        <v>8</v>
      </c>
      <c r="U20" s="58">
        <v>8</v>
      </c>
      <c r="V20" s="58">
        <v>8</v>
      </c>
      <c r="W20" s="31" t="s">
        <v>9</v>
      </c>
      <c r="X20" s="262" t="s">
        <v>392</v>
      </c>
      <c r="Y20" s="58">
        <v>8</v>
      </c>
      <c r="Z20" s="58">
        <v>8</v>
      </c>
      <c r="AA20" s="58">
        <v>8</v>
      </c>
      <c r="AB20" s="262" t="s">
        <v>392</v>
      </c>
      <c r="AC20" s="58">
        <v>8</v>
      </c>
      <c r="AD20" s="31" t="s">
        <v>9</v>
      </c>
      <c r="AE20" s="262" t="s">
        <v>392</v>
      </c>
      <c r="AF20" s="58">
        <v>8</v>
      </c>
      <c r="AG20" s="58">
        <v>8</v>
      </c>
      <c r="AH20" s="58">
        <v>8</v>
      </c>
      <c r="AI20" s="58">
        <v>8</v>
      </c>
      <c r="AJ20" s="58">
        <v>8</v>
      </c>
      <c r="AK20" s="31" t="s">
        <v>9</v>
      </c>
      <c r="AL20" s="262" t="s">
        <v>392</v>
      </c>
      <c r="AM20" s="236">
        <v>8</v>
      </c>
      <c r="AN20" s="312">
        <f>COUNT(I20:AM20)</f>
        <v>18</v>
      </c>
      <c r="AO20" s="238">
        <f>SUM(I20:AM20)</f>
        <v>144</v>
      </c>
      <c r="AP20" s="98">
        <f>COUNTIFS($I20:$AM20,$AP$6)</f>
        <v>0</v>
      </c>
      <c r="AQ20" s="62">
        <f>COUNTIFS($I20:$AM20,$AQ$6)</f>
        <v>5</v>
      </c>
      <c r="AR20" s="62">
        <f>COUNTIFS($I20:$AM20,$AR$6)</f>
        <v>0</v>
      </c>
      <c r="AS20" s="62">
        <f>COUNTIFS($I20:$AM20,$AS$6)</f>
        <v>0</v>
      </c>
      <c r="AT20" s="62">
        <f>COUNTIFS($I20:$AM20,$AT$6)</f>
        <v>0</v>
      </c>
      <c r="AU20" s="62">
        <v>5</v>
      </c>
      <c r="AV20" s="70">
        <f>COUNTIF(I20:AM20,"RD")</f>
        <v>5</v>
      </c>
      <c r="AW20" s="70">
        <f t="shared" ref="AW20" si="16">AU20-AV20</f>
        <v>0</v>
      </c>
      <c r="AX20" s="70">
        <f>COUNTIF(I20:AM20,"SH")</f>
        <v>0</v>
      </c>
      <c r="AY20" s="70">
        <f>COUNTIF(I20:AM20,"SL")</f>
        <v>0</v>
      </c>
      <c r="AZ20" s="70">
        <f>COUNTIF(I20:AM20,"np")</f>
        <v>0</v>
      </c>
      <c r="BA20" s="70">
        <f>COUNTIF(I20:AM20,"AL*")</f>
        <v>0</v>
      </c>
      <c r="BB20" s="70">
        <f>COUNTIF(I20:AM20,"NC*")</f>
        <v>0</v>
      </c>
      <c r="BC20" s="76"/>
    </row>
    <row r="21" spans="2:55" s="240" customFormat="1" ht="29.25" customHeight="1">
      <c r="B21" s="274" t="s">
        <v>295</v>
      </c>
      <c r="C21" s="275" t="s">
        <v>296</v>
      </c>
      <c r="D21" s="337" t="s">
        <v>297</v>
      </c>
      <c r="E21" s="314" t="s">
        <v>40</v>
      </c>
      <c r="F21" s="289"/>
      <c r="G21" s="303"/>
      <c r="H21" s="286" t="s">
        <v>373</v>
      </c>
      <c r="I21" s="300">
        <v>8</v>
      </c>
      <c r="J21" s="301">
        <v>8</v>
      </c>
      <c r="K21" s="122" t="s">
        <v>9</v>
      </c>
      <c r="L21" s="301">
        <v>8</v>
      </c>
      <c r="M21" s="301">
        <v>8</v>
      </c>
      <c r="N21" s="301">
        <v>8</v>
      </c>
      <c r="O21" s="260" t="s">
        <v>392</v>
      </c>
      <c r="P21" s="301">
        <v>8</v>
      </c>
      <c r="Q21" s="260" t="s">
        <v>392</v>
      </c>
      <c r="R21" s="301">
        <v>8</v>
      </c>
      <c r="S21" s="301" t="s">
        <v>10</v>
      </c>
      <c r="T21" s="122" t="s">
        <v>9</v>
      </c>
      <c r="U21" s="122" t="s">
        <v>9</v>
      </c>
      <c r="V21" s="122" t="s">
        <v>9</v>
      </c>
      <c r="W21" s="301">
        <v>8</v>
      </c>
      <c r="X21" s="301">
        <v>8</v>
      </c>
      <c r="Y21" s="301">
        <v>8</v>
      </c>
      <c r="Z21" s="301">
        <v>8</v>
      </c>
      <c r="AA21" s="301">
        <v>8</v>
      </c>
      <c r="AB21" s="301">
        <v>8</v>
      </c>
      <c r="AC21" s="301">
        <v>8</v>
      </c>
      <c r="AD21" s="301">
        <v>8</v>
      </c>
      <c r="AE21" s="301">
        <v>8</v>
      </c>
      <c r="AF21" s="301">
        <v>8</v>
      </c>
      <c r="AG21" s="122" t="s">
        <v>9</v>
      </c>
      <c r="AH21" s="301">
        <v>8</v>
      </c>
      <c r="AI21" s="301">
        <v>8</v>
      </c>
      <c r="AJ21" s="301">
        <v>8</v>
      </c>
      <c r="AK21" s="301">
        <v>8</v>
      </c>
      <c r="AL21" s="301">
        <v>8</v>
      </c>
      <c r="AM21" s="302">
        <v>8</v>
      </c>
      <c r="AN21" s="313">
        <f>COUNT(I21:AM21)</f>
        <v>23</v>
      </c>
      <c r="AO21" s="254">
        <f>SUM(I21:AM21)</f>
        <v>184</v>
      </c>
      <c r="AP21" s="181">
        <f t="shared" ref="AP21" si="17">COUNTIFS($I21:$AM21,$AP$6)</f>
        <v>0</v>
      </c>
      <c r="AQ21" s="63">
        <f t="shared" ref="AQ21" si="18">COUNTIFS($I21:$AM21,$AQ$6)</f>
        <v>5</v>
      </c>
      <c r="AR21" s="63">
        <f t="shared" ref="AR21" si="19">COUNTIFS($I21:$AM21,$AR$6)</f>
        <v>1</v>
      </c>
      <c r="AS21" s="63">
        <f t="shared" ref="AS21" si="20">COUNTIFS($I21:$AM21,$AS$6)</f>
        <v>0</v>
      </c>
      <c r="AT21" s="63">
        <f t="shared" ref="AT21" si="21">COUNTIFS($I21:$AM21,$AT$6)</f>
        <v>0</v>
      </c>
      <c r="AU21" s="63">
        <f>AU20</f>
        <v>5</v>
      </c>
      <c r="AV21" s="221">
        <f t="shared" ref="AV21" si="22">COUNTIF(I21:AM21,"RD")</f>
        <v>5</v>
      </c>
      <c r="AW21" s="221">
        <f>AU21-AV21</f>
        <v>0</v>
      </c>
      <c r="AX21" s="221">
        <f t="shared" ref="AX21" si="23">COUNTIF(I21:AM21,"SH")</f>
        <v>0</v>
      </c>
      <c r="AY21" s="221">
        <f t="shared" ref="AY21" si="24">COUNTIF(I21:AM21,"SL")</f>
        <v>0</v>
      </c>
      <c r="AZ21" s="221">
        <f t="shared" ref="AZ21" si="25">COUNTIF(I21:AM21,"np")</f>
        <v>1</v>
      </c>
      <c r="BA21" s="221">
        <f t="shared" ref="BA21" si="26">COUNTIF(I21:AM21,"AL*")</f>
        <v>0</v>
      </c>
      <c r="BB21" s="221">
        <f t="shared" ref="BB21" si="27">COUNTIF(I21:AM21,"NC*")</f>
        <v>0</v>
      </c>
      <c r="BC21" s="77"/>
    </row>
    <row r="22" spans="2:55" s="240" customFormat="1" ht="29.25" customHeight="1">
      <c r="B22" s="274" t="s">
        <v>298</v>
      </c>
      <c r="C22" s="275" t="s">
        <v>299</v>
      </c>
      <c r="D22" s="274" t="s">
        <v>300</v>
      </c>
      <c r="E22" s="314" t="s">
        <v>40</v>
      </c>
      <c r="F22" s="289"/>
      <c r="G22" s="303"/>
      <c r="H22" s="286" t="s">
        <v>373</v>
      </c>
      <c r="I22" s="300">
        <v>8</v>
      </c>
      <c r="J22" s="301">
        <v>8</v>
      </c>
      <c r="K22" s="301">
        <v>8</v>
      </c>
      <c r="L22" s="122" t="s">
        <v>9</v>
      </c>
      <c r="M22" s="301">
        <v>8</v>
      </c>
      <c r="N22" s="301">
        <v>8</v>
      </c>
      <c r="O22" s="301">
        <v>8</v>
      </c>
      <c r="P22" s="301">
        <v>8</v>
      </c>
      <c r="Q22" s="301">
        <v>8</v>
      </c>
      <c r="R22" s="301">
        <v>8</v>
      </c>
      <c r="S22" s="122">
        <v>8</v>
      </c>
      <c r="T22" s="122" t="s">
        <v>9</v>
      </c>
      <c r="U22" s="301">
        <v>8</v>
      </c>
      <c r="V22" s="301">
        <v>8</v>
      </c>
      <c r="W22" s="301">
        <v>8</v>
      </c>
      <c r="X22" s="301">
        <v>8</v>
      </c>
      <c r="Y22" s="301">
        <v>8</v>
      </c>
      <c r="Z22" s="301">
        <v>8</v>
      </c>
      <c r="AA22" s="122" t="s">
        <v>9</v>
      </c>
      <c r="AB22" s="122" t="s">
        <v>9</v>
      </c>
      <c r="AC22" s="301">
        <v>8</v>
      </c>
      <c r="AD22" s="301">
        <v>8</v>
      </c>
      <c r="AE22" s="301">
        <v>8</v>
      </c>
      <c r="AF22" s="301">
        <v>8</v>
      </c>
      <c r="AG22" s="301">
        <v>8</v>
      </c>
      <c r="AH22" s="301">
        <v>8</v>
      </c>
      <c r="AI22" s="301">
        <v>8</v>
      </c>
      <c r="AJ22" s="122" t="s">
        <v>9</v>
      </c>
      <c r="AK22" s="301">
        <v>8</v>
      </c>
      <c r="AL22" s="301">
        <v>8</v>
      </c>
      <c r="AM22" s="302">
        <v>8</v>
      </c>
      <c r="AN22" s="313">
        <f t="shared" ref="AN22" si="28">COUNT(I22:AM22)</f>
        <v>26</v>
      </c>
      <c r="AO22" s="254">
        <f>SUM(I22:AM22)</f>
        <v>208</v>
      </c>
      <c r="AP22" s="181">
        <f t="shared" ref="AP22:AP40" si="29">COUNTIFS($I22:$AM22,$AP$6)</f>
        <v>0</v>
      </c>
      <c r="AQ22" s="63">
        <f t="shared" ref="AQ22:AQ40" si="30">COUNTIFS($I22:$AM22,$AQ$6)</f>
        <v>5</v>
      </c>
      <c r="AR22" s="63">
        <f t="shared" ref="AR22:AR40" si="31">COUNTIFS($I22:$AM22,$AR$6)</f>
        <v>0</v>
      </c>
      <c r="AS22" s="63">
        <f t="shared" ref="AS22:AS40" si="32">COUNTIFS($I22:$AM22,$AS$6)</f>
        <v>0</v>
      </c>
      <c r="AT22" s="63">
        <f t="shared" ref="AT22:AT40" si="33">COUNTIFS($I22:$AM22,$AT$6)</f>
        <v>0</v>
      </c>
      <c r="AU22" s="63">
        <f t="shared" ref="AU22:AU48" si="34">AU21</f>
        <v>5</v>
      </c>
      <c r="AV22" s="221">
        <f t="shared" ref="AV22" si="35">COUNTIF(I22:AM22,"RD")</f>
        <v>5</v>
      </c>
      <c r="AW22" s="221">
        <f t="shared" ref="AW22" si="36">AU22-AV22</f>
        <v>0</v>
      </c>
      <c r="AX22" s="221">
        <f t="shared" ref="AX22" si="37">COUNTIF(I22:AM22,"SH")</f>
        <v>0</v>
      </c>
      <c r="AY22" s="221">
        <f t="shared" ref="AY22" si="38">COUNTIF(I22:AM22,"SL")</f>
        <v>0</v>
      </c>
      <c r="AZ22" s="221">
        <f t="shared" ref="AZ22" si="39">COUNTIF(I22:AM22,"np")</f>
        <v>0</v>
      </c>
      <c r="BA22" s="221">
        <f t="shared" ref="BA22" si="40">COUNTIF(I22:AM22,"AL*")</f>
        <v>0</v>
      </c>
      <c r="BB22" s="221">
        <f t="shared" ref="BB22" si="41">COUNTIF(I22:AM22,"NC*")</f>
        <v>0</v>
      </c>
      <c r="BC22" s="77"/>
    </row>
    <row r="23" spans="2:55" s="240" customFormat="1" ht="29.25" customHeight="1">
      <c r="B23" s="274" t="s">
        <v>301</v>
      </c>
      <c r="C23" s="275" t="s">
        <v>302</v>
      </c>
      <c r="D23" s="245" t="s">
        <v>303</v>
      </c>
      <c r="E23" s="314" t="s">
        <v>40</v>
      </c>
      <c r="F23" s="289"/>
      <c r="G23" s="303"/>
      <c r="H23" s="286" t="s">
        <v>373</v>
      </c>
      <c r="I23" s="300">
        <v>8</v>
      </c>
      <c r="J23" s="301">
        <v>8</v>
      </c>
      <c r="K23" s="301">
        <v>8</v>
      </c>
      <c r="L23" s="301">
        <v>8</v>
      </c>
      <c r="M23" s="301">
        <v>8</v>
      </c>
      <c r="N23" s="301">
        <v>8</v>
      </c>
      <c r="O23" s="301">
        <v>8</v>
      </c>
      <c r="P23" s="122" t="s">
        <v>9</v>
      </c>
      <c r="Q23" s="122" t="s">
        <v>9</v>
      </c>
      <c r="R23" s="301">
        <v>8</v>
      </c>
      <c r="S23" s="301">
        <v>8</v>
      </c>
      <c r="T23" s="301">
        <v>8</v>
      </c>
      <c r="U23" s="301">
        <v>8</v>
      </c>
      <c r="V23" s="301">
        <v>8</v>
      </c>
      <c r="W23" s="301">
        <v>8</v>
      </c>
      <c r="X23" s="122" t="s">
        <v>9</v>
      </c>
      <c r="Y23" s="301">
        <v>8</v>
      </c>
      <c r="Z23" s="301">
        <v>8</v>
      </c>
      <c r="AA23" s="301">
        <v>8</v>
      </c>
      <c r="AB23" s="301">
        <v>8</v>
      </c>
      <c r="AC23" s="301">
        <v>8</v>
      </c>
      <c r="AD23" s="301">
        <v>8</v>
      </c>
      <c r="AE23" s="122" t="s">
        <v>9</v>
      </c>
      <c r="AF23" s="301">
        <v>8</v>
      </c>
      <c r="AG23" s="301">
        <v>8</v>
      </c>
      <c r="AH23" s="301">
        <v>8</v>
      </c>
      <c r="AI23" s="301">
        <v>8</v>
      </c>
      <c r="AJ23" s="301">
        <v>8</v>
      </c>
      <c r="AK23" s="301">
        <v>8</v>
      </c>
      <c r="AL23" s="122" t="s">
        <v>9</v>
      </c>
      <c r="AM23" s="302">
        <v>8</v>
      </c>
      <c r="AN23" s="313">
        <f t="shared" ref="AN23:AN36" si="42">COUNT(I23:AM23)</f>
        <v>26</v>
      </c>
      <c r="AO23" s="254">
        <f>SUM(I23:AM23)</f>
        <v>208</v>
      </c>
      <c r="AP23" s="181">
        <f t="shared" si="29"/>
        <v>0</v>
      </c>
      <c r="AQ23" s="63">
        <f t="shared" si="30"/>
        <v>5</v>
      </c>
      <c r="AR23" s="63">
        <f t="shared" si="31"/>
        <v>0</v>
      </c>
      <c r="AS23" s="63">
        <f t="shared" si="32"/>
        <v>0</v>
      </c>
      <c r="AT23" s="63">
        <f t="shared" si="33"/>
        <v>0</v>
      </c>
      <c r="AU23" s="63">
        <f t="shared" si="34"/>
        <v>5</v>
      </c>
      <c r="AV23" s="221">
        <f t="shared" ref="AV23:AV40" si="43">COUNTIF(I23:AM23,"RD")</f>
        <v>5</v>
      </c>
      <c r="AW23" s="221">
        <f t="shared" ref="AW23:AW40" si="44">AU23-AV23</f>
        <v>0</v>
      </c>
      <c r="AX23" s="221">
        <f t="shared" ref="AX23:AX40" si="45">COUNTIF(I23:AM23,"SH")</f>
        <v>0</v>
      </c>
      <c r="AY23" s="221">
        <f t="shared" ref="AY23:AY40" si="46">COUNTIF(I23:AM23,"SL")</f>
        <v>0</v>
      </c>
      <c r="AZ23" s="221">
        <f t="shared" ref="AZ23:AZ40" si="47">COUNTIF(I23:AM23,"np")</f>
        <v>0</v>
      </c>
      <c r="BA23" s="221">
        <f t="shared" ref="BA23:BA40" si="48">COUNTIF(I23:AM23,"AL*")</f>
        <v>0</v>
      </c>
      <c r="BB23" s="221">
        <f t="shared" ref="BB23:BB40" si="49">COUNTIF(I23:AM23,"NC*")</f>
        <v>0</v>
      </c>
      <c r="BC23" s="77"/>
    </row>
    <row r="24" spans="2:55" s="240" customFormat="1" ht="29.25" customHeight="1">
      <c r="B24" s="274" t="s">
        <v>304</v>
      </c>
      <c r="C24" s="248" t="s">
        <v>305</v>
      </c>
      <c r="D24" s="274" t="s">
        <v>306</v>
      </c>
      <c r="E24" s="242" t="s">
        <v>40</v>
      </c>
      <c r="F24" s="288"/>
      <c r="G24" s="243"/>
      <c r="H24" s="241" t="s">
        <v>373</v>
      </c>
      <c r="I24" s="300" t="s">
        <v>394</v>
      </c>
      <c r="J24" s="122" t="s">
        <v>9</v>
      </c>
      <c r="K24" s="122" t="s">
        <v>9</v>
      </c>
      <c r="L24" s="301">
        <v>8</v>
      </c>
      <c r="M24" s="301">
        <v>8</v>
      </c>
      <c r="N24" s="301">
        <v>8</v>
      </c>
      <c r="O24" s="301">
        <v>8</v>
      </c>
      <c r="P24" s="301">
        <v>8</v>
      </c>
      <c r="Q24" s="301">
        <v>8</v>
      </c>
      <c r="R24" s="301" t="s">
        <v>394</v>
      </c>
      <c r="S24" s="122" t="s">
        <v>9</v>
      </c>
      <c r="T24" s="301">
        <v>8</v>
      </c>
      <c r="U24" s="301">
        <v>8</v>
      </c>
      <c r="V24" s="301">
        <v>8</v>
      </c>
      <c r="W24" s="301">
        <v>8</v>
      </c>
      <c r="X24" s="301">
        <v>8</v>
      </c>
      <c r="Y24" s="301" t="s">
        <v>394</v>
      </c>
      <c r="Z24" s="301" t="s">
        <v>394</v>
      </c>
      <c r="AA24" s="122" t="s">
        <v>9</v>
      </c>
      <c r="AB24" s="301">
        <v>8</v>
      </c>
      <c r="AC24" s="301">
        <v>8</v>
      </c>
      <c r="AD24" s="301">
        <v>8</v>
      </c>
      <c r="AE24" s="301">
        <v>8</v>
      </c>
      <c r="AF24" s="301">
        <v>8</v>
      </c>
      <c r="AG24" s="301">
        <v>8</v>
      </c>
      <c r="AH24" s="301" t="s">
        <v>394</v>
      </c>
      <c r="AI24" s="122" t="s">
        <v>9</v>
      </c>
      <c r="AJ24" s="301">
        <v>8</v>
      </c>
      <c r="AK24" s="301">
        <v>8</v>
      </c>
      <c r="AL24" s="301">
        <v>8</v>
      </c>
      <c r="AM24" s="302">
        <v>8</v>
      </c>
      <c r="AN24" s="313">
        <f t="shared" si="42"/>
        <v>21</v>
      </c>
      <c r="AO24" s="254">
        <f t="shared" ref="AO24:AO36" si="50">SUM(I24:AM24)</f>
        <v>168</v>
      </c>
      <c r="AP24" s="181">
        <f t="shared" si="29"/>
        <v>0</v>
      </c>
      <c r="AQ24" s="63">
        <f t="shared" si="30"/>
        <v>5</v>
      </c>
      <c r="AR24" s="63">
        <f t="shared" si="31"/>
        <v>0</v>
      </c>
      <c r="AS24" s="63">
        <f t="shared" si="32"/>
        <v>0</v>
      </c>
      <c r="AT24" s="63">
        <f t="shared" si="33"/>
        <v>0</v>
      </c>
      <c r="AU24" s="63">
        <f t="shared" si="34"/>
        <v>5</v>
      </c>
      <c r="AV24" s="221">
        <f t="shared" si="43"/>
        <v>5</v>
      </c>
      <c r="AW24" s="221">
        <f t="shared" si="44"/>
        <v>0</v>
      </c>
      <c r="AX24" s="221">
        <f t="shared" si="45"/>
        <v>0</v>
      </c>
      <c r="AY24" s="221">
        <f t="shared" si="46"/>
        <v>0</v>
      </c>
      <c r="AZ24" s="221">
        <f t="shared" si="47"/>
        <v>0</v>
      </c>
      <c r="BA24" s="221">
        <f t="shared" si="48"/>
        <v>0</v>
      </c>
      <c r="BB24" s="221">
        <f t="shared" si="49"/>
        <v>0</v>
      </c>
      <c r="BC24" s="77"/>
    </row>
    <row r="25" spans="2:55" s="240" customFormat="1" ht="29.25" customHeight="1">
      <c r="B25" s="274" t="s">
        <v>307</v>
      </c>
      <c r="C25" s="275" t="s">
        <v>308</v>
      </c>
      <c r="D25" s="274" t="s">
        <v>309</v>
      </c>
      <c r="E25" s="314" t="s">
        <v>40</v>
      </c>
      <c r="F25" s="289"/>
      <c r="G25" s="303"/>
      <c r="H25" s="286" t="s">
        <v>373</v>
      </c>
      <c r="I25" s="300">
        <v>8</v>
      </c>
      <c r="J25" s="301">
        <v>8</v>
      </c>
      <c r="K25" s="301">
        <v>8</v>
      </c>
      <c r="L25" s="301">
        <v>8</v>
      </c>
      <c r="M25" s="301">
        <v>8</v>
      </c>
      <c r="N25" s="301">
        <v>8</v>
      </c>
      <c r="O25" s="301">
        <v>8</v>
      </c>
      <c r="P25" s="301">
        <v>8</v>
      </c>
      <c r="Q25" s="122" t="s">
        <v>9</v>
      </c>
      <c r="R25" s="122" t="s">
        <v>9</v>
      </c>
      <c r="S25" s="301">
        <v>8</v>
      </c>
      <c r="T25" s="301">
        <v>8</v>
      </c>
      <c r="U25" s="301">
        <v>8</v>
      </c>
      <c r="V25" s="301">
        <v>8</v>
      </c>
      <c r="W25" s="301">
        <v>8</v>
      </c>
      <c r="X25" s="301">
        <v>8</v>
      </c>
      <c r="Y25" s="122" t="s">
        <v>9</v>
      </c>
      <c r="Z25" s="122" t="s">
        <v>9</v>
      </c>
      <c r="AA25" s="301">
        <v>8</v>
      </c>
      <c r="AB25" s="301">
        <v>8</v>
      </c>
      <c r="AC25" s="301">
        <v>8</v>
      </c>
      <c r="AD25" s="301">
        <v>8</v>
      </c>
      <c r="AE25" s="301">
        <v>8</v>
      </c>
      <c r="AF25" s="301">
        <v>8</v>
      </c>
      <c r="AG25" s="301">
        <v>8</v>
      </c>
      <c r="AH25" s="301">
        <v>8</v>
      </c>
      <c r="AI25" s="122" t="s">
        <v>9</v>
      </c>
      <c r="AJ25" s="301">
        <v>8</v>
      </c>
      <c r="AK25" s="301">
        <v>8</v>
      </c>
      <c r="AL25" s="301">
        <v>8</v>
      </c>
      <c r="AM25" s="302">
        <v>8</v>
      </c>
      <c r="AN25" s="313">
        <f t="shared" si="42"/>
        <v>26</v>
      </c>
      <c r="AO25" s="254">
        <f t="shared" si="50"/>
        <v>208</v>
      </c>
      <c r="AP25" s="181">
        <f t="shared" si="29"/>
        <v>0</v>
      </c>
      <c r="AQ25" s="63">
        <f t="shared" si="30"/>
        <v>5</v>
      </c>
      <c r="AR25" s="63">
        <f t="shared" si="31"/>
        <v>0</v>
      </c>
      <c r="AS25" s="63">
        <f t="shared" si="32"/>
        <v>0</v>
      </c>
      <c r="AT25" s="63">
        <f t="shared" si="33"/>
        <v>0</v>
      </c>
      <c r="AU25" s="63">
        <f t="shared" si="34"/>
        <v>5</v>
      </c>
      <c r="AV25" s="221">
        <f t="shared" si="43"/>
        <v>5</v>
      </c>
      <c r="AW25" s="221">
        <f t="shared" si="44"/>
        <v>0</v>
      </c>
      <c r="AX25" s="221">
        <f t="shared" si="45"/>
        <v>0</v>
      </c>
      <c r="AY25" s="221">
        <f t="shared" si="46"/>
        <v>0</v>
      </c>
      <c r="AZ25" s="221">
        <f t="shared" si="47"/>
        <v>0</v>
      </c>
      <c r="BA25" s="221">
        <f t="shared" si="48"/>
        <v>0</v>
      </c>
      <c r="BB25" s="221">
        <f t="shared" si="49"/>
        <v>0</v>
      </c>
      <c r="BC25" s="77"/>
    </row>
    <row r="26" spans="2:55" s="90" customFormat="1" ht="29.25" customHeight="1">
      <c r="B26" s="274" t="s">
        <v>310</v>
      </c>
      <c r="C26" s="248" t="s">
        <v>311</v>
      </c>
      <c r="D26" s="245" t="s">
        <v>312</v>
      </c>
      <c r="E26" s="242" t="s">
        <v>40</v>
      </c>
      <c r="F26" s="288"/>
      <c r="G26" s="243"/>
      <c r="H26" s="241" t="s">
        <v>373</v>
      </c>
      <c r="I26" s="300">
        <v>8</v>
      </c>
      <c r="J26" s="301">
        <v>8</v>
      </c>
      <c r="K26" s="301">
        <v>8</v>
      </c>
      <c r="L26" s="301">
        <v>8</v>
      </c>
      <c r="M26" s="122" t="s">
        <v>9</v>
      </c>
      <c r="N26" s="301">
        <v>8</v>
      </c>
      <c r="O26" s="301">
        <v>8</v>
      </c>
      <c r="P26" s="301">
        <v>8</v>
      </c>
      <c r="Q26" s="301">
        <v>8</v>
      </c>
      <c r="R26" s="301">
        <v>8</v>
      </c>
      <c r="S26" s="301">
        <v>8</v>
      </c>
      <c r="T26" s="301">
        <v>8</v>
      </c>
      <c r="U26" s="301">
        <v>8</v>
      </c>
      <c r="V26" s="122" t="s">
        <v>9</v>
      </c>
      <c r="W26" s="301">
        <v>8</v>
      </c>
      <c r="X26" s="301">
        <v>8</v>
      </c>
      <c r="Y26" s="301">
        <v>8</v>
      </c>
      <c r="Z26" s="301">
        <v>8</v>
      </c>
      <c r="AA26" s="301">
        <v>8</v>
      </c>
      <c r="AB26" s="301">
        <v>8</v>
      </c>
      <c r="AC26" s="301">
        <v>8</v>
      </c>
      <c r="AD26" s="122" t="s">
        <v>9</v>
      </c>
      <c r="AE26" s="122" t="s">
        <v>9</v>
      </c>
      <c r="AF26" s="301">
        <v>8</v>
      </c>
      <c r="AG26" s="301">
        <v>8</v>
      </c>
      <c r="AH26" s="301">
        <v>8</v>
      </c>
      <c r="AI26" s="301">
        <v>8</v>
      </c>
      <c r="AJ26" s="301">
        <v>8</v>
      </c>
      <c r="AK26" s="301">
        <v>8</v>
      </c>
      <c r="AL26" s="122" t="s">
        <v>9</v>
      </c>
      <c r="AM26" s="302">
        <v>8</v>
      </c>
      <c r="AN26" s="315">
        <f t="shared" si="42"/>
        <v>26</v>
      </c>
      <c r="AO26" s="244">
        <f t="shared" si="50"/>
        <v>208</v>
      </c>
      <c r="AP26" s="181">
        <f t="shared" si="29"/>
        <v>0</v>
      </c>
      <c r="AQ26" s="63">
        <f t="shared" si="30"/>
        <v>5</v>
      </c>
      <c r="AR26" s="63">
        <f t="shared" si="31"/>
        <v>0</v>
      </c>
      <c r="AS26" s="63">
        <f t="shared" si="32"/>
        <v>0</v>
      </c>
      <c r="AT26" s="63">
        <f t="shared" si="33"/>
        <v>0</v>
      </c>
      <c r="AU26" s="63">
        <f t="shared" si="34"/>
        <v>5</v>
      </c>
      <c r="AV26" s="221">
        <f t="shared" si="43"/>
        <v>5</v>
      </c>
      <c r="AW26" s="221">
        <f t="shared" si="44"/>
        <v>0</v>
      </c>
      <c r="AX26" s="221">
        <f t="shared" si="45"/>
        <v>0</v>
      </c>
      <c r="AY26" s="221">
        <f t="shared" si="46"/>
        <v>0</v>
      </c>
      <c r="AZ26" s="221">
        <f t="shared" si="47"/>
        <v>0</v>
      </c>
      <c r="BA26" s="221">
        <f t="shared" si="48"/>
        <v>0</v>
      </c>
      <c r="BB26" s="221">
        <f t="shared" si="49"/>
        <v>0</v>
      </c>
      <c r="BC26" s="77"/>
    </row>
    <row r="27" spans="2:55" s="240" customFormat="1" ht="29.25" customHeight="1">
      <c r="B27" s="274" t="s">
        <v>313</v>
      </c>
      <c r="C27" s="248" t="s">
        <v>314</v>
      </c>
      <c r="D27" s="245" t="s">
        <v>315</v>
      </c>
      <c r="E27" s="242" t="s">
        <v>40</v>
      </c>
      <c r="F27" s="288"/>
      <c r="G27" s="243"/>
      <c r="H27" s="241" t="s">
        <v>373</v>
      </c>
      <c r="I27" s="123" t="s">
        <v>9</v>
      </c>
      <c r="J27" s="301" t="s">
        <v>395</v>
      </c>
      <c r="K27" s="301" t="s">
        <v>395</v>
      </c>
      <c r="L27" s="301" t="s">
        <v>395</v>
      </c>
      <c r="M27" s="301" t="s">
        <v>395</v>
      </c>
      <c r="N27" s="301">
        <v>8</v>
      </c>
      <c r="O27" s="122" t="s">
        <v>9</v>
      </c>
      <c r="P27" s="122" t="s">
        <v>9</v>
      </c>
      <c r="Q27" s="301" t="s">
        <v>395</v>
      </c>
      <c r="R27" s="301" t="s">
        <v>395</v>
      </c>
      <c r="S27" s="301" t="s">
        <v>395</v>
      </c>
      <c r="T27" s="301">
        <v>8</v>
      </c>
      <c r="U27" s="301">
        <v>8</v>
      </c>
      <c r="V27" s="301">
        <v>8</v>
      </c>
      <c r="W27" s="301">
        <v>8</v>
      </c>
      <c r="X27" s="301" t="s">
        <v>395</v>
      </c>
      <c r="Y27" s="122" t="s">
        <v>9</v>
      </c>
      <c r="Z27" s="301" t="s">
        <v>395</v>
      </c>
      <c r="AA27" s="301">
        <v>8</v>
      </c>
      <c r="AB27" s="301">
        <v>8</v>
      </c>
      <c r="AC27" s="301">
        <v>8</v>
      </c>
      <c r="AD27" s="301">
        <v>8</v>
      </c>
      <c r="AE27" s="301">
        <v>8</v>
      </c>
      <c r="AF27" s="122" t="s">
        <v>9</v>
      </c>
      <c r="AG27" s="301" t="s">
        <v>395</v>
      </c>
      <c r="AH27" s="301" t="s">
        <v>395</v>
      </c>
      <c r="AI27" s="301" t="s">
        <v>395</v>
      </c>
      <c r="AJ27" s="301">
        <v>8</v>
      </c>
      <c r="AK27" s="301">
        <v>8</v>
      </c>
      <c r="AL27" s="301">
        <v>8</v>
      </c>
      <c r="AM27" s="302">
        <v>8</v>
      </c>
      <c r="AN27" s="313">
        <f t="shared" si="42"/>
        <v>14</v>
      </c>
      <c r="AO27" s="254">
        <f t="shared" si="50"/>
        <v>112</v>
      </c>
      <c r="AP27" s="181">
        <f t="shared" si="29"/>
        <v>0</v>
      </c>
      <c r="AQ27" s="63">
        <f t="shared" si="30"/>
        <v>5</v>
      </c>
      <c r="AR27" s="63">
        <f t="shared" si="31"/>
        <v>0</v>
      </c>
      <c r="AS27" s="63">
        <f t="shared" si="32"/>
        <v>0</v>
      </c>
      <c r="AT27" s="63">
        <f t="shared" si="33"/>
        <v>0</v>
      </c>
      <c r="AU27" s="63">
        <f t="shared" si="34"/>
        <v>5</v>
      </c>
      <c r="AV27" s="221">
        <f t="shared" si="43"/>
        <v>5</v>
      </c>
      <c r="AW27" s="221">
        <f t="shared" si="44"/>
        <v>0</v>
      </c>
      <c r="AX27" s="221">
        <f t="shared" si="45"/>
        <v>0</v>
      </c>
      <c r="AY27" s="221">
        <f t="shared" si="46"/>
        <v>0</v>
      </c>
      <c r="AZ27" s="221">
        <f t="shared" si="47"/>
        <v>0</v>
      </c>
      <c r="BA27" s="221">
        <f t="shared" si="48"/>
        <v>0</v>
      </c>
      <c r="BB27" s="221">
        <f t="shared" si="49"/>
        <v>0</v>
      </c>
      <c r="BC27" s="77"/>
    </row>
    <row r="28" spans="2:55" s="240" customFormat="1" ht="29.25" customHeight="1">
      <c r="B28" s="274" t="s">
        <v>316</v>
      </c>
      <c r="C28" s="248" t="s">
        <v>317</v>
      </c>
      <c r="D28" s="245" t="s">
        <v>318</v>
      </c>
      <c r="E28" s="242" t="s">
        <v>40</v>
      </c>
      <c r="F28" s="288"/>
      <c r="G28" s="243"/>
      <c r="H28" s="241" t="s">
        <v>373</v>
      </c>
      <c r="I28" s="300">
        <v>8</v>
      </c>
      <c r="J28" s="301">
        <v>8</v>
      </c>
      <c r="K28" s="301">
        <v>8</v>
      </c>
      <c r="L28" s="301">
        <v>8</v>
      </c>
      <c r="M28" s="122" t="s">
        <v>9</v>
      </c>
      <c r="N28" s="301">
        <v>8</v>
      </c>
      <c r="O28" s="301">
        <v>8</v>
      </c>
      <c r="P28" s="301">
        <v>8</v>
      </c>
      <c r="Q28" s="301">
        <v>8</v>
      </c>
      <c r="R28" s="301">
        <v>8</v>
      </c>
      <c r="S28" s="301">
        <v>8</v>
      </c>
      <c r="T28" s="122" t="s">
        <v>9</v>
      </c>
      <c r="U28" s="301">
        <v>8</v>
      </c>
      <c r="V28" s="301">
        <v>8</v>
      </c>
      <c r="W28" s="301">
        <v>8</v>
      </c>
      <c r="X28" s="301">
        <v>8</v>
      </c>
      <c r="Y28" s="301">
        <v>8</v>
      </c>
      <c r="Z28" s="122" t="s">
        <v>9</v>
      </c>
      <c r="AA28" s="122" t="s">
        <v>9</v>
      </c>
      <c r="AB28" s="301">
        <v>8</v>
      </c>
      <c r="AC28" s="301">
        <v>8</v>
      </c>
      <c r="AD28" s="301">
        <v>8</v>
      </c>
      <c r="AE28" s="301">
        <v>8</v>
      </c>
      <c r="AF28" s="301">
        <v>8</v>
      </c>
      <c r="AG28" s="301">
        <v>8</v>
      </c>
      <c r="AH28" s="122" t="s">
        <v>9</v>
      </c>
      <c r="AI28" s="301">
        <v>8</v>
      </c>
      <c r="AJ28" s="301">
        <v>8</v>
      </c>
      <c r="AK28" s="301">
        <v>8</v>
      </c>
      <c r="AL28" s="301">
        <v>8</v>
      </c>
      <c r="AM28" s="302">
        <v>8</v>
      </c>
      <c r="AN28" s="313">
        <f t="shared" si="42"/>
        <v>26</v>
      </c>
      <c r="AO28" s="254">
        <f t="shared" si="50"/>
        <v>208</v>
      </c>
      <c r="AP28" s="181">
        <f t="shared" si="29"/>
        <v>0</v>
      </c>
      <c r="AQ28" s="63">
        <f t="shared" si="30"/>
        <v>5</v>
      </c>
      <c r="AR28" s="63">
        <f t="shared" si="31"/>
        <v>0</v>
      </c>
      <c r="AS28" s="63">
        <f t="shared" si="32"/>
        <v>0</v>
      </c>
      <c r="AT28" s="63">
        <f t="shared" si="33"/>
        <v>0</v>
      </c>
      <c r="AU28" s="63">
        <f t="shared" si="34"/>
        <v>5</v>
      </c>
      <c r="AV28" s="221">
        <f t="shared" si="43"/>
        <v>5</v>
      </c>
      <c r="AW28" s="221">
        <f t="shared" si="44"/>
        <v>0</v>
      </c>
      <c r="AX28" s="221">
        <f t="shared" si="45"/>
        <v>0</v>
      </c>
      <c r="AY28" s="221">
        <f t="shared" si="46"/>
        <v>0</v>
      </c>
      <c r="AZ28" s="221">
        <f t="shared" si="47"/>
        <v>0</v>
      </c>
      <c r="BA28" s="221">
        <f t="shared" si="48"/>
        <v>0</v>
      </c>
      <c r="BB28" s="221">
        <f t="shared" si="49"/>
        <v>0</v>
      </c>
      <c r="BC28" s="77"/>
    </row>
    <row r="29" spans="2:55" s="90" customFormat="1" ht="29.25" customHeight="1">
      <c r="B29" s="274" t="s">
        <v>319</v>
      </c>
      <c r="C29" s="248" t="s">
        <v>320</v>
      </c>
      <c r="D29" s="245" t="s">
        <v>321</v>
      </c>
      <c r="E29" s="242" t="s">
        <v>40</v>
      </c>
      <c r="F29" s="288"/>
      <c r="G29" s="243"/>
      <c r="H29" s="241" t="s">
        <v>373</v>
      </c>
      <c r="I29" s="123" t="s">
        <v>9</v>
      </c>
      <c r="J29" s="301">
        <v>8</v>
      </c>
      <c r="K29" s="301">
        <v>8</v>
      </c>
      <c r="L29" s="301">
        <v>8</v>
      </c>
      <c r="M29" s="301">
        <v>8</v>
      </c>
      <c r="N29" s="301">
        <v>8</v>
      </c>
      <c r="O29" s="301">
        <v>8</v>
      </c>
      <c r="P29" s="122" t="s">
        <v>9</v>
      </c>
      <c r="Q29" s="301">
        <v>8</v>
      </c>
      <c r="R29" s="301">
        <v>8</v>
      </c>
      <c r="S29" s="301">
        <v>8</v>
      </c>
      <c r="T29" s="301">
        <v>8</v>
      </c>
      <c r="U29" s="301">
        <v>8</v>
      </c>
      <c r="V29" s="301">
        <v>8</v>
      </c>
      <c r="W29" s="122" t="s">
        <v>9</v>
      </c>
      <c r="X29" s="301">
        <v>8</v>
      </c>
      <c r="Y29" s="301">
        <v>8</v>
      </c>
      <c r="Z29" s="301">
        <v>8</v>
      </c>
      <c r="AA29" s="301">
        <v>8</v>
      </c>
      <c r="AB29" s="301">
        <v>8</v>
      </c>
      <c r="AC29" s="301">
        <v>8</v>
      </c>
      <c r="AD29" s="122" t="s">
        <v>9</v>
      </c>
      <c r="AE29" s="301">
        <v>8</v>
      </c>
      <c r="AF29" s="301">
        <v>8</v>
      </c>
      <c r="AG29" s="301">
        <v>8</v>
      </c>
      <c r="AH29" s="301">
        <v>8</v>
      </c>
      <c r="AI29" s="301">
        <v>8</v>
      </c>
      <c r="AJ29" s="301">
        <v>8</v>
      </c>
      <c r="AK29" s="122" t="s">
        <v>9</v>
      </c>
      <c r="AL29" s="301">
        <v>8</v>
      </c>
      <c r="AM29" s="302">
        <v>8</v>
      </c>
      <c r="AN29" s="315">
        <f t="shared" si="42"/>
        <v>26</v>
      </c>
      <c r="AO29" s="244">
        <f t="shared" si="50"/>
        <v>208</v>
      </c>
      <c r="AP29" s="181">
        <f t="shared" si="29"/>
        <v>0</v>
      </c>
      <c r="AQ29" s="63">
        <f t="shared" si="30"/>
        <v>5</v>
      </c>
      <c r="AR29" s="63">
        <f t="shared" si="31"/>
        <v>0</v>
      </c>
      <c r="AS29" s="63">
        <f t="shared" si="32"/>
        <v>0</v>
      </c>
      <c r="AT29" s="63">
        <f t="shared" si="33"/>
        <v>0</v>
      </c>
      <c r="AU29" s="63">
        <f t="shared" si="34"/>
        <v>5</v>
      </c>
      <c r="AV29" s="221">
        <f t="shared" si="43"/>
        <v>5</v>
      </c>
      <c r="AW29" s="221">
        <f t="shared" si="44"/>
        <v>0</v>
      </c>
      <c r="AX29" s="221">
        <f t="shared" si="45"/>
        <v>0</v>
      </c>
      <c r="AY29" s="221">
        <f t="shared" si="46"/>
        <v>0</v>
      </c>
      <c r="AZ29" s="221">
        <f t="shared" si="47"/>
        <v>0</v>
      </c>
      <c r="BA29" s="221">
        <f t="shared" si="48"/>
        <v>0</v>
      </c>
      <c r="BB29" s="221">
        <f t="shared" si="49"/>
        <v>0</v>
      </c>
      <c r="BC29" s="77"/>
    </row>
    <row r="30" spans="2:55" s="90" customFormat="1" ht="29.25" customHeight="1">
      <c r="B30" s="274" t="s">
        <v>322</v>
      </c>
      <c r="C30" s="248" t="s">
        <v>323</v>
      </c>
      <c r="D30" s="245" t="s">
        <v>324</v>
      </c>
      <c r="E30" s="242" t="s">
        <v>40</v>
      </c>
      <c r="F30" s="288"/>
      <c r="G30" s="243"/>
      <c r="H30" s="241" t="s">
        <v>373</v>
      </c>
      <c r="I30" s="300">
        <v>8</v>
      </c>
      <c r="J30" s="122" t="s">
        <v>9</v>
      </c>
      <c r="K30" s="301">
        <v>8</v>
      </c>
      <c r="L30" s="301">
        <v>8</v>
      </c>
      <c r="M30" s="301">
        <v>8</v>
      </c>
      <c r="N30" s="301">
        <v>8</v>
      </c>
      <c r="O30" s="301">
        <v>8</v>
      </c>
      <c r="P30" s="301">
        <v>8</v>
      </c>
      <c r="Q30" s="301">
        <v>8</v>
      </c>
      <c r="R30" s="122" t="s">
        <v>9</v>
      </c>
      <c r="S30" s="122" t="s">
        <v>9</v>
      </c>
      <c r="T30" s="301">
        <v>8</v>
      </c>
      <c r="U30" s="301">
        <v>8</v>
      </c>
      <c r="V30" s="301">
        <v>8</v>
      </c>
      <c r="W30" s="301">
        <v>8</v>
      </c>
      <c r="X30" s="301">
        <v>8</v>
      </c>
      <c r="Y30" s="301">
        <v>8</v>
      </c>
      <c r="Z30" s="301">
        <v>8</v>
      </c>
      <c r="AA30" s="122" t="s">
        <v>9</v>
      </c>
      <c r="AB30" s="301">
        <v>8</v>
      </c>
      <c r="AC30" s="301">
        <v>8</v>
      </c>
      <c r="AD30" s="301">
        <v>8</v>
      </c>
      <c r="AE30" s="301">
        <v>8</v>
      </c>
      <c r="AF30" s="301">
        <v>8</v>
      </c>
      <c r="AG30" s="301">
        <v>8</v>
      </c>
      <c r="AH30" s="122" t="s">
        <v>9</v>
      </c>
      <c r="AI30" s="301">
        <v>8</v>
      </c>
      <c r="AJ30" s="301">
        <v>8</v>
      </c>
      <c r="AK30" s="301">
        <v>8</v>
      </c>
      <c r="AL30" s="301">
        <v>8</v>
      </c>
      <c r="AM30" s="302">
        <v>8</v>
      </c>
      <c r="AN30" s="315">
        <f t="shared" si="42"/>
        <v>26</v>
      </c>
      <c r="AO30" s="244">
        <f t="shared" si="50"/>
        <v>208</v>
      </c>
      <c r="AP30" s="181">
        <f t="shared" si="29"/>
        <v>0</v>
      </c>
      <c r="AQ30" s="63">
        <f t="shared" si="30"/>
        <v>5</v>
      </c>
      <c r="AR30" s="63">
        <f t="shared" si="31"/>
        <v>0</v>
      </c>
      <c r="AS30" s="63">
        <f t="shared" si="32"/>
        <v>0</v>
      </c>
      <c r="AT30" s="63">
        <f t="shared" si="33"/>
        <v>0</v>
      </c>
      <c r="AU30" s="63">
        <f t="shared" si="34"/>
        <v>5</v>
      </c>
      <c r="AV30" s="221">
        <f t="shared" si="43"/>
        <v>5</v>
      </c>
      <c r="AW30" s="221">
        <f t="shared" si="44"/>
        <v>0</v>
      </c>
      <c r="AX30" s="221">
        <f t="shared" si="45"/>
        <v>0</v>
      </c>
      <c r="AY30" s="221">
        <f t="shared" si="46"/>
        <v>0</v>
      </c>
      <c r="AZ30" s="221">
        <f t="shared" si="47"/>
        <v>0</v>
      </c>
      <c r="BA30" s="221">
        <f t="shared" si="48"/>
        <v>0</v>
      </c>
      <c r="BB30" s="221">
        <f t="shared" si="49"/>
        <v>0</v>
      </c>
      <c r="BC30" s="77"/>
    </row>
    <row r="31" spans="2:55" s="90" customFormat="1" ht="29.25" customHeight="1">
      <c r="B31" s="274" t="s">
        <v>325</v>
      </c>
      <c r="C31" s="248" t="s">
        <v>326</v>
      </c>
      <c r="D31" s="245" t="s">
        <v>327</v>
      </c>
      <c r="E31" s="242" t="s">
        <v>40</v>
      </c>
      <c r="F31" s="288"/>
      <c r="G31" s="243"/>
      <c r="H31" s="241" t="s">
        <v>373</v>
      </c>
      <c r="I31" s="300">
        <v>8</v>
      </c>
      <c r="J31" s="301">
        <v>8</v>
      </c>
      <c r="K31" s="122" t="s">
        <v>9</v>
      </c>
      <c r="L31" s="122" t="s">
        <v>9</v>
      </c>
      <c r="M31" s="301">
        <v>8</v>
      </c>
      <c r="N31" s="301">
        <v>8</v>
      </c>
      <c r="O31" s="301">
        <v>8</v>
      </c>
      <c r="P31" s="301">
        <v>8</v>
      </c>
      <c r="Q31" s="301">
        <v>8</v>
      </c>
      <c r="R31" s="301">
        <v>8</v>
      </c>
      <c r="S31" s="301">
        <v>8</v>
      </c>
      <c r="T31" s="301">
        <v>8</v>
      </c>
      <c r="U31" s="122" t="s">
        <v>9</v>
      </c>
      <c r="V31" s="301">
        <v>8</v>
      </c>
      <c r="W31" s="301">
        <v>8</v>
      </c>
      <c r="X31" s="301">
        <v>8</v>
      </c>
      <c r="Y31" s="301">
        <v>8</v>
      </c>
      <c r="Z31" s="301">
        <v>8</v>
      </c>
      <c r="AA31" s="122" t="s">
        <v>9</v>
      </c>
      <c r="AB31" s="301">
        <v>8</v>
      </c>
      <c r="AC31" s="301">
        <v>8</v>
      </c>
      <c r="AD31" s="301">
        <v>8</v>
      </c>
      <c r="AE31" s="301">
        <v>8</v>
      </c>
      <c r="AF31" s="301">
        <v>8</v>
      </c>
      <c r="AG31" s="122" t="s">
        <v>9</v>
      </c>
      <c r="AH31" s="301">
        <v>8</v>
      </c>
      <c r="AI31" s="301">
        <v>8</v>
      </c>
      <c r="AJ31" s="301">
        <v>8</v>
      </c>
      <c r="AK31" s="301">
        <v>8</v>
      </c>
      <c r="AL31" s="301">
        <v>8</v>
      </c>
      <c r="AM31" s="302">
        <v>8</v>
      </c>
      <c r="AN31" s="315">
        <f t="shared" si="42"/>
        <v>26</v>
      </c>
      <c r="AO31" s="244">
        <f t="shared" si="50"/>
        <v>208</v>
      </c>
      <c r="AP31" s="181">
        <f t="shared" si="29"/>
        <v>0</v>
      </c>
      <c r="AQ31" s="63">
        <f t="shared" si="30"/>
        <v>5</v>
      </c>
      <c r="AR31" s="63">
        <f t="shared" si="31"/>
        <v>0</v>
      </c>
      <c r="AS31" s="63">
        <f t="shared" si="32"/>
        <v>0</v>
      </c>
      <c r="AT31" s="63">
        <f t="shared" si="33"/>
        <v>0</v>
      </c>
      <c r="AU31" s="63">
        <f t="shared" si="34"/>
        <v>5</v>
      </c>
      <c r="AV31" s="221">
        <f t="shared" si="43"/>
        <v>5</v>
      </c>
      <c r="AW31" s="221">
        <f t="shared" si="44"/>
        <v>0</v>
      </c>
      <c r="AX31" s="221">
        <f t="shared" si="45"/>
        <v>0</v>
      </c>
      <c r="AY31" s="221">
        <f t="shared" si="46"/>
        <v>0</v>
      </c>
      <c r="AZ31" s="221">
        <f t="shared" si="47"/>
        <v>0</v>
      </c>
      <c r="BA31" s="221">
        <f t="shared" si="48"/>
        <v>0</v>
      </c>
      <c r="BB31" s="221">
        <f t="shared" si="49"/>
        <v>0</v>
      </c>
      <c r="BC31" s="77"/>
    </row>
    <row r="32" spans="2:55" s="90" customFormat="1" ht="29.25" customHeight="1">
      <c r="B32" s="274" t="s">
        <v>328</v>
      </c>
      <c r="C32" s="248" t="s">
        <v>329</v>
      </c>
      <c r="D32" s="245" t="s">
        <v>330</v>
      </c>
      <c r="E32" s="242" t="s">
        <v>40</v>
      </c>
      <c r="F32" s="288"/>
      <c r="G32" s="243"/>
      <c r="H32" s="241" t="s">
        <v>373</v>
      </c>
      <c r="I32" s="300">
        <v>8</v>
      </c>
      <c r="J32" s="122" t="s">
        <v>9</v>
      </c>
      <c r="K32" s="301">
        <v>8</v>
      </c>
      <c r="L32" s="301">
        <v>8</v>
      </c>
      <c r="M32" s="301">
        <v>8</v>
      </c>
      <c r="N32" s="301">
        <v>8</v>
      </c>
      <c r="O32" s="301">
        <v>8</v>
      </c>
      <c r="P32" s="301">
        <v>8</v>
      </c>
      <c r="Q32" s="301">
        <v>8</v>
      </c>
      <c r="R32" s="122" t="s">
        <v>9</v>
      </c>
      <c r="S32" s="301">
        <v>8</v>
      </c>
      <c r="T32" s="301">
        <v>8</v>
      </c>
      <c r="U32" s="301">
        <v>8</v>
      </c>
      <c r="V32" s="301">
        <v>8</v>
      </c>
      <c r="W32" s="301">
        <v>8</v>
      </c>
      <c r="X32" s="301">
        <v>8</v>
      </c>
      <c r="Y32" s="122" t="s">
        <v>9</v>
      </c>
      <c r="Z32" s="122" t="s">
        <v>9</v>
      </c>
      <c r="AA32" s="301">
        <v>8</v>
      </c>
      <c r="AB32" s="301">
        <v>8</v>
      </c>
      <c r="AC32" s="301">
        <v>8</v>
      </c>
      <c r="AD32" s="301">
        <v>8</v>
      </c>
      <c r="AE32" s="301">
        <v>8</v>
      </c>
      <c r="AF32" s="301">
        <v>8</v>
      </c>
      <c r="AG32" s="301">
        <v>8</v>
      </c>
      <c r="AH32" s="122" t="s">
        <v>9</v>
      </c>
      <c r="AI32" s="301">
        <v>8</v>
      </c>
      <c r="AJ32" s="301">
        <v>8</v>
      </c>
      <c r="AK32" s="301">
        <v>8</v>
      </c>
      <c r="AL32" s="301">
        <v>8</v>
      </c>
      <c r="AM32" s="302">
        <v>8</v>
      </c>
      <c r="AN32" s="315">
        <f t="shared" si="42"/>
        <v>26</v>
      </c>
      <c r="AO32" s="244">
        <f t="shared" si="50"/>
        <v>208</v>
      </c>
      <c r="AP32" s="181">
        <f t="shared" si="29"/>
        <v>0</v>
      </c>
      <c r="AQ32" s="63">
        <f t="shared" si="30"/>
        <v>5</v>
      </c>
      <c r="AR32" s="63">
        <f t="shared" si="31"/>
        <v>0</v>
      </c>
      <c r="AS32" s="63">
        <f t="shared" si="32"/>
        <v>0</v>
      </c>
      <c r="AT32" s="63">
        <f t="shared" si="33"/>
        <v>0</v>
      </c>
      <c r="AU32" s="63">
        <f t="shared" si="34"/>
        <v>5</v>
      </c>
      <c r="AV32" s="221">
        <f t="shared" si="43"/>
        <v>5</v>
      </c>
      <c r="AW32" s="221">
        <f t="shared" si="44"/>
        <v>0</v>
      </c>
      <c r="AX32" s="221">
        <f t="shared" si="45"/>
        <v>0</v>
      </c>
      <c r="AY32" s="221">
        <f t="shared" si="46"/>
        <v>0</v>
      </c>
      <c r="AZ32" s="221">
        <f t="shared" si="47"/>
        <v>0</v>
      </c>
      <c r="BA32" s="221">
        <f t="shared" si="48"/>
        <v>0</v>
      </c>
      <c r="BB32" s="221">
        <f t="shared" si="49"/>
        <v>0</v>
      </c>
      <c r="BC32" s="77"/>
    </row>
    <row r="33" spans="1:55" s="90" customFormat="1" ht="29.25" customHeight="1">
      <c r="B33" s="274" t="s">
        <v>331</v>
      </c>
      <c r="C33" s="248" t="s">
        <v>332</v>
      </c>
      <c r="D33" s="245" t="s">
        <v>333</v>
      </c>
      <c r="E33" s="242" t="s">
        <v>40</v>
      </c>
      <c r="F33" s="288"/>
      <c r="G33" s="243"/>
      <c r="H33" s="241" t="s">
        <v>373</v>
      </c>
      <c r="I33" s="123" t="s">
        <v>9</v>
      </c>
      <c r="J33" s="301">
        <v>8</v>
      </c>
      <c r="K33" s="301">
        <v>8</v>
      </c>
      <c r="L33" s="301">
        <v>8</v>
      </c>
      <c r="M33" s="301">
        <v>8</v>
      </c>
      <c r="N33" s="122" t="s">
        <v>9</v>
      </c>
      <c r="O33" s="122">
        <v>8</v>
      </c>
      <c r="P33" s="301">
        <v>8</v>
      </c>
      <c r="Q33" s="301">
        <v>8</v>
      </c>
      <c r="R33" s="301">
        <v>8</v>
      </c>
      <c r="S33" s="301">
        <v>8</v>
      </c>
      <c r="T33" s="301">
        <v>8</v>
      </c>
      <c r="U33" s="301">
        <v>8</v>
      </c>
      <c r="V33" s="301">
        <v>8</v>
      </c>
      <c r="W33" s="301">
        <v>8</v>
      </c>
      <c r="X33" s="301" t="s">
        <v>407</v>
      </c>
      <c r="Y33" s="301" t="s">
        <v>407</v>
      </c>
      <c r="Z33" s="301" t="s">
        <v>407</v>
      </c>
      <c r="AA33" s="301" t="s">
        <v>407</v>
      </c>
      <c r="AB33" s="301" t="s">
        <v>407</v>
      </c>
      <c r="AC33" s="301" t="s">
        <v>407</v>
      </c>
      <c r="AD33" s="301" t="s">
        <v>407</v>
      </c>
      <c r="AE33" s="301" t="s">
        <v>407</v>
      </c>
      <c r="AF33" s="301" t="s">
        <v>407</v>
      </c>
      <c r="AG33" s="301" t="s">
        <v>407</v>
      </c>
      <c r="AH33" s="301" t="s">
        <v>407</v>
      </c>
      <c r="AI33" s="301" t="s">
        <v>407</v>
      </c>
      <c r="AJ33" s="301" t="s">
        <v>407</v>
      </c>
      <c r="AK33" s="301" t="s">
        <v>407</v>
      </c>
      <c r="AL33" s="301" t="s">
        <v>407</v>
      </c>
      <c r="AM33" s="302" t="s">
        <v>407</v>
      </c>
      <c r="AN33" s="315">
        <f t="shared" si="42"/>
        <v>13</v>
      </c>
      <c r="AO33" s="244">
        <f t="shared" si="50"/>
        <v>104</v>
      </c>
      <c r="AP33" s="181">
        <f t="shared" si="29"/>
        <v>0</v>
      </c>
      <c r="AQ33" s="63">
        <f t="shared" si="30"/>
        <v>2</v>
      </c>
      <c r="AR33" s="63">
        <f t="shared" si="31"/>
        <v>0</v>
      </c>
      <c r="AS33" s="63">
        <f t="shared" si="32"/>
        <v>0</v>
      </c>
      <c r="AT33" s="63">
        <f t="shared" si="33"/>
        <v>0</v>
      </c>
      <c r="AU33" s="63">
        <v>2</v>
      </c>
      <c r="AV33" s="221">
        <f t="shared" si="43"/>
        <v>2</v>
      </c>
      <c r="AW33" s="221">
        <f t="shared" si="44"/>
        <v>0</v>
      </c>
      <c r="AX33" s="221">
        <f t="shared" si="45"/>
        <v>0</v>
      </c>
      <c r="AY33" s="221">
        <f t="shared" si="46"/>
        <v>0</v>
      </c>
      <c r="AZ33" s="221">
        <f t="shared" si="47"/>
        <v>0</v>
      </c>
      <c r="BA33" s="221">
        <f t="shared" si="48"/>
        <v>0</v>
      </c>
      <c r="BB33" s="221">
        <f t="shared" si="49"/>
        <v>16</v>
      </c>
      <c r="BC33" s="77"/>
    </row>
    <row r="34" spans="1:55" s="90" customFormat="1" ht="29.25" customHeight="1">
      <c r="B34" s="274" t="s">
        <v>334</v>
      </c>
      <c r="C34" s="248" t="s">
        <v>335</v>
      </c>
      <c r="D34" s="245" t="s">
        <v>336</v>
      </c>
      <c r="E34" s="242" t="s">
        <v>40</v>
      </c>
      <c r="F34" s="288"/>
      <c r="G34" s="243"/>
      <c r="H34" s="241" t="s">
        <v>373</v>
      </c>
      <c r="I34" s="300">
        <v>8</v>
      </c>
      <c r="J34" s="301">
        <v>8</v>
      </c>
      <c r="K34" s="301">
        <v>8</v>
      </c>
      <c r="L34" s="301">
        <v>8</v>
      </c>
      <c r="M34" s="301">
        <v>8</v>
      </c>
      <c r="N34" s="122" t="s">
        <v>9</v>
      </c>
      <c r="O34" s="301">
        <v>8</v>
      </c>
      <c r="P34" s="301">
        <v>8</v>
      </c>
      <c r="Q34" s="301">
        <v>8</v>
      </c>
      <c r="R34" s="301">
        <v>8</v>
      </c>
      <c r="S34" s="301">
        <v>8</v>
      </c>
      <c r="T34" s="301">
        <v>8</v>
      </c>
      <c r="U34" s="301">
        <v>8</v>
      </c>
      <c r="V34" s="122" t="s">
        <v>9</v>
      </c>
      <c r="W34" s="301">
        <v>8</v>
      </c>
      <c r="X34" s="301">
        <v>8</v>
      </c>
      <c r="Y34" s="301">
        <v>8</v>
      </c>
      <c r="Z34" s="301">
        <v>8</v>
      </c>
      <c r="AA34" s="301">
        <v>8</v>
      </c>
      <c r="AB34" s="301">
        <v>8</v>
      </c>
      <c r="AC34" s="122" t="s">
        <v>9</v>
      </c>
      <c r="AD34" s="301">
        <v>8</v>
      </c>
      <c r="AE34" s="301">
        <v>8</v>
      </c>
      <c r="AF34" s="301">
        <v>8</v>
      </c>
      <c r="AG34" s="301">
        <v>8</v>
      </c>
      <c r="AH34" s="301">
        <v>8</v>
      </c>
      <c r="AI34" s="122" t="s">
        <v>9</v>
      </c>
      <c r="AJ34" s="122" t="s">
        <v>9</v>
      </c>
      <c r="AK34" s="301">
        <v>8</v>
      </c>
      <c r="AL34" s="301">
        <v>8</v>
      </c>
      <c r="AM34" s="302">
        <v>8</v>
      </c>
      <c r="AN34" s="315">
        <f t="shared" si="42"/>
        <v>26</v>
      </c>
      <c r="AO34" s="244">
        <f t="shared" si="50"/>
        <v>208</v>
      </c>
      <c r="AP34" s="181">
        <f t="shared" si="29"/>
        <v>0</v>
      </c>
      <c r="AQ34" s="63">
        <f t="shared" si="30"/>
        <v>5</v>
      </c>
      <c r="AR34" s="63">
        <f t="shared" si="31"/>
        <v>0</v>
      </c>
      <c r="AS34" s="63">
        <f t="shared" si="32"/>
        <v>0</v>
      </c>
      <c r="AT34" s="63">
        <f t="shared" si="33"/>
        <v>0</v>
      </c>
      <c r="AU34" s="63">
        <v>5</v>
      </c>
      <c r="AV34" s="221">
        <f t="shared" si="43"/>
        <v>5</v>
      </c>
      <c r="AW34" s="221">
        <f t="shared" si="44"/>
        <v>0</v>
      </c>
      <c r="AX34" s="221">
        <f t="shared" si="45"/>
        <v>0</v>
      </c>
      <c r="AY34" s="221">
        <f t="shared" si="46"/>
        <v>0</v>
      </c>
      <c r="AZ34" s="221">
        <f t="shared" si="47"/>
        <v>0</v>
      </c>
      <c r="BA34" s="221">
        <f t="shared" si="48"/>
        <v>0</v>
      </c>
      <c r="BB34" s="221">
        <f t="shared" si="49"/>
        <v>0</v>
      </c>
      <c r="BC34" s="77"/>
    </row>
    <row r="35" spans="1:55" s="90" customFormat="1" ht="29.25" customHeight="1">
      <c r="B35" s="274" t="s">
        <v>337</v>
      </c>
      <c r="C35" s="248" t="s">
        <v>338</v>
      </c>
      <c r="D35" s="245" t="s">
        <v>339</v>
      </c>
      <c r="E35" s="242" t="s">
        <v>40</v>
      </c>
      <c r="F35" s="288"/>
      <c r="G35" s="243"/>
      <c r="H35" s="241" t="s">
        <v>373</v>
      </c>
      <c r="I35" s="300">
        <v>8</v>
      </c>
      <c r="J35" s="301">
        <v>8</v>
      </c>
      <c r="K35" s="301">
        <v>8</v>
      </c>
      <c r="L35" s="301">
        <v>8</v>
      </c>
      <c r="M35" s="301">
        <v>8</v>
      </c>
      <c r="N35" s="301">
        <v>8</v>
      </c>
      <c r="O35" s="122" t="s">
        <v>9</v>
      </c>
      <c r="P35" s="301">
        <v>8</v>
      </c>
      <c r="Q35" s="301">
        <v>8</v>
      </c>
      <c r="R35" s="301">
        <v>8</v>
      </c>
      <c r="S35" s="301">
        <v>8</v>
      </c>
      <c r="T35" s="301">
        <v>8</v>
      </c>
      <c r="U35" s="301">
        <v>8</v>
      </c>
      <c r="V35" s="301">
        <v>8</v>
      </c>
      <c r="W35" s="122" t="s">
        <v>9</v>
      </c>
      <c r="X35" s="122" t="s">
        <v>9</v>
      </c>
      <c r="Y35" s="301">
        <v>8</v>
      </c>
      <c r="Z35" s="301">
        <v>8</v>
      </c>
      <c r="AA35" s="301">
        <v>8</v>
      </c>
      <c r="AB35" s="301">
        <v>8</v>
      </c>
      <c r="AC35" s="301">
        <v>8</v>
      </c>
      <c r="AD35" s="122" t="s">
        <v>9</v>
      </c>
      <c r="AE35" s="301">
        <v>8</v>
      </c>
      <c r="AF35" s="301">
        <v>8</v>
      </c>
      <c r="AG35" s="301">
        <v>8</v>
      </c>
      <c r="AH35" s="301">
        <v>8</v>
      </c>
      <c r="AI35" s="301">
        <v>8</v>
      </c>
      <c r="AJ35" s="301">
        <v>8</v>
      </c>
      <c r="AK35" s="301">
        <v>8</v>
      </c>
      <c r="AL35" s="122" t="s">
        <v>9</v>
      </c>
      <c r="AM35" s="302">
        <v>8</v>
      </c>
      <c r="AN35" s="315">
        <f t="shared" si="42"/>
        <v>26</v>
      </c>
      <c r="AO35" s="244">
        <f t="shared" si="50"/>
        <v>208</v>
      </c>
      <c r="AP35" s="181">
        <f t="shared" si="29"/>
        <v>0</v>
      </c>
      <c r="AQ35" s="63">
        <f t="shared" si="30"/>
        <v>5</v>
      </c>
      <c r="AR35" s="63">
        <f t="shared" si="31"/>
        <v>0</v>
      </c>
      <c r="AS35" s="63">
        <f t="shared" si="32"/>
        <v>0</v>
      </c>
      <c r="AT35" s="63">
        <f t="shared" si="33"/>
        <v>0</v>
      </c>
      <c r="AU35" s="63">
        <f t="shared" si="34"/>
        <v>5</v>
      </c>
      <c r="AV35" s="221">
        <f t="shared" si="43"/>
        <v>5</v>
      </c>
      <c r="AW35" s="221">
        <f t="shared" si="44"/>
        <v>0</v>
      </c>
      <c r="AX35" s="221">
        <f t="shared" si="45"/>
        <v>0</v>
      </c>
      <c r="AY35" s="221">
        <f t="shared" si="46"/>
        <v>0</v>
      </c>
      <c r="AZ35" s="221">
        <f t="shared" si="47"/>
        <v>0</v>
      </c>
      <c r="BA35" s="221">
        <f t="shared" si="48"/>
        <v>0</v>
      </c>
      <c r="BB35" s="221">
        <f t="shared" si="49"/>
        <v>0</v>
      </c>
      <c r="BC35" s="77"/>
    </row>
    <row r="36" spans="1:55" s="90" customFormat="1" ht="29.25" customHeight="1">
      <c r="B36" s="274" t="s">
        <v>340</v>
      </c>
      <c r="C36" s="248" t="s">
        <v>341</v>
      </c>
      <c r="D36" s="245" t="s">
        <v>342</v>
      </c>
      <c r="E36" s="242" t="s">
        <v>40</v>
      </c>
      <c r="F36" s="288"/>
      <c r="G36" s="243"/>
      <c r="H36" s="241" t="s">
        <v>373</v>
      </c>
      <c r="I36" s="300">
        <v>8</v>
      </c>
      <c r="J36" s="301">
        <v>8</v>
      </c>
      <c r="K36" s="301">
        <v>8</v>
      </c>
      <c r="L36" s="301">
        <v>8</v>
      </c>
      <c r="M36" s="122" t="s">
        <v>9</v>
      </c>
      <c r="N36" s="301">
        <v>8</v>
      </c>
      <c r="O36" s="301">
        <v>8</v>
      </c>
      <c r="P36" s="301">
        <v>8</v>
      </c>
      <c r="Q36" s="301">
        <v>8</v>
      </c>
      <c r="R36" s="301">
        <v>8</v>
      </c>
      <c r="S36" s="301">
        <v>8</v>
      </c>
      <c r="T36" s="301">
        <v>8</v>
      </c>
      <c r="U36" s="301">
        <v>8</v>
      </c>
      <c r="V36" s="301">
        <v>8</v>
      </c>
      <c r="W36" s="122" t="s">
        <v>9</v>
      </c>
      <c r="X36" s="301">
        <v>8</v>
      </c>
      <c r="Y36" s="301">
        <v>8</v>
      </c>
      <c r="Z36" s="301">
        <v>8</v>
      </c>
      <c r="AA36" s="301">
        <v>8</v>
      </c>
      <c r="AB36" s="301">
        <v>8</v>
      </c>
      <c r="AC36" s="301">
        <v>8</v>
      </c>
      <c r="AD36" s="301">
        <v>8</v>
      </c>
      <c r="AE36" s="301">
        <v>8</v>
      </c>
      <c r="AF36" s="122" t="s">
        <v>9</v>
      </c>
      <c r="AG36" s="122" t="s">
        <v>9</v>
      </c>
      <c r="AH36" s="301">
        <v>8</v>
      </c>
      <c r="AI36" s="301">
        <v>8</v>
      </c>
      <c r="AJ36" s="301">
        <v>8</v>
      </c>
      <c r="AK36" s="301">
        <v>8</v>
      </c>
      <c r="AL36" s="301">
        <v>8</v>
      </c>
      <c r="AM36" s="324" t="s">
        <v>9</v>
      </c>
      <c r="AN36" s="315">
        <f t="shared" si="42"/>
        <v>26</v>
      </c>
      <c r="AO36" s="244">
        <f t="shared" si="50"/>
        <v>208</v>
      </c>
      <c r="AP36" s="181">
        <f t="shared" si="29"/>
        <v>0</v>
      </c>
      <c r="AQ36" s="63">
        <f t="shared" si="30"/>
        <v>5</v>
      </c>
      <c r="AR36" s="63">
        <f t="shared" si="31"/>
        <v>0</v>
      </c>
      <c r="AS36" s="63">
        <f t="shared" si="32"/>
        <v>0</v>
      </c>
      <c r="AT36" s="63">
        <f t="shared" si="33"/>
        <v>0</v>
      </c>
      <c r="AU36" s="63">
        <f t="shared" si="34"/>
        <v>5</v>
      </c>
      <c r="AV36" s="221">
        <f t="shared" si="43"/>
        <v>5</v>
      </c>
      <c r="AW36" s="221">
        <f t="shared" si="44"/>
        <v>0</v>
      </c>
      <c r="AX36" s="221">
        <f t="shared" si="45"/>
        <v>0</v>
      </c>
      <c r="AY36" s="221">
        <f t="shared" si="46"/>
        <v>0</v>
      </c>
      <c r="AZ36" s="221">
        <f t="shared" si="47"/>
        <v>0</v>
      </c>
      <c r="BA36" s="221">
        <f t="shared" si="48"/>
        <v>0</v>
      </c>
      <c r="BB36" s="221">
        <f t="shared" si="49"/>
        <v>0</v>
      </c>
      <c r="BC36" s="77"/>
    </row>
    <row r="37" spans="1:55" s="90" customFormat="1" ht="29.25" customHeight="1">
      <c r="B37" s="274" t="s">
        <v>343</v>
      </c>
      <c r="C37" s="248" t="s">
        <v>344</v>
      </c>
      <c r="D37" s="245" t="s">
        <v>345</v>
      </c>
      <c r="E37" s="242" t="s">
        <v>40</v>
      </c>
      <c r="F37" s="288"/>
      <c r="G37" s="243"/>
      <c r="H37" s="241" t="s">
        <v>373</v>
      </c>
      <c r="I37" s="300">
        <v>8</v>
      </c>
      <c r="J37" s="301">
        <v>8</v>
      </c>
      <c r="K37" s="301">
        <v>8</v>
      </c>
      <c r="L37" s="301">
        <v>8</v>
      </c>
      <c r="M37" s="122" t="s">
        <v>9</v>
      </c>
      <c r="N37" s="301">
        <v>8</v>
      </c>
      <c r="O37" s="301">
        <v>8</v>
      </c>
      <c r="P37" s="301">
        <v>8</v>
      </c>
      <c r="Q37" s="301">
        <v>8</v>
      </c>
      <c r="R37" s="301">
        <v>8</v>
      </c>
      <c r="S37" s="301">
        <v>8</v>
      </c>
      <c r="T37" s="301">
        <v>8</v>
      </c>
      <c r="U37" s="301">
        <v>8</v>
      </c>
      <c r="V37" s="301">
        <v>8</v>
      </c>
      <c r="W37" s="122" t="s">
        <v>9</v>
      </c>
      <c r="X37" s="122" t="s">
        <v>9</v>
      </c>
      <c r="Y37" s="301">
        <v>8</v>
      </c>
      <c r="Z37" s="301">
        <v>8</v>
      </c>
      <c r="AA37" s="301">
        <v>8</v>
      </c>
      <c r="AB37" s="301">
        <v>8</v>
      </c>
      <c r="AC37" s="301">
        <v>8</v>
      </c>
      <c r="AD37" s="301">
        <v>8</v>
      </c>
      <c r="AE37" s="301">
        <v>8</v>
      </c>
      <c r="AF37" s="122" t="s">
        <v>9</v>
      </c>
      <c r="AG37" s="301">
        <v>8</v>
      </c>
      <c r="AH37" s="301">
        <v>8</v>
      </c>
      <c r="AI37" s="301">
        <v>8</v>
      </c>
      <c r="AJ37" s="301">
        <v>8</v>
      </c>
      <c r="AK37" s="301">
        <v>8</v>
      </c>
      <c r="AL37" s="301">
        <v>8</v>
      </c>
      <c r="AM37" s="324" t="s">
        <v>9</v>
      </c>
      <c r="AN37" s="315">
        <f t="shared" ref="AN37" si="51">COUNT(I37:AM37)</f>
        <v>26</v>
      </c>
      <c r="AO37" s="244">
        <f t="shared" ref="AO37" si="52">SUM(I37:AM37)</f>
        <v>208</v>
      </c>
      <c r="AP37" s="181">
        <f t="shared" si="29"/>
        <v>0</v>
      </c>
      <c r="AQ37" s="63">
        <f t="shared" si="30"/>
        <v>5</v>
      </c>
      <c r="AR37" s="63">
        <f t="shared" si="31"/>
        <v>0</v>
      </c>
      <c r="AS37" s="63">
        <f t="shared" si="32"/>
        <v>0</v>
      </c>
      <c r="AT37" s="63">
        <f t="shared" si="33"/>
        <v>0</v>
      </c>
      <c r="AU37" s="63">
        <f t="shared" si="34"/>
        <v>5</v>
      </c>
      <c r="AV37" s="221">
        <f t="shared" si="43"/>
        <v>5</v>
      </c>
      <c r="AW37" s="221">
        <f t="shared" si="44"/>
        <v>0</v>
      </c>
      <c r="AX37" s="221">
        <f t="shared" si="45"/>
        <v>0</v>
      </c>
      <c r="AY37" s="221">
        <f t="shared" si="46"/>
        <v>0</v>
      </c>
      <c r="AZ37" s="221">
        <f t="shared" si="47"/>
        <v>0</v>
      </c>
      <c r="BA37" s="221">
        <f t="shared" si="48"/>
        <v>0</v>
      </c>
      <c r="BB37" s="221">
        <f t="shared" si="49"/>
        <v>0</v>
      </c>
      <c r="BC37" s="77"/>
    </row>
    <row r="38" spans="1:55" s="90" customFormat="1" ht="29.25" customHeight="1">
      <c r="B38" s="274" t="s">
        <v>346</v>
      </c>
      <c r="C38" s="248" t="s">
        <v>348</v>
      </c>
      <c r="D38" s="245" t="s">
        <v>349</v>
      </c>
      <c r="E38" s="242" t="s">
        <v>40</v>
      </c>
      <c r="F38" s="288"/>
      <c r="G38" s="243"/>
      <c r="H38" s="241" t="s">
        <v>373</v>
      </c>
      <c r="I38" s="300">
        <v>8</v>
      </c>
      <c r="J38" s="301">
        <v>8</v>
      </c>
      <c r="K38" s="301">
        <v>8</v>
      </c>
      <c r="L38" s="122" t="s">
        <v>9</v>
      </c>
      <c r="M38" s="301">
        <v>8</v>
      </c>
      <c r="N38" s="301">
        <v>8</v>
      </c>
      <c r="O38" s="301">
        <v>8</v>
      </c>
      <c r="P38" s="301">
        <v>8</v>
      </c>
      <c r="Q38" s="301">
        <v>8</v>
      </c>
      <c r="R38" s="301">
        <v>8</v>
      </c>
      <c r="S38" s="301">
        <v>8</v>
      </c>
      <c r="T38" s="301">
        <v>8</v>
      </c>
      <c r="U38" s="301">
        <v>8</v>
      </c>
      <c r="V38" s="122" t="s">
        <v>9</v>
      </c>
      <c r="W38" s="301">
        <v>8</v>
      </c>
      <c r="X38" s="301">
        <v>8</v>
      </c>
      <c r="Y38" s="301">
        <v>8</v>
      </c>
      <c r="Z38" s="301">
        <v>8</v>
      </c>
      <c r="AA38" s="301">
        <v>8</v>
      </c>
      <c r="AB38" s="301">
        <v>8</v>
      </c>
      <c r="AC38" s="301">
        <v>8</v>
      </c>
      <c r="AD38" s="301">
        <v>8</v>
      </c>
      <c r="AE38" s="122" t="s">
        <v>9</v>
      </c>
      <c r="AF38" s="122" t="s">
        <v>9</v>
      </c>
      <c r="AG38" s="301">
        <v>8</v>
      </c>
      <c r="AH38" s="301">
        <v>8</v>
      </c>
      <c r="AI38" s="301">
        <v>8</v>
      </c>
      <c r="AJ38" s="301">
        <v>8</v>
      </c>
      <c r="AK38" s="301">
        <v>8</v>
      </c>
      <c r="AL38" s="301">
        <v>8</v>
      </c>
      <c r="AM38" s="324" t="s">
        <v>9</v>
      </c>
      <c r="AN38" s="315">
        <f t="shared" ref="AN38" si="53">COUNT(I38:AM38)</f>
        <v>26</v>
      </c>
      <c r="AO38" s="244">
        <f t="shared" ref="AO38" si="54">SUM(I38:AM38)</f>
        <v>208</v>
      </c>
      <c r="AP38" s="181">
        <f t="shared" si="29"/>
        <v>0</v>
      </c>
      <c r="AQ38" s="63">
        <f t="shared" si="30"/>
        <v>5</v>
      </c>
      <c r="AR38" s="63">
        <f t="shared" si="31"/>
        <v>0</v>
      </c>
      <c r="AS38" s="63">
        <f t="shared" si="32"/>
        <v>0</v>
      </c>
      <c r="AT38" s="63">
        <f t="shared" si="33"/>
        <v>0</v>
      </c>
      <c r="AU38" s="63">
        <f t="shared" si="34"/>
        <v>5</v>
      </c>
      <c r="AV38" s="221">
        <f t="shared" si="43"/>
        <v>5</v>
      </c>
      <c r="AW38" s="221">
        <f t="shared" si="44"/>
        <v>0</v>
      </c>
      <c r="AX38" s="221">
        <f t="shared" si="45"/>
        <v>0</v>
      </c>
      <c r="AY38" s="221">
        <f t="shared" si="46"/>
        <v>0</v>
      </c>
      <c r="AZ38" s="221">
        <f t="shared" si="47"/>
        <v>0</v>
      </c>
      <c r="BA38" s="221">
        <f t="shared" si="48"/>
        <v>0</v>
      </c>
      <c r="BB38" s="221">
        <f t="shared" si="49"/>
        <v>0</v>
      </c>
      <c r="BC38" s="77"/>
    </row>
    <row r="39" spans="1:55" s="90" customFormat="1" ht="29.25" customHeight="1">
      <c r="B39" s="274" t="s">
        <v>347</v>
      </c>
      <c r="C39" s="317" t="s">
        <v>351</v>
      </c>
      <c r="D39" s="338" t="s">
        <v>352</v>
      </c>
      <c r="E39" s="242" t="s">
        <v>40</v>
      </c>
      <c r="F39" s="288"/>
      <c r="G39" s="243"/>
      <c r="H39" s="241" t="s">
        <v>373</v>
      </c>
      <c r="I39" s="300">
        <v>8</v>
      </c>
      <c r="J39" s="301">
        <v>8</v>
      </c>
      <c r="K39" s="122" t="s">
        <v>9</v>
      </c>
      <c r="L39" s="301">
        <v>8</v>
      </c>
      <c r="M39" s="301">
        <v>8</v>
      </c>
      <c r="N39" s="301">
        <v>8</v>
      </c>
      <c r="O39" s="301">
        <v>8</v>
      </c>
      <c r="P39" s="301">
        <v>8</v>
      </c>
      <c r="Q39" s="301">
        <v>8</v>
      </c>
      <c r="R39" s="301">
        <v>8</v>
      </c>
      <c r="S39" s="301">
        <v>8</v>
      </c>
      <c r="T39" s="122" t="s">
        <v>9</v>
      </c>
      <c r="U39" s="301">
        <v>8</v>
      </c>
      <c r="V39" s="301">
        <v>8</v>
      </c>
      <c r="W39" s="301">
        <v>8</v>
      </c>
      <c r="X39" s="301">
        <v>8</v>
      </c>
      <c r="Y39" s="301">
        <v>8</v>
      </c>
      <c r="Z39" s="301">
        <v>8</v>
      </c>
      <c r="AA39" s="301">
        <v>8</v>
      </c>
      <c r="AB39" s="122" t="s">
        <v>9</v>
      </c>
      <c r="AC39" s="301">
        <v>8</v>
      </c>
      <c r="AD39" s="301">
        <v>8</v>
      </c>
      <c r="AE39" s="301">
        <v>8</v>
      </c>
      <c r="AF39" s="301">
        <v>8</v>
      </c>
      <c r="AG39" s="301">
        <v>8</v>
      </c>
      <c r="AH39" s="301">
        <v>8</v>
      </c>
      <c r="AI39" s="122" t="s">
        <v>9</v>
      </c>
      <c r="AJ39" s="122" t="s">
        <v>9</v>
      </c>
      <c r="AK39" s="301">
        <v>8</v>
      </c>
      <c r="AL39" s="301">
        <v>8</v>
      </c>
      <c r="AM39" s="302">
        <v>8</v>
      </c>
      <c r="AN39" s="315">
        <f t="shared" ref="AN39" si="55">COUNT(I39:AM39)</f>
        <v>26</v>
      </c>
      <c r="AO39" s="244">
        <f t="shared" ref="AO39" si="56">SUM(I39:AM39)</f>
        <v>208</v>
      </c>
      <c r="AP39" s="181">
        <f t="shared" si="29"/>
        <v>0</v>
      </c>
      <c r="AQ39" s="63">
        <f t="shared" si="30"/>
        <v>5</v>
      </c>
      <c r="AR39" s="63">
        <f t="shared" si="31"/>
        <v>0</v>
      </c>
      <c r="AS39" s="63">
        <f t="shared" si="32"/>
        <v>0</v>
      </c>
      <c r="AT39" s="63">
        <f t="shared" si="33"/>
        <v>0</v>
      </c>
      <c r="AU39" s="63">
        <f t="shared" si="34"/>
        <v>5</v>
      </c>
      <c r="AV39" s="221">
        <f t="shared" si="43"/>
        <v>5</v>
      </c>
      <c r="AW39" s="221">
        <f t="shared" si="44"/>
        <v>0</v>
      </c>
      <c r="AX39" s="221">
        <f t="shared" si="45"/>
        <v>0</v>
      </c>
      <c r="AY39" s="221">
        <f t="shared" si="46"/>
        <v>0</v>
      </c>
      <c r="AZ39" s="221">
        <f t="shared" si="47"/>
        <v>0</v>
      </c>
      <c r="BA39" s="221">
        <f t="shared" si="48"/>
        <v>0</v>
      </c>
      <c r="BB39" s="221">
        <f t="shared" si="49"/>
        <v>0</v>
      </c>
      <c r="BC39" s="77"/>
    </row>
    <row r="40" spans="1:55" s="90" customFormat="1" ht="29.25" customHeight="1">
      <c r="A40" s="316" t="s">
        <v>285</v>
      </c>
      <c r="B40" s="274" t="s">
        <v>350</v>
      </c>
      <c r="C40" s="248" t="s">
        <v>354</v>
      </c>
      <c r="D40" s="245" t="s">
        <v>355</v>
      </c>
      <c r="E40" s="318" t="s">
        <v>40</v>
      </c>
      <c r="F40" s="319"/>
      <c r="G40" s="320"/>
      <c r="H40" s="322" t="s">
        <v>373</v>
      </c>
      <c r="I40" s="300">
        <v>8</v>
      </c>
      <c r="J40" s="301">
        <v>8</v>
      </c>
      <c r="K40" s="301">
        <v>8</v>
      </c>
      <c r="L40" s="301">
        <v>8</v>
      </c>
      <c r="M40" s="301">
        <v>8</v>
      </c>
      <c r="N40" s="122" t="s">
        <v>9</v>
      </c>
      <c r="O40" s="122" t="s">
        <v>9</v>
      </c>
      <c r="P40" s="301">
        <v>8</v>
      </c>
      <c r="Q40" s="301">
        <v>8</v>
      </c>
      <c r="R40" s="301">
        <v>8</v>
      </c>
      <c r="S40" s="301">
        <v>8</v>
      </c>
      <c r="T40" s="301">
        <v>8</v>
      </c>
      <c r="U40" s="122" t="s">
        <v>9</v>
      </c>
      <c r="V40" s="301">
        <v>8</v>
      </c>
      <c r="W40" s="301">
        <v>8</v>
      </c>
      <c r="X40" s="301">
        <v>8</v>
      </c>
      <c r="Y40" s="301">
        <v>8</v>
      </c>
      <c r="Z40" s="301">
        <v>8</v>
      </c>
      <c r="AA40" s="301">
        <v>8</v>
      </c>
      <c r="AB40" s="301">
        <v>8</v>
      </c>
      <c r="AC40" s="122" t="s">
        <v>9</v>
      </c>
      <c r="AD40" s="301">
        <v>8</v>
      </c>
      <c r="AE40" s="301">
        <v>8</v>
      </c>
      <c r="AF40" s="301">
        <v>8</v>
      </c>
      <c r="AG40" s="301">
        <v>8</v>
      </c>
      <c r="AH40" s="301">
        <v>8</v>
      </c>
      <c r="AI40" s="301">
        <v>8</v>
      </c>
      <c r="AJ40" s="301">
        <v>8</v>
      </c>
      <c r="AK40" s="122" t="s">
        <v>9</v>
      </c>
      <c r="AL40" s="301">
        <v>8</v>
      </c>
      <c r="AM40" s="302">
        <v>8</v>
      </c>
      <c r="AN40" s="315">
        <f t="shared" ref="AN40" si="57">COUNT(I40:AM40)</f>
        <v>26</v>
      </c>
      <c r="AO40" s="244">
        <f t="shared" ref="AO40" si="58">SUM(I40:AM40)</f>
        <v>208</v>
      </c>
      <c r="AP40" s="181">
        <f t="shared" si="29"/>
        <v>0</v>
      </c>
      <c r="AQ40" s="63">
        <f t="shared" si="30"/>
        <v>5</v>
      </c>
      <c r="AR40" s="63">
        <f t="shared" si="31"/>
        <v>0</v>
      </c>
      <c r="AS40" s="63">
        <f t="shared" si="32"/>
        <v>0</v>
      </c>
      <c r="AT40" s="63">
        <f t="shared" si="33"/>
        <v>0</v>
      </c>
      <c r="AU40" s="63">
        <f t="shared" si="34"/>
        <v>5</v>
      </c>
      <c r="AV40" s="221">
        <f t="shared" si="43"/>
        <v>5</v>
      </c>
      <c r="AW40" s="221">
        <f t="shared" si="44"/>
        <v>0</v>
      </c>
      <c r="AX40" s="221">
        <f t="shared" si="45"/>
        <v>0</v>
      </c>
      <c r="AY40" s="221">
        <f t="shared" si="46"/>
        <v>0</v>
      </c>
      <c r="AZ40" s="221">
        <f t="shared" si="47"/>
        <v>0</v>
      </c>
      <c r="BA40" s="221">
        <f t="shared" si="48"/>
        <v>0</v>
      </c>
      <c r="BB40" s="221">
        <f t="shared" si="49"/>
        <v>0</v>
      </c>
      <c r="BC40" s="77"/>
    </row>
    <row r="41" spans="1:55" s="90" customFormat="1" ht="29.25" customHeight="1">
      <c r="B41" s="274" t="s">
        <v>353</v>
      </c>
      <c r="C41" s="248" t="s">
        <v>359</v>
      </c>
      <c r="D41" s="245" t="s">
        <v>386</v>
      </c>
      <c r="E41" s="242" t="s">
        <v>40</v>
      </c>
      <c r="F41" s="288"/>
      <c r="G41" s="243"/>
      <c r="H41" s="241" t="s">
        <v>373</v>
      </c>
      <c r="I41" s="300">
        <v>8</v>
      </c>
      <c r="J41" s="301">
        <v>8</v>
      </c>
      <c r="K41" s="301">
        <v>8</v>
      </c>
      <c r="L41" s="301">
        <v>8</v>
      </c>
      <c r="M41" s="122" t="s">
        <v>9</v>
      </c>
      <c r="N41" s="301">
        <v>8</v>
      </c>
      <c r="O41" s="301">
        <v>8</v>
      </c>
      <c r="P41" s="301">
        <v>8</v>
      </c>
      <c r="Q41" s="301">
        <v>8</v>
      </c>
      <c r="R41" s="301">
        <v>8</v>
      </c>
      <c r="S41" s="301">
        <v>8</v>
      </c>
      <c r="T41" s="301">
        <v>8</v>
      </c>
      <c r="U41" s="122" t="s">
        <v>9</v>
      </c>
      <c r="V41" s="301">
        <v>8</v>
      </c>
      <c r="W41" s="301">
        <v>8</v>
      </c>
      <c r="X41" s="301">
        <v>8</v>
      </c>
      <c r="Y41" s="301">
        <v>8</v>
      </c>
      <c r="Z41" s="301">
        <v>8</v>
      </c>
      <c r="AA41" s="301">
        <v>8</v>
      </c>
      <c r="AB41" s="301">
        <v>8</v>
      </c>
      <c r="AC41" s="301">
        <v>8</v>
      </c>
      <c r="AD41" s="301">
        <v>8</v>
      </c>
      <c r="AE41" s="301">
        <v>8</v>
      </c>
      <c r="AF41" s="122" t="s">
        <v>9</v>
      </c>
      <c r="AG41" s="122" t="s">
        <v>9</v>
      </c>
      <c r="AH41" s="301">
        <v>8</v>
      </c>
      <c r="AI41" s="301">
        <v>8</v>
      </c>
      <c r="AJ41" s="301">
        <v>8</v>
      </c>
      <c r="AK41" s="301">
        <v>8</v>
      </c>
      <c r="AL41" s="301">
        <v>8</v>
      </c>
      <c r="AM41" s="324" t="s">
        <v>9</v>
      </c>
      <c r="AN41" s="315">
        <f>COUNT(I41:AM41)</f>
        <v>26</v>
      </c>
      <c r="AO41" s="244">
        <f>SUM(I41:AM41)</f>
        <v>208</v>
      </c>
      <c r="AP41" s="181">
        <f t="shared" ref="AP41" si="59">COUNTIFS($I41:$AM41,$AP$6)</f>
        <v>0</v>
      </c>
      <c r="AQ41" s="63">
        <f t="shared" ref="AQ41" si="60">COUNTIFS($I41:$AM41,$AQ$6)</f>
        <v>5</v>
      </c>
      <c r="AR41" s="63">
        <f t="shared" ref="AR41" si="61">COUNTIFS($I41:$AM41,$AR$6)</f>
        <v>0</v>
      </c>
      <c r="AS41" s="63">
        <f t="shared" ref="AS41" si="62">COUNTIFS($I41:$AM41,$AS$6)</f>
        <v>0</v>
      </c>
      <c r="AT41" s="63">
        <f t="shared" ref="AT41" si="63">COUNTIFS($I41:$AM41,$AT$6)</f>
        <v>0</v>
      </c>
      <c r="AU41" s="63">
        <f t="shared" si="34"/>
        <v>5</v>
      </c>
      <c r="AV41" s="221">
        <f t="shared" ref="AV41" si="64">COUNTIF(I41:AM41,"RD")</f>
        <v>5</v>
      </c>
      <c r="AW41" s="221">
        <f t="shared" ref="AW41" si="65">AU41-AV41</f>
        <v>0</v>
      </c>
      <c r="AX41" s="221">
        <f t="shared" ref="AX41" si="66">COUNTIF(I41:AM41,"SH")</f>
        <v>0</v>
      </c>
      <c r="AY41" s="221">
        <f t="shared" ref="AY41" si="67">COUNTIF(I41:AM41,"SL")</f>
        <v>0</v>
      </c>
      <c r="AZ41" s="221">
        <f t="shared" ref="AZ41" si="68">COUNTIF(I41:AM41,"np")</f>
        <v>0</v>
      </c>
      <c r="BA41" s="221">
        <f t="shared" ref="BA41" si="69">COUNTIF(I41:AM41,"AL*")</f>
        <v>0</v>
      </c>
      <c r="BB41" s="221">
        <f t="shared" ref="BB41" si="70">COUNTIF(I41:AM41,"NC*")</f>
        <v>0</v>
      </c>
      <c r="BC41" s="77"/>
    </row>
    <row r="42" spans="1:55" s="90" customFormat="1" ht="29.25" customHeight="1">
      <c r="B42" s="274" t="s">
        <v>356</v>
      </c>
      <c r="C42" s="248" t="s">
        <v>361</v>
      </c>
      <c r="D42" s="245" t="s">
        <v>362</v>
      </c>
      <c r="E42" s="242" t="s">
        <v>40</v>
      </c>
      <c r="F42" s="288"/>
      <c r="G42" s="243"/>
      <c r="H42" s="241" t="s">
        <v>373</v>
      </c>
      <c r="I42" s="300">
        <v>8</v>
      </c>
      <c r="J42" s="301">
        <v>8</v>
      </c>
      <c r="K42" s="301">
        <v>8</v>
      </c>
      <c r="L42" s="122" t="s">
        <v>9</v>
      </c>
      <c r="M42" s="301">
        <v>8</v>
      </c>
      <c r="N42" s="301">
        <v>8</v>
      </c>
      <c r="O42" s="301">
        <v>8</v>
      </c>
      <c r="P42" s="301">
        <v>8</v>
      </c>
      <c r="Q42" s="301">
        <v>8</v>
      </c>
      <c r="R42" s="301">
        <v>8</v>
      </c>
      <c r="S42" s="301">
        <v>8</v>
      </c>
      <c r="T42" s="301">
        <v>8</v>
      </c>
      <c r="U42" s="122" t="s">
        <v>9</v>
      </c>
      <c r="V42" s="301">
        <v>8</v>
      </c>
      <c r="W42" s="301">
        <v>8</v>
      </c>
      <c r="X42" s="301">
        <v>8</v>
      </c>
      <c r="Y42" s="122" t="s">
        <v>9</v>
      </c>
      <c r="Z42" s="301">
        <v>8</v>
      </c>
      <c r="AA42" s="301">
        <v>8</v>
      </c>
      <c r="AB42" s="301">
        <v>8</v>
      </c>
      <c r="AC42" s="301">
        <v>8</v>
      </c>
      <c r="AD42" s="301">
        <v>8</v>
      </c>
      <c r="AE42" s="122" t="s">
        <v>9</v>
      </c>
      <c r="AF42" s="301">
        <v>8</v>
      </c>
      <c r="AG42" s="301">
        <v>8</v>
      </c>
      <c r="AH42" s="301">
        <v>8</v>
      </c>
      <c r="AI42" s="301">
        <v>8</v>
      </c>
      <c r="AJ42" s="301">
        <v>8</v>
      </c>
      <c r="AK42" s="301">
        <v>8</v>
      </c>
      <c r="AL42" s="301">
        <v>8</v>
      </c>
      <c r="AM42" s="324" t="s">
        <v>9</v>
      </c>
      <c r="AN42" s="315">
        <f>COUNT(I42:AM42)</f>
        <v>26</v>
      </c>
      <c r="AO42" s="244">
        <f>SUM(I42:AM42)</f>
        <v>208</v>
      </c>
      <c r="AP42" s="181">
        <f>COUNTIFS($I42:$AM42,$AP$6)</f>
        <v>0</v>
      </c>
      <c r="AQ42" s="63">
        <f>COUNTIFS($I42:$AM42,$AQ$6)</f>
        <v>5</v>
      </c>
      <c r="AR42" s="63">
        <f>COUNTIFS($I42:$AM42,$AR$6)</f>
        <v>0</v>
      </c>
      <c r="AS42" s="63">
        <f>COUNTIFS($I42:$AM42,$AS$6)</f>
        <v>0</v>
      </c>
      <c r="AT42" s="63">
        <f>COUNTIFS($I42:$AM42,$AT$6)</f>
        <v>0</v>
      </c>
      <c r="AU42" s="63">
        <f t="shared" si="34"/>
        <v>5</v>
      </c>
      <c r="AV42" s="221">
        <f>COUNTIF(I42:AM42,"RD")</f>
        <v>5</v>
      </c>
      <c r="AW42" s="221">
        <f>AU42-AV42</f>
        <v>0</v>
      </c>
      <c r="AX42" s="221">
        <f>COUNTIF(I42:AM42,"SH")</f>
        <v>0</v>
      </c>
      <c r="AY42" s="221">
        <f>COUNTIF(I42:AM42,"SL")</f>
        <v>0</v>
      </c>
      <c r="AZ42" s="221">
        <f>COUNTIF(I42:AM42,"np")</f>
        <v>0</v>
      </c>
      <c r="BA42" s="221">
        <f>COUNTIF(I42:AM42,"AL*")</f>
        <v>0</v>
      </c>
      <c r="BB42" s="221">
        <f>COUNTIF(I42:AM42,"NC*")</f>
        <v>0</v>
      </c>
      <c r="BC42" s="77"/>
    </row>
    <row r="43" spans="1:55" s="90" customFormat="1" ht="29.25" customHeight="1">
      <c r="B43" s="274" t="s">
        <v>357</v>
      </c>
      <c r="C43" s="248" t="s">
        <v>364</v>
      </c>
      <c r="D43" s="245" t="s">
        <v>365</v>
      </c>
      <c r="E43" s="242" t="s">
        <v>40</v>
      </c>
      <c r="F43" s="288"/>
      <c r="G43" s="243"/>
      <c r="H43" s="241" t="s">
        <v>373</v>
      </c>
      <c r="I43" s="123" t="s">
        <v>9</v>
      </c>
      <c r="J43" s="301">
        <v>8</v>
      </c>
      <c r="K43" s="301">
        <v>8</v>
      </c>
      <c r="L43" s="301">
        <v>8</v>
      </c>
      <c r="M43" s="301">
        <v>8</v>
      </c>
      <c r="N43" s="301">
        <v>8</v>
      </c>
      <c r="O43" s="301">
        <v>8</v>
      </c>
      <c r="P43" s="301">
        <v>8</v>
      </c>
      <c r="Q43" s="301">
        <v>8</v>
      </c>
      <c r="R43" s="122" t="s">
        <v>9</v>
      </c>
      <c r="S43" s="122" t="s">
        <v>9</v>
      </c>
      <c r="T43" s="301">
        <v>8</v>
      </c>
      <c r="U43" s="301">
        <v>8</v>
      </c>
      <c r="V43" s="301">
        <v>8</v>
      </c>
      <c r="W43" s="301">
        <v>8</v>
      </c>
      <c r="X43" s="301">
        <v>8</v>
      </c>
      <c r="Y43" s="301">
        <v>8</v>
      </c>
      <c r="Z43" s="301">
        <v>8</v>
      </c>
      <c r="AA43" s="301">
        <v>8</v>
      </c>
      <c r="AB43" s="301">
        <v>8</v>
      </c>
      <c r="AC43" s="122" t="s">
        <v>9</v>
      </c>
      <c r="AD43" s="301">
        <v>8</v>
      </c>
      <c r="AE43" s="301">
        <v>8</v>
      </c>
      <c r="AF43" s="301">
        <v>8</v>
      </c>
      <c r="AG43" s="301">
        <v>8</v>
      </c>
      <c r="AH43" s="301">
        <v>8</v>
      </c>
      <c r="AI43" s="301">
        <v>8</v>
      </c>
      <c r="AJ43" s="301">
        <v>8</v>
      </c>
      <c r="AK43" s="122" t="s">
        <v>9</v>
      </c>
      <c r="AL43" s="301">
        <v>8</v>
      </c>
      <c r="AM43" s="302">
        <v>8</v>
      </c>
      <c r="AN43" s="315">
        <f>COUNT(I43:AM43)</f>
        <v>26</v>
      </c>
      <c r="AO43" s="244">
        <f>SUM(I43:AM43)</f>
        <v>208</v>
      </c>
      <c r="AP43" s="181">
        <f>COUNTIFS($I43:$AM43,$AP$6)</f>
        <v>0</v>
      </c>
      <c r="AQ43" s="63">
        <f>COUNTIFS($I43:$AM43,$AQ$6)</f>
        <v>5</v>
      </c>
      <c r="AR43" s="63">
        <f>COUNTIFS($I43:$AM43,$AR$6)</f>
        <v>0</v>
      </c>
      <c r="AS43" s="63">
        <f>COUNTIFS($I43:$AM43,$AS$6)</f>
        <v>0</v>
      </c>
      <c r="AT43" s="63">
        <f>COUNTIFS($I43:$AM43,$AT$6)</f>
        <v>0</v>
      </c>
      <c r="AU43" s="63">
        <f t="shared" si="34"/>
        <v>5</v>
      </c>
      <c r="AV43" s="221">
        <f>COUNTIF(I43:AM43,"RD")</f>
        <v>5</v>
      </c>
      <c r="AW43" s="221">
        <f>AU43-AV43</f>
        <v>0</v>
      </c>
      <c r="AX43" s="221">
        <f>COUNTIF(I43:AM43,"SH")</f>
        <v>0</v>
      </c>
      <c r="AY43" s="221">
        <f>COUNTIF(I43:AM43,"SL")</f>
        <v>0</v>
      </c>
      <c r="AZ43" s="221">
        <f>COUNTIF(I43:AM43,"np")</f>
        <v>0</v>
      </c>
      <c r="BA43" s="221">
        <f>COUNTIF(I43:AM43,"AL*")</f>
        <v>0</v>
      </c>
      <c r="BB43" s="221">
        <f>COUNTIF(I43:AM43,"NC*")</f>
        <v>0</v>
      </c>
      <c r="BC43" s="77"/>
    </row>
    <row r="44" spans="1:55" s="90" customFormat="1" ht="29.25" customHeight="1">
      <c r="B44" s="274" t="s">
        <v>358</v>
      </c>
      <c r="C44" s="248" t="s">
        <v>367</v>
      </c>
      <c r="D44" s="245" t="s">
        <v>368</v>
      </c>
      <c r="E44" s="242" t="s">
        <v>40</v>
      </c>
      <c r="F44" s="288"/>
      <c r="G44" s="243"/>
      <c r="H44" s="241" t="s">
        <v>373</v>
      </c>
      <c r="I44" s="300">
        <v>8</v>
      </c>
      <c r="J44" s="301">
        <v>8</v>
      </c>
      <c r="K44" s="301">
        <v>8</v>
      </c>
      <c r="L44" s="301">
        <v>8</v>
      </c>
      <c r="M44" s="301">
        <v>8</v>
      </c>
      <c r="N44" s="122" t="s">
        <v>9</v>
      </c>
      <c r="O44" s="122" t="s">
        <v>9</v>
      </c>
      <c r="P44" s="122" t="s">
        <v>9</v>
      </c>
      <c r="Q44" s="122" t="s">
        <v>9</v>
      </c>
      <c r="R44" s="301">
        <v>8</v>
      </c>
      <c r="S44" s="301">
        <v>8</v>
      </c>
      <c r="T44" s="301">
        <v>8</v>
      </c>
      <c r="U44" s="301">
        <v>8</v>
      </c>
      <c r="V44" s="301">
        <v>8</v>
      </c>
      <c r="W44" s="301">
        <v>8</v>
      </c>
      <c r="X44" s="301">
        <v>8</v>
      </c>
      <c r="Y44" s="301">
        <v>8</v>
      </c>
      <c r="Z44" s="301">
        <v>8</v>
      </c>
      <c r="AA44" s="301">
        <v>8</v>
      </c>
      <c r="AB44" s="301">
        <v>8</v>
      </c>
      <c r="AC44" s="122" t="s">
        <v>9</v>
      </c>
      <c r="AD44" s="301">
        <v>8</v>
      </c>
      <c r="AE44" s="301">
        <v>8</v>
      </c>
      <c r="AF44" s="301">
        <v>8</v>
      </c>
      <c r="AG44" s="301">
        <v>8</v>
      </c>
      <c r="AH44" s="301">
        <v>8</v>
      </c>
      <c r="AI44" s="301">
        <v>8</v>
      </c>
      <c r="AJ44" s="301">
        <v>8</v>
      </c>
      <c r="AK44" s="301">
        <v>8</v>
      </c>
      <c r="AL44" s="301">
        <v>8</v>
      </c>
      <c r="AM44" s="302">
        <v>8</v>
      </c>
      <c r="AN44" s="315">
        <f>COUNT(I44:AM44)</f>
        <v>26</v>
      </c>
      <c r="AO44" s="244">
        <f>SUM(I44:AM44)</f>
        <v>208</v>
      </c>
      <c r="AP44" s="181">
        <f>COUNTIFS($I44:$AM44,$AP$6)</f>
        <v>0</v>
      </c>
      <c r="AQ44" s="63">
        <f>COUNTIFS($I44:$AM44,$AQ$6)</f>
        <v>5</v>
      </c>
      <c r="AR44" s="63">
        <f>COUNTIFS($I44:$AM44,$AR$6)</f>
        <v>0</v>
      </c>
      <c r="AS44" s="63">
        <f>COUNTIFS($I44:$AM44,$AS$6)</f>
        <v>0</v>
      </c>
      <c r="AT44" s="63">
        <f>COUNTIFS($I44:$AM44,$AT$6)</f>
        <v>0</v>
      </c>
      <c r="AU44" s="63">
        <f t="shared" si="34"/>
        <v>5</v>
      </c>
      <c r="AV44" s="221">
        <f>COUNTIF(I44:AM44,"RD")</f>
        <v>5</v>
      </c>
      <c r="AW44" s="221">
        <f>AU44-AV44</f>
        <v>0</v>
      </c>
      <c r="AX44" s="221">
        <f>COUNTIF(I44:AM44,"SH")</f>
        <v>0</v>
      </c>
      <c r="AY44" s="221">
        <f>COUNTIF(I44:AM44,"SL")</f>
        <v>0</v>
      </c>
      <c r="AZ44" s="221">
        <f>COUNTIF(I44:AM44,"np")</f>
        <v>0</v>
      </c>
      <c r="BA44" s="221">
        <f>COUNTIF(I44:AM44,"AL*")</f>
        <v>0</v>
      </c>
      <c r="BB44" s="221">
        <f>COUNTIF(I44:AM44,"NC*")</f>
        <v>0</v>
      </c>
      <c r="BC44" s="77"/>
    </row>
    <row r="45" spans="1:55" s="90" customFormat="1" ht="29.25" customHeight="1">
      <c r="A45" s="316" t="s">
        <v>285</v>
      </c>
      <c r="B45" s="274" t="s">
        <v>360</v>
      </c>
      <c r="C45" s="248" t="s">
        <v>370</v>
      </c>
      <c r="D45" s="245" t="s">
        <v>371</v>
      </c>
      <c r="E45" s="242" t="s">
        <v>40</v>
      </c>
      <c r="F45" s="288"/>
      <c r="G45" s="243"/>
      <c r="H45" s="241" t="s">
        <v>373</v>
      </c>
      <c r="I45" s="300">
        <v>8</v>
      </c>
      <c r="J45" s="301">
        <v>8</v>
      </c>
      <c r="K45" s="301">
        <v>8</v>
      </c>
      <c r="L45" s="301">
        <v>8</v>
      </c>
      <c r="M45" s="301">
        <v>8</v>
      </c>
      <c r="N45" s="122" t="s">
        <v>9</v>
      </c>
      <c r="O45" s="301">
        <v>8</v>
      </c>
      <c r="P45" s="301">
        <v>8</v>
      </c>
      <c r="Q45" s="301">
        <v>8</v>
      </c>
      <c r="R45" s="301">
        <v>8</v>
      </c>
      <c r="S45" s="301">
        <v>8</v>
      </c>
      <c r="T45" s="301">
        <v>8</v>
      </c>
      <c r="U45" s="122" t="s">
        <v>9</v>
      </c>
      <c r="V45" s="122" t="s">
        <v>9</v>
      </c>
      <c r="W45" s="301">
        <v>8</v>
      </c>
      <c r="X45" s="301">
        <v>8</v>
      </c>
      <c r="Y45" s="301">
        <v>8</v>
      </c>
      <c r="Z45" s="301">
        <v>8</v>
      </c>
      <c r="AA45" s="301">
        <v>8</v>
      </c>
      <c r="AB45" s="301">
        <v>8</v>
      </c>
      <c r="AC45" s="301">
        <v>8</v>
      </c>
      <c r="AD45" s="122" t="s">
        <v>9</v>
      </c>
      <c r="AE45" s="301">
        <v>8</v>
      </c>
      <c r="AF45" s="301">
        <v>8</v>
      </c>
      <c r="AG45" s="301">
        <v>8</v>
      </c>
      <c r="AH45" s="301">
        <v>8</v>
      </c>
      <c r="AI45" s="301">
        <v>8</v>
      </c>
      <c r="AJ45" s="301">
        <v>8</v>
      </c>
      <c r="AK45" s="301">
        <v>8</v>
      </c>
      <c r="AL45" s="122" t="s">
        <v>9</v>
      </c>
      <c r="AM45" s="302">
        <v>8</v>
      </c>
      <c r="AN45" s="315">
        <f t="shared" ref="AN45" si="71">COUNT(I45:AM45)</f>
        <v>26</v>
      </c>
      <c r="AO45" s="244">
        <f t="shared" ref="AO45" si="72">SUM(I45:AM45)</f>
        <v>208</v>
      </c>
      <c r="AP45" s="181">
        <f>COUNTIFS($I45:$AM45,$AP$6)</f>
        <v>0</v>
      </c>
      <c r="AQ45" s="63">
        <f>COUNTIFS($I45:$AM45,$AQ$6)</f>
        <v>5</v>
      </c>
      <c r="AR45" s="63">
        <f>COUNTIFS($I45:$AM45,$AR$6)</f>
        <v>0</v>
      </c>
      <c r="AS45" s="63">
        <f>COUNTIFS($I45:$AM45,$AS$6)</f>
        <v>0</v>
      </c>
      <c r="AT45" s="63">
        <f>COUNTIFS($I45:$AM45,$AT$6)</f>
        <v>0</v>
      </c>
      <c r="AU45" s="63">
        <f t="shared" si="34"/>
        <v>5</v>
      </c>
      <c r="AV45" s="221">
        <f>COUNTIF(I45:AM45,"RD")</f>
        <v>5</v>
      </c>
      <c r="AW45" s="221">
        <f>AU45-AV45</f>
        <v>0</v>
      </c>
      <c r="AX45" s="221">
        <f>COUNTIF(I45:AM45,"SH")</f>
        <v>0</v>
      </c>
      <c r="AY45" s="221">
        <f>COUNTIF(I45:AM45,"SL")</f>
        <v>0</v>
      </c>
      <c r="AZ45" s="221">
        <f>COUNTIF(I45:AM45,"np")</f>
        <v>0</v>
      </c>
      <c r="BA45" s="221">
        <f>COUNTIF(I45:AM45,"AL*")</f>
        <v>0</v>
      </c>
      <c r="BB45" s="221">
        <f>COUNTIF(I45:AM45,"NC*")</f>
        <v>0</v>
      </c>
      <c r="BC45" s="77"/>
    </row>
    <row r="46" spans="1:55" s="90" customFormat="1" ht="29.25" customHeight="1">
      <c r="A46" s="316" t="s">
        <v>285</v>
      </c>
      <c r="B46" s="274" t="s">
        <v>363</v>
      </c>
      <c r="C46" s="248" t="s">
        <v>408</v>
      </c>
      <c r="D46" s="245" t="s">
        <v>409</v>
      </c>
      <c r="E46" s="242" t="s">
        <v>40</v>
      </c>
      <c r="F46" s="288"/>
      <c r="G46" s="243"/>
      <c r="H46" s="241" t="s">
        <v>373</v>
      </c>
      <c r="I46" s="300">
        <v>8</v>
      </c>
      <c r="J46" s="301">
        <v>8</v>
      </c>
      <c r="K46" s="301">
        <v>8</v>
      </c>
      <c r="L46" s="122" t="s">
        <v>9</v>
      </c>
      <c r="M46" s="301">
        <v>8</v>
      </c>
      <c r="N46" s="301">
        <v>8</v>
      </c>
      <c r="O46" s="301">
        <v>8</v>
      </c>
      <c r="P46" s="301">
        <v>8</v>
      </c>
      <c r="Q46" s="301">
        <v>8</v>
      </c>
      <c r="R46" s="301">
        <v>8</v>
      </c>
      <c r="S46" s="122" t="s">
        <v>9</v>
      </c>
      <c r="T46" s="122" t="s">
        <v>9</v>
      </c>
      <c r="U46" s="301">
        <v>8</v>
      </c>
      <c r="V46" s="301">
        <v>8</v>
      </c>
      <c r="W46" s="301">
        <v>8</v>
      </c>
      <c r="X46" s="301">
        <v>8</v>
      </c>
      <c r="Y46" s="301">
        <v>8</v>
      </c>
      <c r="Z46" s="301">
        <v>8</v>
      </c>
      <c r="AA46" s="301">
        <v>8</v>
      </c>
      <c r="AB46" s="122" t="s">
        <v>9</v>
      </c>
      <c r="AC46" s="301">
        <v>8</v>
      </c>
      <c r="AD46" s="301">
        <v>8</v>
      </c>
      <c r="AE46" s="301">
        <v>8</v>
      </c>
      <c r="AF46" s="301">
        <v>8</v>
      </c>
      <c r="AG46" s="301">
        <v>8</v>
      </c>
      <c r="AH46" s="301">
        <v>8</v>
      </c>
      <c r="AI46" s="301">
        <v>8</v>
      </c>
      <c r="AJ46" s="122" t="s">
        <v>9</v>
      </c>
      <c r="AK46" s="301">
        <v>8</v>
      </c>
      <c r="AL46" s="301">
        <v>8</v>
      </c>
      <c r="AM46" s="302">
        <v>8</v>
      </c>
      <c r="AN46" s="315">
        <f t="shared" ref="AN46" si="73">COUNT(I46:AM46)</f>
        <v>26</v>
      </c>
      <c r="AO46" s="244">
        <f t="shared" ref="AO46" si="74">SUM(I46:AM46)</f>
        <v>208</v>
      </c>
      <c r="AP46" s="181">
        <f>COUNTIFS($I46:$AM46,$AP$6)</f>
        <v>0</v>
      </c>
      <c r="AQ46" s="63">
        <f>COUNTIFS($I46:$AM46,$AQ$6)</f>
        <v>5</v>
      </c>
      <c r="AR46" s="63">
        <f>COUNTIFS($I46:$AM46,$AR$6)</f>
        <v>0</v>
      </c>
      <c r="AS46" s="63">
        <f>COUNTIFS($I46:$AM46,$AS$6)</f>
        <v>0</v>
      </c>
      <c r="AT46" s="63">
        <f>COUNTIFS($I46:$AM46,$AT$6)</f>
        <v>0</v>
      </c>
      <c r="AU46" s="63">
        <f t="shared" si="34"/>
        <v>5</v>
      </c>
      <c r="AV46" s="221">
        <f t="shared" ref="AV46" si="75">COUNTIF(I46:AM46,"RD")</f>
        <v>5</v>
      </c>
      <c r="AW46" s="221">
        <f>AU46-AV46</f>
        <v>0</v>
      </c>
      <c r="AX46" s="221">
        <f>COUNTIF(I46:AM46,"SH")</f>
        <v>0</v>
      </c>
      <c r="AY46" s="221">
        <f>COUNTIF(I46:AM46,"SL")</f>
        <v>0</v>
      </c>
      <c r="AZ46" s="221">
        <f>COUNTIF(I46:AM46,"np")</f>
        <v>0</v>
      </c>
      <c r="BA46" s="221">
        <f>COUNTIF(I46:AM46,"AL*")</f>
        <v>0</v>
      </c>
      <c r="BB46" s="221">
        <f>COUNTIF(I46:AM46,"NC*")</f>
        <v>0</v>
      </c>
      <c r="BC46" s="77"/>
    </row>
    <row r="47" spans="1:55" s="90" customFormat="1" ht="29.25" customHeight="1">
      <c r="B47" s="274" t="s">
        <v>366</v>
      </c>
      <c r="C47" s="248" t="s">
        <v>411</v>
      </c>
      <c r="D47" s="245" t="s">
        <v>410</v>
      </c>
      <c r="E47" s="242" t="s">
        <v>40</v>
      </c>
      <c r="F47" s="288"/>
      <c r="G47" s="243"/>
      <c r="H47" s="241" t="s">
        <v>373</v>
      </c>
      <c r="I47" s="300">
        <v>8</v>
      </c>
      <c r="J47" s="122" t="s">
        <v>9</v>
      </c>
      <c r="K47" s="122" t="s">
        <v>9</v>
      </c>
      <c r="L47" s="301">
        <v>8</v>
      </c>
      <c r="M47" s="301">
        <v>8</v>
      </c>
      <c r="N47" s="301">
        <v>8</v>
      </c>
      <c r="O47" s="301">
        <v>8</v>
      </c>
      <c r="P47" s="301">
        <v>8</v>
      </c>
      <c r="Q47" s="301">
        <v>8</v>
      </c>
      <c r="R47" s="301">
        <v>8</v>
      </c>
      <c r="S47" s="301">
        <v>8</v>
      </c>
      <c r="T47" s="122" t="s">
        <v>9</v>
      </c>
      <c r="U47" s="301">
        <v>8</v>
      </c>
      <c r="V47" s="301">
        <v>8</v>
      </c>
      <c r="W47" s="301">
        <v>8</v>
      </c>
      <c r="X47" s="301">
        <v>8</v>
      </c>
      <c r="Y47" s="301">
        <v>8</v>
      </c>
      <c r="Z47" s="301">
        <v>8</v>
      </c>
      <c r="AA47" s="301">
        <v>8</v>
      </c>
      <c r="AB47" s="301">
        <v>8</v>
      </c>
      <c r="AC47" s="122" t="s">
        <v>9</v>
      </c>
      <c r="AD47" s="301">
        <v>8</v>
      </c>
      <c r="AE47" s="301">
        <v>8</v>
      </c>
      <c r="AF47" s="301">
        <v>8</v>
      </c>
      <c r="AG47" s="301">
        <v>8</v>
      </c>
      <c r="AH47" s="301">
        <v>8</v>
      </c>
      <c r="AI47" s="301">
        <v>8</v>
      </c>
      <c r="AJ47" s="301">
        <v>8</v>
      </c>
      <c r="AK47" s="122" t="s">
        <v>9</v>
      </c>
      <c r="AL47" s="301">
        <v>8</v>
      </c>
      <c r="AM47" s="302">
        <v>8</v>
      </c>
      <c r="AN47" s="315">
        <f>COUNT(I47:AM47)</f>
        <v>26</v>
      </c>
      <c r="AO47" s="244">
        <f>SUM(I47:AM47)</f>
        <v>208</v>
      </c>
      <c r="AP47" s="181">
        <f t="shared" ref="AP47" si="76">COUNTIFS($I47:$AM47,$AP$6)</f>
        <v>0</v>
      </c>
      <c r="AQ47" s="63">
        <f t="shared" ref="AQ47" si="77">COUNTIFS($I47:$AM47,$AQ$6)</f>
        <v>5</v>
      </c>
      <c r="AR47" s="63">
        <f t="shared" ref="AR47" si="78">COUNTIFS($I47:$AM47,$AR$6)</f>
        <v>0</v>
      </c>
      <c r="AS47" s="63">
        <f t="shared" ref="AS47" si="79">COUNTIFS($I47:$AM47,$AS$6)</f>
        <v>0</v>
      </c>
      <c r="AT47" s="63">
        <f t="shared" ref="AT47" si="80">COUNTIFS($I47:$AM47,$AT$6)</f>
        <v>0</v>
      </c>
      <c r="AU47" s="63">
        <f t="shared" si="34"/>
        <v>5</v>
      </c>
      <c r="AV47" s="221">
        <f>COUNTIF(I47:AM47,"RD")</f>
        <v>5</v>
      </c>
      <c r="AW47" s="221">
        <f t="shared" ref="AW47" si="81">AU47-AV47</f>
        <v>0</v>
      </c>
      <c r="AX47" s="221">
        <f t="shared" ref="AX47" si="82">COUNTIF(I47:AM47,"SH")</f>
        <v>0</v>
      </c>
      <c r="AY47" s="221">
        <f t="shared" ref="AY47" si="83">COUNTIF(I47:AM47,"SL")</f>
        <v>0</v>
      </c>
      <c r="AZ47" s="221">
        <f t="shared" ref="AZ47" si="84">COUNTIF(I47:AM47,"np")</f>
        <v>0</v>
      </c>
      <c r="BA47" s="221">
        <f t="shared" ref="BA47" si="85">COUNTIF(I47:AM47,"AL*")</f>
        <v>0</v>
      </c>
      <c r="BB47" s="221">
        <f t="shared" ref="BB47" si="86">COUNTIF(I47:AM47,"NC*")</f>
        <v>0</v>
      </c>
      <c r="BC47" s="77"/>
    </row>
    <row r="48" spans="1:55" s="90" customFormat="1" ht="29.25" customHeight="1" thickBot="1">
      <c r="B48" s="278" t="s">
        <v>369</v>
      </c>
      <c r="C48" s="277" t="s">
        <v>412</v>
      </c>
      <c r="D48" s="279" t="s">
        <v>413</v>
      </c>
      <c r="E48" s="296" t="s">
        <v>40</v>
      </c>
      <c r="F48" s="304"/>
      <c r="G48" s="305"/>
      <c r="H48" s="287" t="s">
        <v>373</v>
      </c>
      <c r="I48" s="306">
        <v>8</v>
      </c>
      <c r="J48" s="298">
        <v>8</v>
      </c>
      <c r="K48" s="298">
        <v>8</v>
      </c>
      <c r="L48" s="298">
        <v>8</v>
      </c>
      <c r="M48" s="298">
        <v>8</v>
      </c>
      <c r="N48" s="298">
        <v>8</v>
      </c>
      <c r="O48" s="298">
        <v>8</v>
      </c>
      <c r="P48" s="60" t="s">
        <v>9</v>
      </c>
      <c r="Q48" s="298">
        <v>8</v>
      </c>
      <c r="R48" s="298">
        <v>8</v>
      </c>
      <c r="S48" s="298">
        <v>8</v>
      </c>
      <c r="T48" s="298">
        <v>8</v>
      </c>
      <c r="U48" s="298">
        <v>8</v>
      </c>
      <c r="V48" s="60" t="s">
        <v>9</v>
      </c>
      <c r="W48" s="60" t="s">
        <v>9</v>
      </c>
      <c r="X48" s="298">
        <v>8</v>
      </c>
      <c r="Y48" s="298">
        <v>8</v>
      </c>
      <c r="Z48" s="298">
        <v>8</v>
      </c>
      <c r="AA48" s="298">
        <v>8</v>
      </c>
      <c r="AB48" s="60" t="s">
        <v>9</v>
      </c>
      <c r="AC48" s="298">
        <v>8</v>
      </c>
      <c r="AD48" s="298">
        <v>8</v>
      </c>
      <c r="AE48" s="298">
        <v>8</v>
      </c>
      <c r="AF48" s="298">
        <v>8</v>
      </c>
      <c r="AG48" s="298">
        <v>8</v>
      </c>
      <c r="AH48" s="298">
        <v>8</v>
      </c>
      <c r="AI48" s="298">
        <v>8</v>
      </c>
      <c r="AJ48" s="60" t="s">
        <v>9</v>
      </c>
      <c r="AK48" s="298">
        <v>8</v>
      </c>
      <c r="AL48" s="298">
        <v>8</v>
      </c>
      <c r="AM48" s="237">
        <v>8</v>
      </c>
      <c r="AN48" s="419">
        <f>COUNT(I48:AM48)</f>
        <v>26</v>
      </c>
      <c r="AO48" s="335">
        <f>SUM(I48:AM48)</f>
        <v>208</v>
      </c>
      <c r="AP48" s="215">
        <f>COUNTIFS($I48:$AM48,$AP$6)</f>
        <v>0</v>
      </c>
      <c r="AQ48" s="137">
        <f>COUNTIFS($I48:$AM48,$AQ$6)</f>
        <v>5</v>
      </c>
      <c r="AR48" s="137">
        <f>COUNTIFS($I48:$AM48,$AR$6)</f>
        <v>0</v>
      </c>
      <c r="AS48" s="137">
        <f>COUNTIFS($I48:$AM48,$AS$6)</f>
        <v>0</v>
      </c>
      <c r="AT48" s="137">
        <f>COUNTIFS($I48:$AM48,$AT$6)</f>
        <v>0</v>
      </c>
      <c r="AU48" s="137">
        <f t="shared" si="34"/>
        <v>5</v>
      </c>
      <c r="AV48" s="72">
        <f>COUNTIF(I48:AM48,"RD")</f>
        <v>5</v>
      </c>
      <c r="AW48" s="72">
        <f>AU48-AV48</f>
        <v>0</v>
      </c>
      <c r="AX48" s="72">
        <f>COUNTIF(I48:AM48,"SH")</f>
        <v>0</v>
      </c>
      <c r="AY48" s="72">
        <f>COUNTIF(I48:AM48,"SL")</f>
        <v>0</v>
      </c>
      <c r="AZ48" s="72">
        <f>COUNTIF(I48:AM48,"np")</f>
        <v>0</v>
      </c>
      <c r="BA48" s="72">
        <f>COUNTIF(I48:AM48,"AL*")</f>
        <v>0</v>
      </c>
      <c r="BB48" s="72">
        <f>COUNTIF(I48:AM48,"NC*")</f>
        <v>0</v>
      </c>
      <c r="BC48" s="347"/>
    </row>
    <row r="49" spans="2:55" ht="21.95" customHeight="1" thickBot="1">
      <c r="B49" s="477" t="s">
        <v>377</v>
      </c>
      <c r="C49" s="477"/>
      <c r="D49" s="478" t="s">
        <v>158</v>
      </c>
      <c r="E49" s="478"/>
      <c r="F49" s="478"/>
      <c r="G49" s="478"/>
      <c r="H49" s="478"/>
      <c r="I49" s="40">
        <f>COUNTIF(I20:I48,"8")</f>
        <v>23</v>
      </c>
      <c r="J49" s="40">
        <f t="shared" ref="J49:AM49" si="87">COUNTIF(J20:J48,"8")</f>
        <v>23</v>
      </c>
      <c r="K49" s="40">
        <f t="shared" si="87"/>
        <v>23</v>
      </c>
      <c r="L49" s="40">
        <f t="shared" si="87"/>
        <v>23</v>
      </c>
      <c r="M49" s="40">
        <f t="shared" si="87"/>
        <v>23</v>
      </c>
      <c r="N49" s="40">
        <f t="shared" si="87"/>
        <v>23</v>
      </c>
      <c r="O49" s="40">
        <f t="shared" si="87"/>
        <v>23</v>
      </c>
      <c r="P49" s="40">
        <f t="shared" si="87"/>
        <v>23</v>
      </c>
      <c r="Q49" s="40">
        <f t="shared" si="87"/>
        <v>23</v>
      </c>
      <c r="R49" s="40">
        <f t="shared" si="87"/>
        <v>23</v>
      </c>
      <c r="S49" s="40">
        <f t="shared" si="87"/>
        <v>23</v>
      </c>
      <c r="T49" s="40">
        <f t="shared" si="87"/>
        <v>23</v>
      </c>
      <c r="U49" s="40">
        <f t="shared" si="87"/>
        <v>23</v>
      </c>
      <c r="V49" s="40">
        <f t="shared" si="87"/>
        <v>23</v>
      </c>
      <c r="W49" s="40">
        <f t="shared" si="87"/>
        <v>23</v>
      </c>
      <c r="X49" s="40">
        <f t="shared" si="87"/>
        <v>23</v>
      </c>
      <c r="Y49" s="40">
        <f t="shared" si="87"/>
        <v>23</v>
      </c>
      <c r="Z49" s="40">
        <f t="shared" si="87"/>
        <v>23</v>
      </c>
      <c r="AA49" s="40">
        <f t="shared" si="87"/>
        <v>23</v>
      </c>
      <c r="AB49" s="40">
        <f t="shared" si="87"/>
        <v>23</v>
      </c>
      <c r="AC49" s="40">
        <f t="shared" si="87"/>
        <v>23</v>
      </c>
      <c r="AD49" s="40">
        <f t="shared" si="87"/>
        <v>23</v>
      </c>
      <c r="AE49" s="40">
        <f t="shared" si="87"/>
        <v>23</v>
      </c>
      <c r="AF49" s="40">
        <f t="shared" si="87"/>
        <v>23</v>
      </c>
      <c r="AG49" s="40">
        <f t="shared" si="87"/>
        <v>23</v>
      </c>
      <c r="AH49" s="40">
        <f t="shared" si="87"/>
        <v>23</v>
      </c>
      <c r="AI49" s="40">
        <f>COUNTIF(AI20:AI48,"8")</f>
        <v>23</v>
      </c>
      <c r="AJ49" s="40">
        <f t="shared" si="87"/>
        <v>23</v>
      </c>
      <c r="AK49" s="40">
        <f t="shared" si="87"/>
        <v>23</v>
      </c>
      <c r="AL49" s="40">
        <f t="shared" si="87"/>
        <v>23</v>
      </c>
      <c r="AM49" s="40">
        <f t="shared" si="87"/>
        <v>23</v>
      </c>
      <c r="AN49" s="418">
        <f>SUM(AN20:AN48)</f>
        <v>713</v>
      </c>
      <c r="AO49" s="20">
        <f>SUM(AO20:AO48)</f>
        <v>5704</v>
      </c>
      <c r="AP49" s="40"/>
      <c r="AQ49" s="40"/>
      <c r="AR49" s="40"/>
      <c r="AS49" s="40"/>
      <c r="AT49" s="40"/>
      <c r="AU49" s="68"/>
      <c r="AV49" s="69"/>
      <c r="AW49" s="69"/>
      <c r="AX49" s="69"/>
      <c r="AY49" s="69"/>
      <c r="AZ49" s="69"/>
      <c r="BA49" s="69"/>
      <c r="BB49" s="69"/>
      <c r="BC49" s="78"/>
    </row>
    <row r="50" spans="2:55" ht="21.95" customHeight="1" thickBot="1">
      <c r="B50" s="492"/>
      <c r="C50" s="492"/>
      <c r="D50" s="49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4"/>
      <c r="AO50" s="4"/>
      <c r="AP50" s="4"/>
      <c r="AQ50" s="4"/>
      <c r="AR50" s="4"/>
    </row>
    <row r="51" spans="2:55" ht="21.95" customHeight="1" thickBot="1">
      <c r="B51" s="492"/>
      <c r="C51" s="492"/>
      <c r="D51" s="492"/>
      <c r="AN51" s="371" t="s">
        <v>45</v>
      </c>
      <c r="AO51" s="372" t="s">
        <v>46</v>
      </c>
    </row>
    <row r="52" spans="2:55" ht="21.95" customHeight="1">
      <c r="B52" s="471" t="s">
        <v>159</v>
      </c>
      <c r="C52" s="472"/>
      <c r="D52" s="473"/>
      <c r="E52" s="8"/>
      <c r="F52" s="8"/>
      <c r="G52" s="9"/>
      <c r="H52" s="10" t="s">
        <v>2</v>
      </c>
      <c r="I52" s="33">
        <f>I15</f>
        <v>2</v>
      </c>
      <c r="J52" s="34">
        <f t="shared" ref="J52:AM52" si="88">J15</f>
        <v>2</v>
      </c>
      <c r="K52" s="34">
        <f t="shared" si="88"/>
        <v>2</v>
      </c>
      <c r="L52" s="34">
        <f t="shared" si="88"/>
        <v>2</v>
      </c>
      <c r="M52" s="34">
        <f t="shared" si="88"/>
        <v>2</v>
      </c>
      <c r="N52" s="34">
        <f t="shared" si="88"/>
        <v>2</v>
      </c>
      <c r="O52" s="34">
        <f t="shared" si="88"/>
        <v>2</v>
      </c>
      <c r="P52" s="34">
        <f t="shared" si="88"/>
        <v>2</v>
      </c>
      <c r="Q52" s="34">
        <f t="shared" si="88"/>
        <v>2</v>
      </c>
      <c r="R52" s="34">
        <f t="shared" si="88"/>
        <v>2</v>
      </c>
      <c r="S52" s="34">
        <f t="shared" si="88"/>
        <v>2</v>
      </c>
      <c r="T52" s="34">
        <f t="shared" si="88"/>
        <v>2</v>
      </c>
      <c r="U52" s="34">
        <f t="shared" si="88"/>
        <v>2</v>
      </c>
      <c r="V52" s="34">
        <f t="shared" si="88"/>
        <v>2</v>
      </c>
      <c r="W52" s="34">
        <f t="shared" si="88"/>
        <v>2</v>
      </c>
      <c r="X52" s="34">
        <f t="shared" si="88"/>
        <v>2</v>
      </c>
      <c r="Y52" s="34">
        <f t="shared" si="88"/>
        <v>2</v>
      </c>
      <c r="Z52" s="34">
        <f t="shared" si="88"/>
        <v>2</v>
      </c>
      <c r="AA52" s="34">
        <f t="shared" si="88"/>
        <v>2</v>
      </c>
      <c r="AB52" s="34">
        <f t="shared" si="88"/>
        <v>2</v>
      </c>
      <c r="AC52" s="34">
        <f t="shared" si="88"/>
        <v>2</v>
      </c>
      <c r="AD52" s="34">
        <f t="shared" si="88"/>
        <v>2</v>
      </c>
      <c r="AE52" s="34">
        <f t="shared" si="88"/>
        <v>2</v>
      </c>
      <c r="AF52" s="34">
        <f t="shared" si="88"/>
        <v>2</v>
      </c>
      <c r="AG52" s="34">
        <f t="shared" si="88"/>
        <v>2</v>
      </c>
      <c r="AH52" s="34">
        <f t="shared" si="88"/>
        <v>2</v>
      </c>
      <c r="AI52" s="34">
        <f t="shared" si="88"/>
        <v>2</v>
      </c>
      <c r="AJ52" s="34">
        <f t="shared" si="88"/>
        <v>2</v>
      </c>
      <c r="AK52" s="34">
        <f t="shared" si="88"/>
        <v>2</v>
      </c>
      <c r="AL52" s="34">
        <f t="shared" si="88"/>
        <v>2</v>
      </c>
      <c r="AM52" s="110">
        <f t="shared" si="88"/>
        <v>2</v>
      </c>
      <c r="AN52" s="50">
        <f t="shared" ref="AN52" si="89">SUM(I52:AM52)</f>
        <v>62</v>
      </c>
      <c r="AO52" s="50">
        <f t="shared" ref="AO52:AO56" si="90">AN52*8</f>
        <v>496</v>
      </c>
    </row>
    <row r="53" spans="2:55" ht="21.95" customHeight="1">
      <c r="B53" s="474" t="s">
        <v>160</v>
      </c>
      <c r="C53" s="475"/>
      <c r="D53" s="476"/>
      <c r="E53" s="12"/>
      <c r="F53" s="12"/>
      <c r="G53" s="13"/>
      <c r="H53" s="14"/>
      <c r="I53" s="35">
        <v>2</v>
      </c>
      <c r="J53" s="36">
        <v>2</v>
      </c>
      <c r="K53" s="36">
        <v>2</v>
      </c>
      <c r="L53" s="36">
        <v>2</v>
      </c>
      <c r="M53" s="36">
        <v>2</v>
      </c>
      <c r="N53" s="36">
        <v>2</v>
      </c>
      <c r="O53" s="36">
        <v>2</v>
      </c>
      <c r="P53" s="36">
        <v>2</v>
      </c>
      <c r="Q53" s="36">
        <v>2</v>
      </c>
      <c r="R53" s="36">
        <v>2</v>
      </c>
      <c r="S53" s="36">
        <v>2</v>
      </c>
      <c r="T53" s="36">
        <v>2</v>
      </c>
      <c r="U53" s="36">
        <v>2</v>
      </c>
      <c r="V53" s="36">
        <v>2</v>
      </c>
      <c r="W53" s="36">
        <v>2</v>
      </c>
      <c r="X53" s="36">
        <v>2</v>
      </c>
      <c r="Y53" s="36">
        <v>2</v>
      </c>
      <c r="Z53" s="36">
        <v>2</v>
      </c>
      <c r="AA53" s="36">
        <v>2</v>
      </c>
      <c r="AB53" s="36">
        <v>2</v>
      </c>
      <c r="AC53" s="36">
        <v>2</v>
      </c>
      <c r="AD53" s="36">
        <v>2</v>
      </c>
      <c r="AE53" s="36">
        <v>2</v>
      </c>
      <c r="AF53" s="36">
        <v>2</v>
      </c>
      <c r="AG53" s="36">
        <v>2</v>
      </c>
      <c r="AH53" s="36">
        <v>2</v>
      </c>
      <c r="AI53" s="36">
        <v>2</v>
      </c>
      <c r="AJ53" s="36">
        <v>2</v>
      </c>
      <c r="AK53" s="36">
        <v>2</v>
      </c>
      <c r="AL53" s="36">
        <v>2</v>
      </c>
      <c r="AM53" s="111">
        <v>2</v>
      </c>
      <c r="AN53" s="51">
        <f t="shared" ref="AN53:AN57" si="91">SUM(I53:AM53)</f>
        <v>62</v>
      </c>
      <c r="AO53" s="51">
        <f t="shared" si="90"/>
        <v>496</v>
      </c>
    </row>
    <row r="54" spans="2:55" ht="21.95" customHeight="1" thickBot="1">
      <c r="B54" s="468" t="s">
        <v>161</v>
      </c>
      <c r="C54" s="469"/>
      <c r="D54" s="470"/>
      <c r="E54" s="16"/>
      <c r="F54" s="16"/>
      <c r="G54" s="17"/>
      <c r="H54" s="18"/>
      <c r="I54" s="37">
        <f>IF((I52-I53)&lt;0,I52-I53,0)</f>
        <v>0</v>
      </c>
      <c r="J54" s="38">
        <f t="shared" ref="J54" si="92">IF((J52-J53)&lt;0,J52-J53,0)</f>
        <v>0</v>
      </c>
      <c r="K54" s="38">
        <f t="shared" ref="K54:U54" si="93">IF((K52-K53)&lt;0,K52-K53,0)</f>
        <v>0</v>
      </c>
      <c r="L54" s="38">
        <f t="shared" si="93"/>
        <v>0</v>
      </c>
      <c r="M54" s="38">
        <f t="shared" si="93"/>
        <v>0</v>
      </c>
      <c r="N54" s="38">
        <f t="shared" si="93"/>
        <v>0</v>
      </c>
      <c r="O54" s="38">
        <f t="shared" si="93"/>
        <v>0</v>
      </c>
      <c r="P54" s="38">
        <f t="shared" si="93"/>
        <v>0</v>
      </c>
      <c r="Q54" s="38">
        <f t="shared" si="93"/>
        <v>0</v>
      </c>
      <c r="R54" s="38">
        <f t="shared" si="93"/>
        <v>0</v>
      </c>
      <c r="S54" s="38">
        <f t="shared" si="93"/>
        <v>0</v>
      </c>
      <c r="T54" s="38">
        <f t="shared" si="93"/>
        <v>0</v>
      </c>
      <c r="U54" s="38">
        <f t="shared" si="93"/>
        <v>0</v>
      </c>
      <c r="V54" s="38">
        <f t="shared" ref="V54" si="94">IF((V52-V53)&lt;0,V52-V53,0)</f>
        <v>0</v>
      </c>
      <c r="W54" s="38">
        <f t="shared" ref="W54" si="95">IF((W52-W53)&lt;0,W52-W53,0)</f>
        <v>0</v>
      </c>
      <c r="X54" s="38">
        <f t="shared" ref="X54" si="96">IF((X52-X53)&lt;0,X52-X53,0)</f>
        <v>0</v>
      </c>
      <c r="Y54" s="38">
        <f t="shared" ref="Y54" si="97">IF((Y52-Y53)&lt;0,Y52-Y53,0)</f>
        <v>0</v>
      </c>
      <c r="Z54" s="38">
        <f t="shared" ref="Z54" si="98">IF((Z52-Z53)&lt;0,Z52-Z53,0)</f>
        <v>0</v>
      </c>
      <c r="AA54" s="38">
        <f t="shared" ref="AA54" si="99">IF((AA52-AA53)&lt;0,AA52-AA53,0)</f>
        <v>0</v>
      </c>
      <c r="AB54" s="38">
        <f t="shared" ref="AB54" si="100">IF((AB52-AB53)&lt;0,AB52-AB53,0)</f>
        <v>0</v>
      </c>
      <c r="AC54" s="38">
        <f t="shared" ref="AC54" si="101">IF((AC52-AC53)&lt;0,AC52-AC53,0)</f>
        <v>0</v>
      </c>
      <c r="AD54" s="38">
        <f t="shared" ref="AD54" si="102">IF((AD52-AD53)&lt;0,AD52-AD53,0)</f>
        <v>0</v>
      </c>
      <c r="AE54" s="38">
        <f t="shared" ref="AE54" si="103">IF((AE52-AE53)&lt;0,AE52-AE53,0)</f>
        <v>0</v>
      </c>
      <c r="AF54" s="38">
        <f t="shared" ref="AF54" si="104">IF((AF52-AF53)&lt;0,AF52-AF53,0)</f>
        <v>0</v>
      </c>
      <c r="AG54" s="38">
        <f t="shared" ref="AG54" si="105">IF((AG52-AG53)&lt;0,AG52-AG53,0)</f>
        <v>0</v>
      </c>
      <c r="AH54" s="38">
        <f t="shared" ref="AH54" si="106">IF((AH52-AH53)&lt;0,AH52-AH53,0)</f>
        <v>0</v>
      </c>
      <c r="AI54" s="38">
        <f t="shared" ref="AI54" si="107">IF((AI52-AI53)&lt;0,AI52-AI53,0)</f>
        <v>0</v>
      </c>
      <c r="AJ54" s="38">
        <f t="shared" ref="AJ54" si="108">IF((AJ52-AJ53)&lt;0,AJ52-AJ53,0)</f>
        <v>0</v>
      </c>
      <c r="AK54" s="38">
        <f t="shared" ref="AK54" si="109">IF((AK52-AK53)&lt;0,AK52-AK53,0)</f>
        <v>0</v>
      </c>
      <c r="AL54" s="38">
        <f t="shared" ref="AL54" si="110">IF((AL52-AL53)&lt;0,AL52-AL53,0)</f>
        <v>0</v>
      </c>
      <c r="AM54" s="127">
        <f t="shared" ref="AM54" si="111">IF((AM52-AM53)&lt;0,AM52-AM53,0)</f>
        <v>0</v>
      </c>
      <c r="AN54" s="52">
        <f t="shared" si="91"/>
        <v>0</v>
      </c>
      <c r="AO54" s="52">
        <f t="shared" si="90"/>
        <v>0</v>
      </c>
    </row>
    <row r="55" spans="2:55" ht="21.95" customHeight="1">
      <c r="B55" s="471" t="s">
        <v>162</v>
      </c>
      <c r="C55" s="472"/>
      <c r="D55" s="473"/>
      <c r="E55" s="8"/>
      <c r="F55" s="8"/>
      <c r="G55" s="9"/>
      <c r="H55" s="10" t="s">
        <v>3</v>
      </c>
      <c r="I55" s="33">
        <f>I49-I52</f>
        <v>21</v>
      </c>
      <c r="J55" s="34">
        <f t="shared" ref="J55:AM55" si="112">J49-J52</f>
        <v>21</v>
      </c>
      <c r="K55" s="34">
        <f t="shared" si="112"/>
        <v>21</v>
      </c>
      <c r="L55" s="34">
        <f t="shared" si="112"/>
        <v>21</v>
      </c>
      <c r="M55" s="34">
        <f t="shared" si="112"/>
        <v>21</v>
      </c>
      <c r="N55" s="34">
        <f t="shared" si="112"/>
        <v>21</v>
      </c>
      <c r="O55" s="34">
        <f t="shared" si="112"/>
        <v>21</v>
      </c>
      <c r="P55" s="34">
        <f t="shared" si="112"/>
        <v>21</v>
      </c>
      <c r="Q55" s="34">
        <f t="shared" si="112"/>
        <v>21</v>
      </c>
      <c r="R55" s="34">
        <f t="shared" si="112"/>
        <v>21</v>
      </c>
      <c r="S55" s="34">
        <f t="shared" si="112"/>
        <v>21</v>
      </c>
      <c r="T55" s="34">
        <f t="shared" si="112"/>
        <v>21</v>
      </c>
      <c r="U55" s="34">
        <f t="shared" si="112"/>
        <v>21</v>
      </c>
      <c r="V55" s="34">
        <f t="shared" si="112"/>
        <v>21</v>
      </c>
      <c r="W55" s="34">
        <f t="shared" si="112"/>
        <v>21</v>
      </c>
      <c r="X55" s="34">
        <f t="shared" si="112"/>
        <v>21</v>
      </c>
      <c r="Y55" s="34">
        <f t="shared" si="112"/>
        <v>21</v>
      </c>
      <c r="Z55" s="34">
        <f t="shared" si="112"/>
        <v>21</v>
      </c>
      <c r="AA55" s="34">
        <f t="shared" si="112"/>
        <v>21</v>
      </c>
      <c r="AB55" s="34">
        <f t="shared" si="112"/>
        <v>21</v>
      </c>
      <c r="AC55" s="34">
        <f t="shared" si="112"/>
        <v>21</v>
      </c>
      <c r="AD55" s="34">
        <f t="shared" si="112"/>
        <v>21</v>
      </c>
      <c r="AE55" s="34">
        <f t="shared" si="112"/>
        <v>21</v>
      </c>
      <c r="AF55" s="34">
        <f t="shared" si="112"/>
        <v>21</v>
      </c>
      <c r="AG55" s="34">
        <f t="shared" si="112"/>
        <v>21</v>
      </c>
      <c r="AH55" s="34">
        <f t="shared" si="112"/>
        <v>21</v>
      </c>
      <c r="AI55" s="34">
        <f t="shared" si="112"/>
        <v>21</v>
      </c>
      <c r="AJ55" s="34">
        <f t="shared" si="112"/>
        <v>21</v>
      </c>
      <c r="AK55" s="34">
        <f t="shared" si="112"/>
        <v>21</v>
      </c>
      <c r="AL55" s="34">
        <f t="shared" si="112"/>
        <v>21</v>
      </c>
      <c r="AM55" s="110">
        <f t="shared" si="112"/>
        <v>21</v>
      </c>
      <c r="AN55" s="373">
        <f t="shared" si="91"/>
        <v>651</v>
      </c>
      <c r="AO55" s="50">
        <f t="shared" si="90"/>
        <v>5208</v>
      </c>
    </row>
    <row r="56" spans="2:55" ht="21.95" customHeight="1">
      <c r="B56" s="474" t="s">
        <v>163</v>
      </c>
      <c r="C56" s="475"/>
      <c r="D56" s="476"/>
      <c r="E56" s="12"/>
      <c r="F56" s="12"/>
      <c r="G56" s="13"/>
      <c r="H56" s="14"/>
      <c r="I56" s="35">
        <v>21</v>
      </c>
      <c r="J56" s="36">
        <v>21</v>
      </c>
      <c r="K56" s="36">
        <v>21</v>
      </c>
      <c r="L56" s="36">
        <v>21</v>
      </c>
      <c r="M56" s="36">
        <v>21</v>
      </c>
      <c r="N56" s="36">
        <v>21</v>
      </c>
      <c r="O56" s="36">
        <v>21</v>
      </c>
      <c r="P56" s="36">
        <v>21</v>
      </c>
      <c r="Q56" s="36">
        <v>21</v>
      </c>
      <c r="R56" s="36">
        <v>21</v>
      </c>
      <c r="S56" s="36">
        <v>21</v>
      </c>
      <c r="T56" s="36">
        <v>21</v>
      </c>
      <c r="U56" s="36">
        <v>21</v>
      </c>
      <c r="V56" s="36">
        <v>21</v>
      </c>
      <c r="W56" s="36">
        <v>21</v>
      </c>
      <c r="X56" s="36">
        <v>21</v>
      </c>
      <c r="Y56" s="36">
        <v>21</v>
      </c>
      <c r="Z56" s="36">
        <v>21</v>
      </c>
      <c r="AA56" s="36">
        <v>21</v>
      </c>
      <c r="AB56" s="36">
        <v>21</v>
      </c>
      <c r="AC56" s="36">
        <v>21</v>
      </c>
      <c r="AD56" s="36">
        <v>21</v>
      </c>
      <c r="AE56" s="36">
        <v>21</v>
      </c>
      <c r="AF56" s="36">
        <v>21</v>
      </c>
      <c r="AG56" s="36">
        <v>21</v>
      </c>
      <c r="AH56" s="36">
        <v>21</v>
      </c>
      <c r="AI56" s="36">
        <v>21</v>
      </c>
      <c r="AJ56" s="36">
        <v>21</v>
      </c>
      <c r="AK56" s="36">
        <v>21</v>
      </c>
      <c r="AL56" s="36">
        <v>21</v>
      </c>
      <c r="AM56" s="111">
        <v>21</v>
      </c>
      <c r="AN56" s="51">
        <f t="shared" si="91"/>
        <v>651</v>
      </c>
      <c r="AO56" s="51">
        <f t="shared" si="90"/>
        <v>5208</v>
      </c>
    </row>
    <row r="57" spans="2:55" ht="21.95" customHeight="1" thickBot="1">
      <c r="B57" s="486" t="s">
        <v>164</v>
      </c>
      <c r="C57" s="487"/>
      <c r="D57" s="488"/>
      <c r="E57" s="22"/>
      <c r="F57" s="22"/>
      <c r="G57" s="23"/>
      <c r="H57" s="24"/>
      <c r="I57" s="37">
        <f>IF((I55-I56)&lt;0,I55-I56,0)</f>
        <v>0</v>
      </c>
      <c r="J57" s="38">
        <f t="shared" ref="J57" si="113">IF((J55-J56)&lt;0,J55-J56,0)</f>
        <v>0</v>
      </c>
      <c r="K57" s="38">
        <f t="shared" ref="K57:AL57" si="114">IF((K55-K56)&lt;0,K55-K56,0)</f>
        <v>0</v>
      </c>
      <c r="L57" s="38">
        <f t="shared" si="114"/>
        <v>0</v>
      </c>
      <c r="M57" s="38">
        <f t="shared" si="114"/>
        <v>0</v>
      </c>
      <c r="N57" s="38">
        <f t="shared" si="114"/>
        <v>0</v>
      </c>
      <c r="O57" s="38">
        <f>IF((O55-O56)&lt;0,O55-O56,0)</f>
        <v>0</v>
      </c>
      <c r="P57" s="38">
        <f t="shared" si="114"/>
        <v>0</v>
      </c>
      <c r="Q57" s="38">
        <f t="shared" si="114"/>
        <v>0</v>
      </c>
      <c r="R57" s="38">
        <f t="shared" si="114"/>
        <v>0</v>
      </c>
      <c r="S57" s="38">
        <f t="shared" si="114"/>
        <v>0</v>
      </c>
      <c r="T57" s="38">
        <f t="shared" si="114"/>
        <v>0</v>
      </c>
      <c r="U57" s="38">
        <f t="shared" si="114"/>
        <v>0</v>
      </c>
      <c r="V57" s="38">
        <f t="shared" si="114"/>
        <v>0</v>
      </c>
      <c r="W57" s="38">
        <f t="shared" si="114"/>
        <v>0</v>
      </c>
      <c r="X57" s="38">
        <f t="shared" si="114"/>
        <v>0</v>
      </c>
      <c r="Y57" s="38">
        <f t="shared" si="114"/>
        <v>0</v>
      </c>
      <c r="Z57" s="38">
        <f t="shared" si="114"/>
        <v>0</v>
      </c>
      <c r="AA57" s="38">
        <f t="shared" si="114"/>
        <v>0</v>
      </c>
      <c r="AB57" s="38">
        <f t="shared" si="114"/>
        <v>0</v>
      </c>
      <c r="AC57" s="38">
        <f t="shared" si="114"/>
        <v>0</v>
      </c>
      <c r="AD57" s="38">
        <f t="shared" si="114"/>
        <v>0</v>
      </c>
      <c r="AE57" s="43">
        <f t="shared" si="114"/>
        <v>0</v>
      </c>
      <c r="AF57" s="38">
        <f t="shared" si="114"/>
        <v>0</v>
      </c>
      <c r="AG57" s="38">
        <f t="shared" si="114"/>
        <v>0</v>
      </c>
      <c r="AH57" s="38">
        <f t="shared" si="114"/>
        <v>0</v>
      </c>
      <c r="AI57" s="38">
        <f t="shared" si="114"/>
        <v>0</v>
      </c>
      <c r="AJ57" s="38">
        <f t="shared" si="114"/>
        <v>0</v>
      </c>
      <c r="AK57" s="38">
        <f t="shared" si="114"/>
        <v>0</v>
      </c>
      <c r="AL57" s="38">
        <f t="shared" si="114"/>
        <v>0</v>
      </c>
      <c r="AM57" s="127">
        <f t="shared" ref="AM57" si="115">IF((AM55-AM56)&lt;0,AM55-AM56,0)</f>
        <v>0</v>
      </c>
      <c r="AN57" s="52">
        <f t="shared" si="91"/>
        <v>0</v>
      </c>
      <c r="AO57" s="52">
        <f>AN57*8</f>
        <v>0</v>
      </c>
    </row>
    <row r="58" spans="2:55" ht="21.95" customHeight="1">
      <c r="B58" s="489" t="s">
        <v>165</v>
      </c>
      <c r="C58" s="490"/>
      <c r="D58" s="491"/>
      <c r="E58" s="25"/>
      <c r="F58" s="25"/>
      <c r="G58" s="26"/>
      <c r="H58" s="27"/>
      <c r="I58" s="33">
        <f>SUM(I15+I52+I55)</f>
        <v>25</v>
      </c>
      <c r="J58" s="34">
        <f t="shared" ref="J58:AM58" si="116">SUM(J15+J52+J55)</f>
        <v>25</v>
      </c>
      <c r="K58" s="34">
        <f t="shared" si="116"/>
        <v>25</v>
      </c>
      <c r="L58" s="34">
        <f t="shared" si="116"/>
        <v>25</v>
      </c>
      <c r="M58" s="34">
        <f t="shared" si="116"/>
        <v>25</v>
      </c>
      <c r="N58" s="34">
        <f t="shared" si="116"/>
        <v>25</v>
      </c>
      <c r="O58" s="34">
        <f t="shared" si="116"/>
        <v>25</v>
      </c>
      <c r="P58" s="34">
        <f t="shared" si="116"/>
        <v>25</v>
      </c>
      <c r="Q58" s="34">
        <f t="shared" si="116"/>
        <v>25</v>
      </c>
      <c r="R58" s="34">
        <f t="shared" si="116"/>
        <v>25</v>
      </c>
      <c r="S58" s="34">
        <f t="shared" si="116"/>
        <v>25</v>
      </c>
      <c r="T58" s="34">
        <f t="shared" si="116"/>
        <v>25</v>
      </c>
      <c r="U58" s="34">
        <f t="shared" si="116"/>
        <v>25</v>
      </c>
      <c r="V58" s="34">
        <f t="shared" si="116"/>
        <v>25</v>
      </c>
      <c r="W58" s="34">
        <f t="shared" si="116"/>
        <v>25</v>
      </c>
      <c r="X58" s="34">
        <f t="shared" si="116"/>
        <v>25</v>
      </c>
      <c r="Y58" s="34">
        <f t="shared" si="116"/>
        <v>25</v>
      </c>
      <c r="Z58" s="34">
        <f t="shared" si="116"/>
        <v>25</v>
      </c>
      <c r="AA58" s="34">
        <f t="shared" si="116"/>
        <v>25</v>
      </c>
      <c r="AB58" s="34">
        <f t="shared" si="116"/>
        <v>25</v>
      </c>
      <c r="AC58" s="34">
        <f t="shared" si="116"/>
        <v>25</v>
      </c>
      <c r="AD58" s="34">
        <f t="shared" si="116"/>
        <v>25</v>
      </c>
      <c r="AE58" s="34">
        <f t="shared" si="116"/>
        <v>25</v>
      </c>
      <c r="AF58" s="34">
        <f t="shared" si="116"/>
        <v>25</v>
      </c>
      <c r="AG58" s="34">
        <f t="shared" si="116"/>
        <v>25</v>
      </c>
      <c r="AH58" s="34">
        <f t="shared" si="116"/>
        <v>25</v>
      </c>
      <c r="AI58" s="34">
        <f t="shared" si="116"/>
        <v>25</v>
      </c>
      <c r="AJ58" s="34">
        <f t="shared" si="116"/>
        <v>25</v>
      </c>
      <c r="AK58" s="34">
        <f t="shared" si="116"/>
        <v>25</v>
      </c>
      <c r="AL58" s="34">
        <f t="shared" si="116"/>
        <v>25</v>
      </c>
      <c r="AM58" s="110">
        <f t="shared" si="116"/>
        <v>25</v>
      </c>
      <c r="AN58" s="50">
        <f>SUM(I58:AM58)</f>
        <v>775</v>
      </c>
      <c r="AO58" s="50">
        <f>AN58*8</f>
        <v>6200</v>
      </c>
    </row>
    <row r="59" spans="2:55" ht="21.95" customHeight="1">
      <c r="B59" s="474" t="s">
        <v>166</v>
      </c>
      <c r="C59" s="475"/>
      <c r="D59" s="476"/>
      <c r="E59" s="12"/>
      <c r="F59" s="12"/>
      <c r="G59" s="13"/>
      <c r="H59" s="14"/>
      <c r="I59" s="35">
        <f>SUM(I16+I53+I56)</f>
        <v>25</v>
      </c>
      <c r="J59" s="36">
        <f t="shared" ref="J59:AM59" si="117">SUM(J16+J53+J56)</f>
        <v>25</v>
      </c>
      <c r="K59" s="36">
        <f t="shared" si="117"/>
        <v>25</v>
      </c>
      <c r="L59" s="36">
        <f t="shared" si="117"/>
        <v>25</v>
      </c>
      <c r="M59" s="36">
        <f t="shared" si="117"/>
        <v>25</v>
      </c>
      <c r="N59" s="36">
        <f t="shared" si="117"/>
        <v>25</v>
      </c>
      <c r="O59" s="36">
        <f t="shared" si="117"/>
        <v>25</v>
      </c>
      <c r="P59" s="36">
        <f t="shared" si="117"/>
        <v>25</v>
      </c>
      <c r="Q59" s="36">
        <f t="shared" si="117"/>
        <v>25</v>
      </c>
      <c r="R59" s="36">
        <f t="shared" si="117"/>
        <v>25</v>
      </c>
      <c r="S59" s="36">
        <f t="shared" si="117"/>
        <v>25</v>
      </c>
      <c r="T59" s="36">
        <f t="shared" si="117"/>
        <v>25</v>
      </c>
      <c r="U59" s="36">
        <f t="shared" si="117"/>
        <v>25</v>
      </c>
      <c r="V59" s="36">
        <f t="shared" si="117"/>
        <v>25</v>
      </c>
      <c r="W59" s="36">
        <f t="shared" si="117"/>
        <v>25</v>
      </c>
      <c r="X59" s="36">
        <f t="shared" si="117"/>
        <v>25</v>
      </c>
      <c r="Y59" s="36">
        <f t="shared" si="117"/>
        <v>25</v>
      </c>
      <c r="Z59" s="36">
        <f t="shared" si="117"/>
        <v>25</v>
      </c>
      <c r="AA59" s="36">
        <f t="shared" si="117"/>
        <v>25</v>
      </c>
      <c r="AB59" s="36">
        <f t="shared" si="117"/>
        <v>25</v>
      </c>
      <c r="AC59" s="36">
        <f t="shared" si="117"/>
        <v>25</v>
      </c>
      <c r="AD59" s="36">
        <f t="shared" si="117"/>
        <v>25</v>
      </c>
      <c r="AE59" s="36">
        <f t="shared" si="117"/>
        <v>25</v>
      </c>
      <c r="AF59" s="36">
        <f t="shared" si="117"/>
        <v>25</v>
      </c>
      <c r="AG59" s="36">
        <f t="shared" si="117"/>
        <v>25</v>
      </c>
      <c r="AH59" s="36">
        <f t="shared" si="117"/>
        <v>25</v>
      </c>
      <c r="AI59" s="36">
        <f t="shared" si="117"/>
        <v>25</v>
      </c>
      <c r="AJ59" s="36">
        <f t="shared" si="117"/>
        <v>25</v>
      </c>
      <c r="AK59" s="36">
        <f t="shared" si="117"/>
        <v>25</v>
      </c>
      <c r="AL59" s="36">
        <f t="shared" si="117"/>
        <v>25</v>
      </c>
      <c r="AM59" s="111">
        <f t="shared" si="117"/>
        <v>25</v>
      </c>
      <c r="AN59" s="51">
        <f>SUM(I59:AM59)</f>
        <v>775</v>
      </c>
      <c r="AO59" s="51">
        <f>AN59*8</f>
        <v>6200</v>
      </c>
    </row>
    <row r="60" spans="2:55" s="2" customFormat="1" ht="21.95" customHeight="1" thickBot="1">
      <c r="B60" s="468" t="s">
        <v>167</v>
      </c>
      <c r="C60" s="469"/>
      <c r="D60" s="470"/>
      <c r="E60" s="21"/>
      <c r="F60" s="21"/>
      <c r="G60" s="28"/>
      <c r="H60" s="29"/>
      <c r="I60" s="37">
        <f>I58-I59</f>
        <v>0</v>
      </c>
      <c r="J60" s="38">
        <f t="shared" ref="J60:AM60" si="118">J58-J59</f>
        <v>0</v>
      </c>
      <c r="K60" s="38">
        <f t="shared" si="118"/>
        <v>0</v>
      </c>
      <c r="L60" s="38">
        <f t="shared" si="118"/>
        <v>0</v>
      </c>
      <c r="M60" s="38">
        <f t="shared" si="118"/>
        <v>0</v>
      </c>
      <c r="N60" s="38">
        <f t="shared" si="118"/>
        <v>0</v>
      </c>
      <c r="O60" s="38">
        <f>IF((O58-O59)&lt;0,O58-O59,0)</f>
        <v>0</v>
      </c>
      <c r="P60" s="38">
        <f t="shared" si="118"/>
        <v>0</v>
      </c>
      <c r="Q60" s="38">
        <f t="shared" si="118"/>
        <v>0</v>
      </c>
      <c r="R60" s="38">
        <f t="shared" si="118"/>
        <v>0</v>
      </c>
      <c r="S60" s="38">
        <f t="shared" si="118"/>
        <v>0</v>
      </c>
      <c r="T60" s="38">
        <f t="shared" si="118"/>
        <v>0</v>
      </c>
      <c r="U60" s="38">
        <f t="shared" si="118"/>
        <v>0</v>
      </c>
      <c r="V60" s="38">
        <f t="shared" si="118"/>
        <v>0</v>
      </c>
      <c r="W60" s="38">
        <f t="shared" si="118"/>
        <v>0</v>
      </c>
      <c r="X60" s="38">
        <f t="shared" si="118"/>
        <v>0</v>
      </c>
      <c r="Y60" s="38">
        <f t="shared" si="118"/>
        <v>0</v>
      </c>
      <c r="Z60" s="38">
        <f t="shared" si="118"/>
        <v>0</v>
      </c>
      <c r="AA60" s="38">
        <f t="shared" si="118"/>
        <v>0</v>
      </c>
      <c r="AB60" s="38">
        <f t="shared" si="118"/>
        <v>0</v>
      </c>
      <c r="AC60" s="38">
        <f t="shared" si="118"/>
        <v>0</v>
      </c>
      <c r="AD60" s="38">
        <f t="shared" si="118"/>
        <v>0</v>
      </c>
      <c r="AE60" s="38">
        <f t="shared" si="118"/>
        <v>0</v>
      </c>
      <c r="AF60" s="38">
        <f t="shared" si="118"/>
        <v>0</v>
      </c>
      <c r="AG60" s="38">
        <f t="shared" si="118"/>
        <v>0</v>
      </c>
      <c r="AH60" s="38">
        <f t="shared" si="118"/>
        <v>0</v>
      </c>
      <c r="AI60" s="38">
        <f t="shared" si="118"/>
        <v>0</v>
      </c>
      <c r="AJ60" s="38">
        <f t="shared" si="118"/>
        <v>0</v>
      </c>
      <c r="AK60" s="38">
        <f t="shared" si="118"/>
        <v>0</v>
      </c>
      <c r="AL60" s="38">
        <f t="shared" si="118"/>
        <v>0</v>
      </c>
      <c r="AM60" s="127">
        <f t="shared" si="118"/>
        <v>0</v>
      </c>
      <c r="AN60" s="52">
        <f>SUM(I60:AM60)</f>
        <v>0</v>
      </c>
      <c r="AO60" s="52">
        <f>AN60*8</f>
        <v>0</v>
      </c>
      <c r="AW60" s="79"/>
    </row>
    <row r="61" spans="2:55" ht="21.95" customHeight="1"/>
    <row r="62" spans="2:55" s="3" customFormat="1" ht="21.95" customHeight="1">
      <c r="C62" s="40"/>
      <c r="D62" s="115" t="s">
        <v>168</v>
      </c>
      <c r="E62" s="40"/>
      <c r="F62" s="40"/>
      <c r="G62" s="40"/>
      <c r="I62" s="3" t="s">
        <v>169</v>
      </c>
      <c r="J62" s="42"/>
      <c r="K62" s="42"/>
      <c r="L62" s="42"/>
      <c r="M62" s="42"/>
      <c r="N62" s="42"/>
      <c r="O62" s="42"/>
      <c r="P62" s="42"/>
      <c r="Q62" s="42"/>
      <c r="R62" s="67"/>
      <c r="S62" s="40"/>
      <c r="X62" s="40"/>
      <c r="Y62" s="40"/>
      <c r="Z62" s="40"/>
      <c r="AA62" s="434" t="s">
        <v>416</v>
      </c>
      <c r="AB62" s="434"/>
      <c r="AC62" s="44" t="s">
        <v>9</v>
      </c>
      <c r="AD62" s="364" t="s">
        <v>390</v>
      </c>
      <c r="AE62" s="45" t="s">
        <v>11</v>
      </c>
      <c r="AF62" s="46" t="s">
        <v>12</v>
      </c>
      <c r="AG62" s="119" t="s">
        <v>170</v>
      </c>
      <c r="AH62" s="129" t="s">
        <v>14</v>
      </c>
      <c r="AI62" s="431" t="s">
        <v>376</v>
      </c>
      <c r="AJ62" s="432"/>
      <c r="AK62" s="432"/>
      <c r="AL62" s="433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78"/>
      <c r="AX62" s="40"/>
      <c r="BC62" s="40"/>
    </row>
    <row r="63" spans="2:55" s="3" customFormat="1" ht="21.95" customHeight="1">
      <c r="C63" s="40"/>
      <c r="D63" s="40"/>
      <c r="E63" s="40"/>
      <c r="F63" s="40"/>
      <c r="G63" s="40"/>
      <c r="I63" s="3" t="s">
        <v>417</v>
      </c>
      <c r="O63" s="40"/>
      <c r="R63" s="85"/>
      <c r="AN63" s="40"/>
      <c r="AO63" s="40"/>
      <c r="AP63" s="40"/>
      <c r="AQ63" s="40"/>
      <c r="AR63" s="40"/>
      <c r="AS63" s="40"/>
      <c r="AT63" s="40"/>
      <c r="AU63" s="40"/>
      <c r="AV63" s="40"/>
      <c r="AW63" s="78"/>
      <c r="AX63" s="40"/>
      <c r="BC63" s="40"/>
    </row>
    <row r="64" spans="2:55" ht="21.95" customHeight="1">
      <c r="B64" s="80"/>
      <c r="C64" s="81"/>
      <c r="D64" s="40"/>
      <c r="E64" s="40"/>
      <c r="F64" s="40"/>
      <c r="G64" s="40"/>
      <c r="H64" s="3"/>
      <c r="I64" s="3"/>
      <c r="J64" s="3"/>
      <c r="K64" s="3"/>
      <c r="L64" s="3"/>
      <c r="M64" s="3"/>
      <c r="N64" s="3"/>
      <c r="O64" s="3"/>
      <c r="P64" s="3"/>
      <c r="Q64" s="3"/>
      <c r="R64" s="85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2:55" s="3" customFormat="1" ht="21.95" customHeight="1">
      <c r="B65" s="80"/>
      <c r="C65" s="502"/>
      <c r="D65" s="502"/>
      <c r="E65" s="40"/>
      <c r="F65" s="82"/>
      <c r="G65" s="83"/>
      <c r="AH65" s="84"/>
      <c r="AI65" s="85"/>
      <c r="AP65" s="40"/>
      <c r="AQ65" s="40"/>
      <c r="AR65" s="40"/>
      <c r="AS65" s="40"/>
      <c r="AT65" s="40"/>
      <c r="AU65" s="40"/>
      <c r="AV65" s="40"/>
      <c r="AW65" s="78"/>
      <c r="BC65" s="40"/>
    </row>
    <row r="66" spans="2:55" s="3" customFormat="1" ht="21.95" customHeight="1">
      <c r="C66" s="40"/>
      <c r="D66" s="40"/>
      <c r="E66" s="40"/>
      <c r="F66" s="82"/>
      <c r="G66" s="78"/>
      <c r="AP66" s="40"/>
      <c r="AQ66" s="40"/>
      <c r="AR66" s="40"/>
      <c r="AS66" s="40"/>
      <c r="AT66" s="40"/>
      <c r="AU66" s="40"/>
      <c r="AV66" s="40"/>
      <c r="AW66" s="78"/>
      <c r="BC66" s="40"/>
    </row>
    <row r="67" spans="2:55" s="3" customFormat="1" ht="21.95" customHeight="1">
      <c r="C67" s="40"/>
      <c r="E67" s="40"/>
      <c r="F67" s="40"/>
      <c r="G67" s="40"/>
      <c r="H67" s="40"/>
      <c r="I67" s="40"/>
      <c r="J67" s="40"/>
      <c r="AN67" s="40"/>
      <c r="AO67" s="40"/>
      <c r="AP67" s="40"/>
      <c r="AQ67" s="40"/>
      <c r="AR67" s="40"/>
      <c r="AS67" s="40"/>
      <c r="AT67" s="40"/>
      <c r="AU67" s="40"/>
      <c r="AV67" s="40"/>
      <c r="AW67" s="78"/>
      <c r="BC67" s="40"/>
    </row>
    <row r="68" spans="2:55" s="3" customFormat="1" ht="21.95" customHeight="1">
      <c r="C68" s="40"/>
      <c r="E68" s="40"/>
      <c r="F68" s="40"/>
      <c r="G68" s="40"/>
      <c r="H68" s="40"/>
      <c r="AN68" s="40"/>
      <c r="AO68" s="40"/>
      <c r="AP68" s="40"/>
      <c r="AQ68" s="40"/>
      <c r="AR68" s="40"/>
      <c r="AS68" s="40"/>
      <c r="AT68" s="40"/>
      <c r="AU68" s="40"/>
      <c r="AV68" s="40"/>
      <c r="AW68" s="78"/>
      <c r="BC68" s="40"/>
    </row>
    <row r="69" spans="2:55" ht="21.95" customHeight="1">
      <c r="D69" s="4"/>
      <c r="H69" s="2"/>
      <c r="I69" s="2"/>
      <c r="J69" s="2"/>
      <c r="AH69" s="84"/>
      <c r="AN69" s="4"/>
      <c r="AO69" s="4"/>
    </row>
    <row r="70" spans="2:55" ht="21.95" customHeight="1">
      <c r="AN70" s="4"/>
      <c r="AO70" s="4"/>
    </row>
    <row r="71" spans="2:55" ht="21.95" customHeight="1"/>
    <row r="72" spans="2:55" ht="21.95" customHeight="1"/>
    <row r="73" spans="2:55" ht="21.95" customHeight="1">
      <c r="AH73" s="84"/>
      <c r="AI73" s="86"/>
      <c r="AN73" s="4"/>
      <c r="AO73" s="4"/>
    </row>
    <row r="74" spans="2:55" ht="21.95" customHeight="1">
      <c r="T74" s="4" t="s">
        <v>54</v>
      </c>
    </row>
    <row r="75" spans="2:55" ht="21.95" customHeight="1"/>
    <row r="76" spans="2:55" ht="21.95" customHeight="1"/>
    <row r="77" spans="2:55" ht="21.95" customHeight="1"/>
    <row r="78" spans="2:55" ht="21.95" customHeight="1"/>
    <row r="79" spans="2:55" ht="21.95" customHeight="1"/>
    <row r="80" spans="2:55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</sheetData>
  <mergeCells count="26">
    <mergeCell ref="B1:AO1"/>
    <mergeCell ref="B60:D60"/>
    <mergeCell ref="C65:D65"/>
    <mergeCell ref="AN6:AN7"/>
    <mergeCell ref="AO6:AO7"/>
    <mergeCell ref="B59:D59"/>
    <mergeCell ref="B49:C49"/>
    <mergeCell ref="D49:H49"/>
    <mergeCell ref="B4:AO4"/>
    <mergeCell ref="B3:AO3"/>
    <mergeCell ref="B2:AO2"/>
    <mergeCell ref="AA62:AB62"/>
    <mergeCell ref="AI62:AL62"/>
    <mergeCell ref="BC6:BC7"/>
    <mergeCell ref="B55:D55"/>
    <mergeCell ref="B56:D56"/>
    <mergeCell ref="B57:D57"/>
    <mergeCell ref="B58:D58"/>
    <mergeCell ref="B50:D50"/>
    <mergeCell ref="B51:D51"/>
    <mergeCell ref="B52:D52"/>
    <mergeCell ref="B53:D53"/>
    <mergeCell ref="B54:D54"/>
    <mergeCell ref="B17:D17"/>
    <mergeCell ref="B16:D16"/>
    <mergeCell ref="B15:D15"/>
  </mergeCells>
  <phoneticPr fontId="22" type="noConversion"/>
  <conditionalFormatting sqref="B1:B2">
    <cfRule type="cellIs" dxfId="1753" priority="1754" stopIfTrue="1" operator="equal">
      <formula>"NC"</formula>
    </cfRule>
    <cfRule type="cellIs" dxfId="1752" priority="1755" stopIfTrue="1" operator="equal">
      <formula>"R"</formula>
    </cfRule>
    <cfRule type="cellIs" dxfId="1751" priority="1756" stopIfTrue="1" operator="equal">
      <formula>"RD"</formula>
    </cfRule>
  </conditionalFormatting>
  <conditionalFormatting sqref="I10">
    <cfRule type="cellIs" dxfId="1750" priority="1689" operator="equal">
      <formula>"GS"</formula>
    </cfRule>
    <cfRule type="cellIs" dxfId="1749" priority="1690" stopIfTrue="1" operator="equal">
      <formula>"SR"</formula>
    </cfRule>
    <cfRule type="cellIs" dxfId="1748" priority="1691" stopIfTrue="1" operator="equal">
      <formula>"SG"</formula>
    </cfRule>
    <cfRule type="expression" dxfId="1747" priority="1692" stopIfTrue="1">
      <formula>NOT(ISERROR(SEARCH("AL",I10)))</formula>
    </cfRule>
  </conditionalFormatting>
  <conditionalFormatting sqref="I11">
    <cfRule type="cellIs" dxfId="1746" priority="23" operator="equal">
      <formula>"NSH"</formula>
    </cfRule>
    <cfRule type="containsText" dxfId="1745" priority="24" operator="containsText" text="G">
      <formula>NOT(ISERROR(SEARCH("G",I11)))</formula>
    </cfRule>
    <cfRule type="cellIs" dxfId="1744" priority="25" operator="equal">
      <formula>"SEC"</formula>
    </cfRule>
    <cfRule type="cellIs" dxfId="1743" priority="26" stopIfTrue="1" operator="equal">
      <formula>"SG"</formula>
    </cfRule>
    <cfRule type="cellIs" dxfId="1742" priority="27" stopIfTrue="1" operator="equal">
      <formula>"GS"</formula>
    </cfRule>
    <cfRule type="cellIs" dxfId="1741" priority="28" operator="equal">
      <formula>"NSH"</formula>
    </cfRule>
    <cfRule type="containsText" dxfId="1740" priority="29" operator="containsText" text="WTT">
      <formula>NOT(ISERROR(SEARCH("WTT",I11)))</formula>
    </cfRule>
    <cfRule type="containsText" dxfId="1739" priority="30" operator="containsText" text="RD">
      <formula>NOT(ISERROR(SEARCH("RD",I11)))</formula>
    </cfRule>
    <cfRule type="containsText" dxfId="1738" priority="31" operator="containsText" text="NP">
      <formula>NOT(ISERROR(SEARCH("NP",I11)))</formula>
    </cfRule>
    <cfRule type="containsText" dxfId="1737" priority="32" operator="containsText" text="GS">
      <formula>NOT(ISERROR(SEARCH("GS",I11)))</formula>
    </cfRule>
    <cfRule type="containsText" dxfId="1736" priority="33" operator="containsText" text="SEC">
      <formula>NOT(ISERROR(SEARCH("SEC",I11)))</formula>
    </cfRule>
    <cfRule type="containsText" dxfId="1735" priority="34" operator="containsText" text="FS">
      <formula>NOT(ISERROR(SEARCH("FS",I11)))</formula>
    </cfRule>
    <cfRule type="containsText" dxfId="1734" priority="35" operator="containsText" text="FH">
      <formula>NOT(ISERROR(SEARCH("FH",I11)))</formula>
    </cfRule>
    <cfRule type="containsText" dxfId="1733" priority="36" operator="containsText" text="RD">
      <formula>NOT(ISERROR(SEARCH("RD",I11)))</formula>
    </cfRule>
    <cfRule type="containsText" dxfId="1732" priority="37" operator="containsText" text="SHNP">
      <formula>NOT(ISERROR(SEARCH("SHNP",I11)))</formula>
    </cfRule>
    <cfRule type="cellIs" dxfId="1731" priority="38" stopIfTrue="1" operator="equal">
      <formula>"CL"</formula>
    </cfRule>
  </conditionalFormatting>
  <conditionalFormatting sqref="I20 K20:M20 O20 R20:W20 Y20:AA20 AC20:AD20 AF20:AK20 AM20 I21:N21 P21 R21:AM21">
    <cfRule type="cellIs" dxfId="1730" priority="1657" stopIfTrue="1" operator="equal">
      <formula>"SR"</formula>
    </cfRule>
    <cfRule type="cellIs" dxfId="1729" priority="1658" stopIfTrue="1" operator="equal">
      <formula>"SG"</formula>
    </cfRule>
    <cfRule type="expression" dxfId="1728" priority="1659" stopIfTrue="1">
      <formula>NOT(ISERROR(SEARCH("AL",I20)))</formula>
    </cfRule>
  </conditionalFormatting>
  <conditionalFormatting sqref="I20 K20:M20 O20 R20:W20 Y20:AA20 AC20:AD20 AF20:AK20 AM20">
    <cfRule type="cellIs" dxfId="1727" priority="1827" stopIfTrue="1" operator="equal">
      <formula>"SR"</formula>
    </cfRule>
    <cfRule type="cellIs" dxfId="1726" priority="1828" stopIfTrue="1" operator="equal">
      <formula>"SG"</formula>
    </cfRule>
    <cfRule type="expression" dxfId="1725" priority="1829" stopIfTrue="1">
      <formula>NOT(ISERROR(SEARCH("AL",I20)))</formula>
    </cfRule>
  </conditionalFormatting>
  <conditionalFormatting sqref="I20 O20 R20:W20 AC20:AD20 AF20:AK20 I21:N21 R21:AM21 P21 K20:M20 Y20:AA20 AM20">
    <cfRule type="cellIs" dxfId="1724" priority="1656" operator="equal">
      <formula>"SEC"</formula>
    </cfRule>
  </conditionalFormatting>
  <conditionalFormatting sqref="I20">
    <cfRule type="cellIs" dxfId="1723" priority="1652" operator="equal">
      <formula>"GS"</formula>
    </cfRule>
    <cfRule type="cellIs" dxfId="1722" priority="1653" stopIfTrue="1" operator="equal">
      <formula>"SR"</formula>
    </cfRule>
    <cfRule type="cellIs" dxfId="1721" priority="1654" stopIfTrue="1" operator="equal">
      <formula>"SG"</formula>
    </cfRule>
    <cfRule type="expression" dxfId="1720" priority="1655" stopIfTrue="1">
      <formula>NOT(ISERROR(SEARCH("AL",I20)))</formula>
    </cfRule>
  </conditionalFormatting>
  <conditionalFormatting sqref="I27">
    <cfRule type="cellIs" dxfId="1719" priority="1323" operator="equal">
      <formula>"GS"</formula>
    </cfRule>
    <cfRule type="cellIs" dxfId="1718" priority="1324" stopIfTrue="1" operator="equal">
      <formula>"SR"</formula>
    </cfRule>
    <cfRule type="cellIs" dxfId="1717" priority="1325" stopIfTrue="1" operator="equal">
      <formula>"SG"</formula>
    </cfRule>
    <cfRule type="expression" dxfId="1716" priority="1326" stopIfTrue="1">
      <formula>NOT(ISERROR(SEARCH("AL",I27)))</formula>
    </cfRule>
    <cfRule type="cellIs" dxfId="1715" priority="1327" operator="equal">
      <formula>"SEC"</formula>
    </cfRule>
    <cfRule type="cellIs" dxfId="1714" priority="1328" stopIfTrue="1" operator="equal">
      <formula>"SR"</formula>
    </cfRule>
    <cfRule type="cellIs" dxfId="1713" priority="1329" stopIfTrue="1" operator="equal">
      <formula>"SG"</formula>
    </cfRule>
    <cfRule type="expression" dxfId="1712" priority="1330" stopIfTrue="1">
      <formula>NOT(ISERROR(SEARCH("AL",I27)))</formula>
    </cfRule>
    <cfRule type="expression" dxfId="1711" priority="1331" stopIfTrue="1">
      <formula>NOT(ISERROR(SEARCH("SEC",I27)))</formula>
    </cfRule>
    <cfRule type="cellIs" dxfId="1710" priority="1332" operator="equal">
      <formula>"GS"</formula>
    </cfRule>
    <cfRule type="expression" dxfId="1709" priority="1333" stopIfTrue="1">
      <formula>NOT(ISERROR(SEARCH("SL",I27)))</formula>
    </cfRule>
    <cfRule type="expression" dxfId="1708" priority="1334" stopIfTrue="1">
      <formula>NOT(ISERROR(SEARCH("NP",I27)))</formula>
    </cfRule>
    <cfRule type="expression" dxfId="1707" priority="1335" stopIfTrue="1">
      <formula>NOT(ISERROR(SEARCH("SH",I27)))</formula>
    </cfRule>
    <cfRule type="expression" dxfId="1706" priority="1336" stopIfTrue="1">
      <formula>NOT(ISERROR(SEARCH("WTT",I27)))</formula>
    </cfRule>
  </conditionalFormatting>
  <conditionalFormatting sqref="I29">
    <cfRule type="cellIs" dxfId="1705" priority="1210" operator="equal">
      <formula>"GS"</formula>
    </cfRule>
    <cfRule type="cellIs" dxfId="1704" priority="1211" stopIfTrue="1" operator="equal">
      <formula>"SR"</formula>
    </cfRule>
    <cfRule type="cellIs" dxfId="1703" priority="1212" stopIfTrue="1" operator="equal">
      <formula>"SG"</formula>
    </cfRule>
    <cfRule type="expression" dxfId="1702" priority="1213" stopIfTrue="1">
      <formula>NOT(ISERROR(SEARCH("AL",I29)))</formula>
    </cfRule>
    <cfRule type="cellIs" dxfId="1701" priority="1214" operator="equal">
      <formula>"SEC"</formula>
    </cfRule>
    <cfRule type="cellIs" dxfId="1700" priority="1215" stopIfTrue="1" operator="equal">
      <formula>"SR"</formula>
    </cfRule>
    <cfRule type="cellIs" dxfId="1699" priority="1216" stopIfTrue="1" operator="equal">
      <formula>"SG"</formula>
    </cfRule>
    <cfRule type="expression" dxfId="1698" priority="1217" stopIfTrue="1">
      <formula>NOT(ISERROR(SEARCH("AL",I29)))</formula>
    </cfRule>
    <cfRule type="expression" dxfId="1697" priority="1218" stopIfTrue="1">
      <formula>NOT(ISERROR(SEARCH("SEC",I29)))</formula>
    </cfRule>
    <cfRule type="cellIs" dxfId="1696" priority="1219" operator="equal">
      <formula>"GS"</formula>
    </cfRule>
    <cfRule type="expression" dxfId="1695" priority="1220" stopIfTrue="1">
      <formula>NOT(ISERROR(SEARCH("SL",I29)))</formula>
    </cfRule>
    <cfRule type="expression" dxfId="1694" priority="1221" stopIfTrue="1">
      <formula>NOT(ISERROR(SEARCH("NP",I29)))</formula>
    </cfRule>
    <cfRule type="expression" dxfId="1693" priority="1222" stopIfTrue="1">
      <formula>NOT(ISERROR(SEARCH("SH",I29)))</formula>
    </cfRule>
    <cfRule type="expression" dxfId="1692" priority="1223" stopIfTrue="1">
      <formula>NOT(ISERROR(SEARCH("WTT",I29)))</formula>
    </cfRule>
    <cfRule type="expression" dxfId="1691" priority="1224" stopIfTrue="1">
      <formula>NOT(ISERROR(SEARCH("FH",I29)))</formula>
    </cfRule>
  </conditionalFormatting>
  <conditionalFormatting sqref="I33">
    <cfRule type="cellIs" dxfId="1690" priority="955" operator="equal">
      <formula>"GS"</formula>
    </cfRule>
    <cfRule type="cellIs" dxfId="1689" priority="956" stopIfTrue="1" operator="equal">
      <formula>"SR"</formula>
    </cfRule>
    <cfRule type="cellIs" dxfId="1688" priority="957" stopIfTrue="1" operator="equal">
      <formula>"SG"</formula>
    </cfRule>
    <cfRule type="expression" dxfId="1687" priority="958" stopIfTrue="1">
      <formula>NOT(ISERROR(SEARCH("AL",I33)))</formula>
    </cfRule>
    <cfRule type="cellIs" dxfId="1686" priority="959" operator="equal">
      <formula>"SEC"</formula>
    </cfRule>
    <cfRule type="cellIs" dxfId="1685" priority="960" stopIfTrue="1" operator="equal">
      <formula>"SR"</formula>
    </cfRule>
    <cfRule type="cellIs" dxfId="1684" priority="961" stopIfTrue="1" operator="equal">
      <formula>"SG"</formula>
    </cfRule>
    <cfRule type="expression" dxfId="1683" priority="962" stopIfTrue="1">
      <formula>NOT(ISERROR(SEARCH("AL",I33)))</formula>
    </cfRule>
    <cfRule type="expression" dxfId="1682" priority="963" stopIfTrue="1">
      <formula>NOT(ISERROR(SEARCH("SEC",I33)))</formula>
    </cfRule>
    <cfRule type="cellIs" dxfId="1681" priority="964" operator="equal">
      <formula>"GS"</formula>
    </cfRule>
    <cfRule type="expression" dxfId="1680" priority="965" stopIfTrue="1">
      <formula>NOT(ISERROR(SEARCH("SL",I33)))</formula>
    </cfRule>
    <cfRule type="expression" dxfId="1679" priority="966" stopIfTrue="1">
      <formula>NOT(ISERROR(SEARCH("NP",I33)))</formula>
    </cfRule>
    <cfRule type="expression" dxfId="1678" priority="967" stopIfTrue="1">
      <formula>NOT(ISERROR(SEARCH("SH",I33)))</formula>
    </cfRule>
    <cfRule type="expression" dxfId="1677" priority="968" stopIfTrue="1">
      <formula>NOT(ISERROR(SEARCH("WTT",I33)))</formula>
    </cfRule>
    <cfRule type="expression" dxfId="1676" priority="969" stopIfTrue="1">
      <formula>NOT(ISERROR(SEARCH("FH",I33)))</formula>
    </cfRule>
  </conditionalFormatting>
  <conditionalFormatting sqref="I43">
    <cfRule type="cellIs" dxfId="1675" priority="368" operator="equal">
      <formula>"GS"</formula>
    </cfRule>
    <cfRule type="cellIs" dxfId="1674" priority="369" stopIfTrue="1" operator="equal">
      <formula>"SR"</formula>
    </cfRule>
    <cfRule type="cellIs" dxfId="1673" priority="370" stopIfTrue="1" operator="equal">
      <formula>"SG"</formula>
    </cfRule>
    <cfRule type="expression" dxfId="1672" priority="371" stopIfTrue="1">
      <formula>NOT(ISERROR(SEARCH("AL",I43)))</formula>
    </cfRule>
    <cfRule type="cellIs" dxfId="1671" priority="372" operator="equal">
      <formula>"SEC"</formula>
    </cfRule>
    <cfRule type="cellIs" dxfId="1670" priority="373" stopIfTrue="1" operator="equal">
      <formula>"SR"</formula>
    </cfRule>
    <cfRule type="cellIs" dxfId="1669" priority="374" stopIfTrue="1" operator="equal">
      <formula>"SG"</formula>
    </cfRule>
    <cfRule type="expression" dxfId="1668" priority="375" stopIfTrue="1">
      <formula>NOT(ISERROR(SEARCH("AL",I43)))</formula>
    </cfRule>
    <cfRule type="expression" dxfId="1667" priority="376" stopIfTrue="1">
      <formula>NOT(ISERROR(SEARCH("SEC",I43)))</formula>
    </cfRule>
    <cfRule type="cellIs" dxfId="1666" priority="377" operator="equal">
      <formula>"GS"</formula>
    </cfRule>
    <cfRule type="expression" dxfId="1665" priority="378" stopIfTrue="1">
      <formula>NOT(ISERROR(SEARCH("SL",I43)))</formula>
    </cfRule>
    <cfRule type="expression" dxfId="1664" priority="379" stopIfTrue="1">
      <formula>NOT(ISERROR(SEARCH("NP",I43)))</formula>
    </cfRule>
    <cfRule type="expression" dxfId="1663" priority="380" stopIfTrue="1">
      <formula>NOT(ISERROR(SEARCH("SH",I43)))</formula>
    </cfRule>
    <cfRule type="expression" dxfId="1662" priority="381" stopIfTrue="1">
      <formula>NOT(ISERROR(SEARCH("WTT",I43)))</formula>
    </cfRule>
    <cfRule type="expression" dxfId="1661" priority="382" stopIfTrue="1">
      <formula>NOT(ISERROR(SEARCH("FH",I43)))</formula>
    </cfRule>
  </conditionalFormatting>
  <conditionalFormatting sqref="I63">
    <cfRule type="cellIs" dxfId="1660" priority="41" operator="equal">
      <formula>"NP"</formula>
    </cfRule>
  </conditionalFormatting>
  <conditionalFormatting sqref="I21:J21">
    <cfRule type="cellIs" dxfId="1659" priority="1615" stopIfTrue="1" operator="equal">
      <formula>"SR"</formula>
    </cfRule>
    <cfRule type="cellIs" dxfId="1658" priority="1616" stopIfTrue="1" operator="equal">
      <formula>"SG"</formula>
    </cfRule>
    <cfRule type="expression" dxfId="1657" priority="1617" stopIfTrue="1">
      <formula>NOT(ISERROR(SEARCH("AL",I21)))</formula>
    </cfRule>
  </conditionalFormatting>
  <conditionalFormatting sqref="I21:N21 P21 R21:AM21 I20 K20:M20 O20 R20:W20 Y20:AA20 AC20:AD20 AF20:AK20 AM20">
    <cfRule type="cellIs" dxfId="1656" priority="1733" operator="equal">
      <formula>"GS"</formula>
    </cfRule>
  </conditionalFormatting>
  <conditionalFormatting sqref="I21:N21 P21 R21:AM21">
    <cfRule type="expression" dxfId="1655" priority="1660" stopIfTrue="1">
      <formula>NOT(ISERROR(SEARCH("SEC",I21)))</formula>
    </cfRule>
    <cfRule type="expression" dxfId="1654" priority="1805" stopIfTrue="1">
      <formula>NOT(ISERROR(SEARCH("SL",I21)))</formula>
    </cfRule>
    <cfRule type="expression" dxfId="1653" priority="1806" stopIfTrue="1">
      <formula>NOT(ISERROR(SEARCH("NP",I21)))</formula>
    </cfRule>
    <cfRule type="expression" dxfId="1652" priority="1807" stopIfTrue="1">
      <formula>NOT(ISERROR(SEARCH("SH",I21)))</formula>
    </cfRule>
  </conditionalFormatting>
  <conditionalFormatting sqref="I36:S48 T37:AM40 AE41:AH41 AG41:AG42 AL41:AL42 AM41:AM47 T42:AF42 AH42:AK42 T43:AL44 T45:X46 Z45:AE46 AJ45:AL46 Y45:Y47 AF45:AF47 AG45:AI48 S46:T46 AJ47:AK48 T48:AF48 AL48:AM48">
    <cfRule type="cellIs" dxfId="1651" priority="1760" stopIfTrue="1" operator="equal">
      <formula>"OTN"</formula>
    </cfRule>
  </conditionalFormatting>
  <conditionalFormatting sqref="I12:AL19 AM15:AM17">
    <cfRule type="cellIs" dxfId="1650" priority="1761" stopIfTrue="1" operator="equal">
      <formula>"SR"</formula>
    </cfRule>
    <cfRule type="cellIs" dxfId="1649" priority="1762" stopIfTrue="1" operator="equal">
      <formula>"SG"</formula>
    </cfRule>
    <cfRule type="expression" dxfId="1648" priority="1763" stopIfTrue="1">
      <formula>NOT(ISERROR(SEARCH("AL",I12)))</formula>
    </cfRule>
  </conditionalFormatting>
  <conditionalFormatting sqref="I6:AM7">
    <cfRule type="expression" dxfId="1647" priority="1764" stopIfTrue="1">
      <formula>LEFT(#REF!,1)="H"</formula>
    </cfRule>
    <cfRule type="expression" dxfId="1646" priority="1765" stopIfTrue="1">
      <formula>WEEKDAY(I$6,2)&gt;6</formula>
    </cfRule>
  </conditionalFormatting>
  <conditionalFormatting sqref="I8:AM9 I10:J10 N10:Q10 W10:X10 AB10 AD10:AE10 AK10:AL10 K11 O11 Q11 S11:V11 AG11 I12:AM19 I20 K20:M20 O20 R20:W20 Y20:AA20 AC20:AD20 AF20:AK20 AM20 I21:N21 P21 R21:AM21 I22:AM48">
    <cfRule type="cellIs" dxfId="1645" priority="40" operator="equal">
      <formula>"NSH"</formula>
    </cfRule>
    <cfRule type="containsText" dxfId="1644" priority="1744" operator="containsText" text="RD">
      <formula>NOT(ISERROR(SEARCH("RD",I8)))</formula>
    </cfRule>
    <cfRule type="containsText" dxfId="1643" priority="1745" operator="containsText" text="SEC">
      <formula>NOT(ISERROR(SEARCH("SEC",I8)))</formula>
    </cfRule>
    <cfRule type="containsText" dxfId="1642" priority="1746" operator="containsText" text="GS">
      <formula>NOT(ISERROR(SEARCH("GS",I8)))</formula>
    </cfRule>
    <cfRule type="containsText" dxfId="1641" priority="1747" operator="containsText" text="WTT">
      <formula>NOT(ISERROR(SEARCH("WTT",I8)))</formula>
    </cfRule>
    <cfRule type="containsText" dxfId="1640" priority="1748" operator="containsText" text="FH">
      <formula>NOT(ISERROR(SEARCH("FH",I8)))</formula>
    </cfRule>
    <cfRule type="containsText" dxfId="1639" priority="1749" operator="containsText" text="RD">
      <formula>NOT(ISERROR(SEARCH("RD",I8)))</formula>
    </cfRule>
    <cfRule type="containsText" dxfId="1638" priority="1750" operator="containsText" text="NP">
      <formula>NOT(ISERROR(SEARCH("NP",I8)))</formula>
    </cfRule>
  </conditionalFormatting>
  <conditionalFormatting sqref="I8:AM9 I10:J10 N10:Q10 W10:X10 AB10 AD10:AE10 AK10:AL10 K11 O11 Q11 S11:V11 AG11">
    <cfRule type="cellIs" dxfId="1637" priority="1766" stopIfTrue="1" operator="equal">
      <formula>"SR"</formula>
    </cfRule>
    <cfRule type="cellIs" dxfId="1636" priority="1767" stopIfTrue="1" operator="equal">
      <formula>"SG"</formula>
    </cfRule>
    <cfRule type="expression" dxfId="1635" priority="1768" stopIfTrue="1">
      <formula>NOT(ISERROR(SEARCH("AL",I8)))</formula>
    </cfRule>
  </conditionalFormatting>
  <conditionalFormatting sqref="I8:AM9 I10:J10 N10:Q10 W10:X10 AD10:AE10 AK10:AL10 K11 S11:V11 AG11 I21:N21 P21 R21:AM21 I20 K20:M20 O20 R20:W20 Y20:AA20 AC20:AD20 AF20:AK20 AM20 I22:AM48 AB10 O11 Q11">
    <cfRule type="cellIs" dxfId="1634" priority="1721" operator="equal">
      <formula>"G"</formula>
    </cfRule>
    <cfRule type="cellIs" dxfId="1633" priority="1722" operator="equal">
      <formula>"NSH"</formula>
    </cfRule>
  </conditionalFormatting>
  <conditionalFormatting sqref="I9:AM9 I10:J10 N10:Q10 W10:X10 AD10:AE10 AK10:AL10 K11 S11:V11 AG11 AB10 O11 Q11 I12:AM13">
    <cfRule type="cellIs" dxfId="1632" priority="1734" operator="equal">
      <formula>"SEC"</formula>
    </cfRule>
  </conditionalFormatting>
  <conditionalFormatting sqref="I22:AM48">
    <cfRule type="cellIs" dxfId="1631" priority="1588" stopIfTrue="1" operator="equal">
      <formula>"SR"</formula>
    </cfRule>
    <cfRule type="cellIs" dxfId="1630" priority="1589" stopIfTrue="1" operator="equal">
      <formula>"SG"</formula>
    </cfRule>
    <cfRule type="expression" dxfId="1629" priority="1590" stopIfTrue="1">
      <formula>NOT(ISERROR(SEARCH("AL",I22)))</formula>
    </cfRule>
    <cfRule type="cellIs" dxfId="1628" priority="1591" operator="equal">
      <formula>"SEC"</formula>
    </cfRule>
    <cfRule type="cellIs" dxfId="1627" priority="1592" stopIfTrue="1" operator="equal">
      <formula>"SR"</formula>
    </cfRule>
    <cfRule type="cellIs" dxfId="1626" priority="1593" stopIfTrue="1" operator="equal">
      <formula>"SG"</formula>
    </cfRule>
    <cfRule type="expression" dxfId="1625" priority="1594" stopIfTrue="1">
      <formula>NOT(ISERROR(SEARCH("AL",I22)))</formula>
    </cfRule>
    <cfRule type="expression" dxfId="1624" priority="1595" stopIfTrue="1">
      <formula>NOT(ISERROR(SEARCH("SEC",I22)))</formula>
    </cfRule>
    <cfRule type="cellIs" dxfId="1623" priority="1596" operator="equal">
      <formula>"GS"</formula>
    </cfRule>
    <cfRule type="expression" dxfId="1622" priority="1597" stopIfTrue="1">
      <formula>NOT(ISERROR(SEARCH("SL",I22)))</formula>
    </cfRule>
    <cfRule type="expression" dxfId="1621" priority="1598" stopIfTrue="1">
      <formula>NOT(ISERROR(SEARCH("NP",I22)))</formula>
    </cfRule>
    <cfRule type="expression" dxfId="1620" priority="1599" stopIfTrue="1">
      <formula>NOT(ISERROR(SEARCH("SH",I22)))</formula>
    </cfRule>
  </conditionalFormatting>
  <conditionalFormatting sqref="I24:AM25">
    <cfRule type="expression" dxfId="1619" priority="1774" stopIfTrue="1">
      <formula>NOT(ISERROR(SEARCH("WTT",I24)))</formula>
    </cfRule>
  </conditionalFormatting>
  <conditionalFormatting sqref="I27:AM28">
    <cfRule type="expression" dxfId="1618" priority="1781" stopIfTrue="1">
      <formula>NOT(ISERROR(SEARCH("FH",I27)))</formula>
    </cfRule>
  </conditionalFormatting>
  <conditionalFormatting sqref="I41:AM41">
    <cfRule type="expression" dxfId="1617" priority="1823" stopIfTrue="1">
      <formula>NOT(ISERROR(SEARCH("FH",I41)))</formula>
    </cfRule>
  </conditionalFormatting>
  <conditionalFormatting sqref="J9">
    <cfRule type="cellIs" dxfId="1616" priority="1709" operator="equal">
      <formula>"GS"</formula>
    </cfRule>
    <cfRule type="cellIs" dxfId="1615" priority="1710" stopIfTrue="1" operator="equal">
      <formula>"SR"</formula>
    </cfRule>
    <cfRule type="cellIs" dxfId="1614" priority="1711" stopIfTrue="1" operator="equal">
      <formula>"SG"</formula>
    </cfRule>
    <cfRule type="expression" dxfId="1613" priority="1712" stopIfTrue="1">
      <formula>NOT(ISERROR(SEARCH("AL",J9)))</formula>
    </cfRule>
  </conditionalFormatting>
  <conditionalFormatting sqref="J11">
    <cfRule type="containsText" dxfId="1612" priority="22" operator="containsText" text="G">
      <formula>NOT(ISERROR(SEARCH("G",J11)))</formula>
    </cfRule>
  </conditionalFormatting>
  <conditionalFormatting sqref="J20">
    <cfRule type="containsText" dxfId="1611" priority="10" operator="containsText" text="G">
      <formula>NOT(ISERROR(SEARCH("G",J20)))</formula>
    </cfRule>
  </conditionalFormatting>
  <conditionalFormatting sqref="J30">
    <cfRule type="cellIs" dxfId="1610" priority="1135" operator="equal">
      <formula>"GS"</formula>
    </cfRule>
    <cfRule type="cellIs" dxfId="1609" priority="1136" stopIfTrue="1" operator="equal">
      <formula>"SR"</formula>
    </cfRule>
    <cfRule type="cellIs" dxfId="1608" priority="1137" stopIfTrue="1" operator="equal">
      <formula>"SG"</formula>
    </cfRule>
    <cfRule type="expression" dxfId="1607" priority="1138" stopIfTrue="1">
      <formula>NOT(ISERROR(SEARCH("AL",J30)))</formula>
    </cfRule>
    <cfRule type="cellIs" dxfId="1606" priority="1139" operator="equal">
      <formula>"SEC"</formula>
    </cfRule>
    <cfRule type="cellIs" dxfId="1605" priority="1140" stopIfTrue="1" operator="equal">
      <formula>"SR"</formula>
    </cfRule>
    <cfRule type="cellIs" dxfId="1604" priority="1141" stopIfTrue="1" operator="equal">
      <formula>"SG"</formula>
    </cfRule>
    <cfRule type="expression" dxfId="1603" priority="1142" stopIfTrue="1">
      <formula>NOT(ISERROR(SEARCH("AL",J30)))</formula>
    </cfRule>
    <cfRule type="expression" dxfId="1602" priority="1143" stopIfTrue="1">
      <formula>NOT(ISERROR(SEARCH("SEC",J30)))</formula>
    </cfRule>
    <cfRule type="cellIs" dxfId="1601" priority="1144" operator="equal">
      <formula>"GS"</formula>
    </cfRule>
    <cfRule type="expression" dxfId="1600" priority="1145" stopIfTrue="1">
      <formula>NOT(ISERROR(SEARCH("SL",J30)))</formula>
    </cfRule>
    <cfRule type="expression" dxfId="1599" priority="1146" stopIfTrue="1">
      <formula>NOT(ISERROR(SEARCH("NP",J30)))</formula>
    </cfRule>
    <cfRule type="expression" dxfId="1598" priority="1147" stopIfTrue="1">
      <formula>NOT(ISERROR(SEARCH("SH",J30)))</formula>
    </cfRule>
    <cfRule type="expression" dxfId="1597" priority="1148" stopIfTrue="1">
      <formula>NOT(ISERROR(SEARCH("WTT",J30)))</formula>
    </cfRule>
    <cfRule type="expression" dxfId="1596" priority="1149" stopIfTrue="1">
      <formula>NOT(ISERROR(SEARCH("FH",J30)))</formula>
    </cfRule>
  </conditionalFormatting>
  <conditionalFormatting sqref="J32">
    <cfRule type="cellIs" dxfId="1595" priority="1015" operator="equal">
      <formula>"GS"</formula>
    </cfRule>
    <cfRule type="cellIs" dxfId="1594" priority="1016" stopIfTrue="1" operator="equal">
      <formula>"SR"</formula>
    </cfRule>
    <cfRule type="cellIs" dxfId="1593" priority="1017" stopIfTrue="1" operator="equal">
      <formula>"SG"</formula>
    </cfRule>
    <cfRule type="expression" dxfId="1592" priority="1018" stopIfTrue="1">
      <formula>NOT(ISERROR(SEARCH("AL",J32)))</formula>
    </cfRule>
    <cfRule type="cellIs" dxfId="1591" priority="1019" operator="equal">
      <formula>"SEC"</formula>
    </cfRule>
    <cfRule type="cellIs" dxfId="1590" priority="1020" stopIfTrue="1" operator="equal">
      <formula>"SR"</formula>
    </cfRule>
    <cfRule type="cellIs" dxfId="1589" priority="1021" stopIfTrue="1" operator="equal">
      <formula>"SG"</formula>
    </cfRule>
    <cfRule type="expression" dxfId="1588" priority="1022" stopIfTrue="1">
      <formula>NOT(ISERROR(SEARCH("AL",J32)))</formula>
    </cfRule>
    <cfRule type="expression" dxfId="1587" priority="1023" stopIfTrue="1">
      <formula>NOT(ISERROR(SEARCH("SEC",J32)))</formula>
    </cfRule>
    <cfRule type="cellIs" dxfId="1586" priority="1024" operator="equal">
      <formula>"GS"</formula>
    </cfRule>
    <cfRule type="expression" dxfId="1585" priority="1025" stopIfTrue="1">
      <formula>NOT(ISERROR(SEARCH("SL",J32)))</formula>
    </cfRule>
    <cfRule type="expression" dxfId="1584" priority="1026" stopIfTrue="1">
      <formula>NOT(ISERROR(SEARCH("NP",J32)))</formula>
    </cfRule>
    <cfRule type="expression" dxfId="1583" priority="1027" stopIfTrue="1">
      <formula>NOT(ISERROR(SEARCH("SH",J32)))</formula>
    </cfRule>
    <cfRule type="expression" dxfId="1582" priority="1028" stopIfTrue="1">
      <formula>NOT(ISERROR(SEARCH("WTT",J32)))</formula>
    </cfRule>
    <cfRule type="expression" dxfId="1581" priority="1029" stopIfTrue="1">
      <formula>NOT(ISERROR(SEARCH("FH",J32)))</formula>
    </cfRule>
  </conditionalFormatting>
  <conditionalFormatting sqref="J24:K24">
    <cfRule type="cellIs" dxfId="1580" priority="1471" operator="equal">
      <formula>"GS"</formula>
    </cfRule>
    <cfRule type="cellIs" dxfId="1579" priority="1472" stopIfTrue="1" operator="equal">
      <formula>"SR"</formula>
    </cfRule>
    <cfRule type="cellIs" dxfId="1578" priority="1473" stopIfTrue="1" operator="equal">
      <formula>"SG"</formula>
    </cfRule>
    <cfRule type="expression" dxfId="1577" priority="1474" stopIfTrue="1">
      <formula>NOT(ISERROR(SEARCH("AL",J24)))</formula>
    </cfRule>
    <cfRule type="cellIs" dxfId="1576" priority="1475" operator="equal">
      <formula>"SEC"</formula>
    </cfRule>
    <cfRule type="cellIs" dxfId="1575" priority="1476" stopIfTrue="1" operator="equal">
      <formula>"SR"</formula>
    </cfRule>
    <cfRule type="cellIs" dxfId="1574" priority="1477" stopIfTrue="1" operator="equal">
      <formula>"SG"</formula>
    </cfRule>
    <cfRule type="expression" dxfId="1573" priority="1478" stopIfTrue="1">
      <formula>NOT(ISERROR(SEARCH("AL",J24)))</formula>
    </cfRule>
    <cfRule type="expression" dxfId="1572" priority="1479" stopIfTrue="1">
      <formula>NOT(ISERROR(SEARCH("SEC",J24)))</formula>
    </cfRule>
    <cfRule type="cellIs" dxfId="1571" priority="1480" operator="equal">
      <formula>"GS"</formula>
    </cfRule>
    <cfRule type="expression" dxfId="1570" priority="1481" stopIfTrue="1">
      <formula>NOT(ISERROR(SEARCH("SL",J24)))</formula>
    </cfRule>
    <cfRule type="expression" dxfId="1569" priority="1482" stopIfTrue="1">
      <formula>NOT(ISERROR(SEARCH("NP",J24)))</formula>
    </cfRule>
    <cfRule type="expression" dxfId="1568" priority="1483" stopIfTrue="1">
      <formula>NOT(ISERROR(SEARCH("SH",J24)))</formula>
    </cfRule>
  </conditionalFormatting>
  <conditionalFormatting sqref="J47:K47">
    <cfRule type="cellIs" dxfId="1567" priority="158" operator="equal">
      <formula>"GS"</formula>
    </cfRule>
    <cfRule type="cellIs" dxfId="1566" priority="159" stopIfTrue="1" operator="equal">
      <formula>"SR"</formula>
    </cfRule>
    <cfRule type="cellIs" dxfId="1565" priority="160" stopIfTrue="1" operator="equal">
      <formula>"SG"</formula>
    </cfRule>
    <cfRule type="expression" dxfId="1564" priority="161" stopIfTrue="1">
      <formula>NOT(ISERROR(SEARCH("AL",J47)))</formula>
    </cfRule>
    <cfRule type="cellIs" dxfId="1563" priority="162" operator="equal">
      <formula>"SEC"</formula>
    </cfRule>
    <cfRule type="cellIs" dxfId="1562" priority="163" stopIfTrue="1" operator="equal">
      <formula>"SR"</formula>
    </cfRule>
    <cfRule type="cellIs" dxfId="1561" priority="164" stopIfTrue="1" operator="equal">
      <formula>"SG"</formula>
    </cfRule>
    <cfRule type="expression" dxfId="1560" priority="165" stopIfTrue="1">
      <formula>NOT(ISERROR(SEARCH("AL",J47)))</formula>
    </cfRule>
    <cfRule type="expression" dxfId="1559" priority="166" stopIfTrue="1">
      <formula>NOT(ISERROR(SEARCH("SEC",J47)))</formula>
    </cfRule>
    <cfRule type="cellIs" dxfId="1558" priority="167" operator="equal">
      <formula>"GS"</formula>
    </cfRule>
    <cfRule type="expression" dxfId="1557" priority="168" stopIfTrue="1">
      <formula>NOT(ISERROR(SEARCH("SL",J47)))</formula>
    </cfRule>
    <cfRule type="expression" dxfId="1556" priority="169" stopIfTrue="1">
      <formula>NOT(ISERROR(SEARCH("NP",J47)))</formula>
    </cfRule>
    <cfRule type="expression" dxfId="1555" priority="170" stopIfTrue="1">
      <formula>NOT(ISERROR(SEARCH("SH",J47)))</formula>
    </cfRule>
    <cfRule type="expression" dxfId="1554" priority="171" stopIfTrue="1">
      <formula>NOT(ISERROR(SEARCH("WTT",J47)))</formula>
    </cfRule>
    <cfRule type="expression" dxfId="1553" priority="172" stopIfTrue="1">
      <formula>NOT(ISERROR(SEARCH("FH",J47)))</formula>
    </cfRule>
  </conditionalFormatting>
  <conditionalFormatting sqref="K11 O11 Q11 S11:V11 AG11">
    <cfRule type="expression" dxfId="1552" priority="1848" stopIfTrue="1">
      <formula>NOT(ISERROR(SEARCH("SEC",K11)))</formula>
    </cfRule>
  </conditionalFormatting>
  <conditionalFormatting sqref="K11">
    <cfRule type="cellIs" dxfId="1551" priority="1669" operator="equal">
      <formula>"GS"</formula>
    </cfRule>
    <cfRule type="cellIs" dxfId="1550" priority="1670" stopIfTrue="1" operator="equal">
      <formula>"SR"</formula>
    </cfRule>
    <cfRule type="cellIs" dxfId="1549" priority="1671" stopIfTrue="1" operator="equal">
      <formula>"SG"</formula>
    </cfRule>
    <cfRule type="expression" dxfId="1548" priority="1672" stopIfTrue="1">
      <formula>NOT(ISERROR(SEARCH("AL",K11)))</formula>
    </cfRule>
  </conditionalFormatting>
  <conditionalFormatting sqref="K21">
    <cfRule type="cellIs" dxfId="1547" priority="1632" operator="equal">
      <formula>"GS"</formula>
    </cfRule>
    <cfRule type="cellIs" dxfId="1546" priority="1633" stopIfTrue="1" operator="equal">
      <formula>"SR"</formula>
    </cfRule>
    <cfRule type="cellIs" dxfId="1545" priority="1634" stopIfTrue="1" operator="equal">
      <formula>"SG"</formula>
    </cfRule>
    <cfRule type="expression" dxfId="1544" priority="1635" stopIfTrue="1">
      <formula>NOT(ISERROR(SEARCH("AL",K21)))</formula>
    </cfRule>
  </conditionalFormatting>
  <conditionalFormatting sqref="K39">
    <cfRule type="cellIs" dxfId="1543" priority="624" operator="equal">
      <formula>"GS"</formula>
    </cfRule>
    <cfRule type="cellIs" dxfId="1542" priority="625" stopIfTrue="1" operator="equal">
      <formula>"SR"</formula>
    </cfRule>
    <cfRule type="cellIs" dxfId="1541" priority="626" stopIfTrue="1" operator="equal">
      <formula>"SG"</formula>
    </cfRule>
    <cfRule type="expression" dxfId="1540" priority="627" stopIfTrue="1">
      <formula>NOT(ISERROR(SEARCH("AL",K39)))</formula>
    </cfRule>
    <cfRule type="cellIs" dxfId="1539" priority="628" operator="equal">
      <formula>"SEC"</formula>
    </cfRule>
    <cfRule type="cellIs" dxfId="1538" priority="629" stopIfTrue="1" operator="equal">
      <formula>"SR"</formula>
    </cfRule>
    <cfRule type="cellIs" dxfId="1537" priority="630" stopIfTrue="1" operator="equal">
      <formula>"SG"</formula>
    </cfRule>
    <cfRule type="expression" dxfId="1536" priority="631" stopIfTrue="1">
      <formula>NOT(ISERROR(SEARCH("AL",K39)))</formula>
    </cfRule>
    <cfRule type="expression" dxfId="1535" priority="632" stopIfTrue="1">
      <formula>NOT(ISERROR(SEARCH("SEC",K39)))</formula>
    </cfRule>
    <cfRule type="cellIs" dxfId="1534" priority="633" operator="equal">
      <formula>"GS"</formula>
    </cfRule>
    <cfRule type="expression" dxfId="1533" priority="634" stopIfTrue="1">
      <formula>NOT(ISERROR(SEARCH("SL",K39)))</formula>
    </cfRule>
    <cfRule type="expression" dxfId="1532" priority="635" stopIfTrue="1">
      <formula>NOT(ISERROR(SEARCH("NP",K39)))</formula>
    </cfRule>
    <cfRule type="expression" dxfId="1531" priority="636" stopIfTrue="1">
      <formula>NOT(ISERROR(SEARCH("SH",K39)))</formula>
    </cfRule>
    <cfRule type="expression" dxfId="1530" priority="637" stopIfTrue="1">
      <formula>NOT(ISERROR(SEARCH("WTT",K39)))</formula>
    </cfRule>
    <cfRule type="expression" dxfId="1529" priority="638" stopIfTrue="1">
      <formula>NOT(ISERROR(SEARCH("FH",K39)))</formula>
    </cfRule>
  </conditionalFormatting>
  <conditionalFormatting sqref="K31:L31">
    <cfRule type="cellIs" dxfId="1528" priority="1075" operator="equal">
      <formula>"GS"</formula>
    </cfRule>
    <cfRule type="cellIs" dxfId="1527" priority="1076" stopIfTrue="1" operator="equal">
      <formula>"SR"</formula>
    </cfRule>
    <cfRule type="cellIs" dxfId="1526" priority="1077" stopIfTrue="1" operator="equal">
      <formula>"SG"</formula>
    </cfRule>
    <cfRule type="expression" dxfId="1525" priority="1078" stopIfTrue="1">
      <formula>NOT(ISERROR(SEARCH("AL",K31)))</formula>
    </cfRule>
    <cfRule type="cellIs" dxfId="1524" priority="1079" operator="equal">
      <formula>"SEC"</formula>
    </cfRule>
    <cfRule type="cellIs" dxfId="1523" priority="1080" stopIfTrue="1" operator="equal">
      <formula>"SR"</formula>
    </cfRule>
    <cfRule type="cellIs" dxfId="1522" priority="1081" stopIfTrue="1" operator="equal">
      <formula>"SG"</formula>
    </cfRule>
    <cfRule type="expression" dxfId="1521" priority="1082" stopIfTrue="1">
      <formula>NOT(ISERROR(SEARCH("AL",K31)))</formula>
    </cfRule>
    <cfRule type="expression" dxfId="1520" priority="1083" stopIfTrue="1">
      <formula>NOT(ISERROR(SEARCH("SEC",K31)))</formula>
    </cfRule>
    <cfRule type="cellIs" dxfId="1519" priority="1084" operator="equal">
      <formula>"GS"</formula>
    </cfRule>
    <cfRule type="expression" dxfId="1518" priority="1085" stopIfTrue="1">
      <formula>NOT(ISERROR(SEARCH("SL",K31)))</formula>
    </cfRule>
    <cfRule type="expression" dxfId="1517" priority="1086" stopIfTrue="1">
      <formula>NOT(ISERROR(SEARCH("NP",K31)))</formula>
    </cfRule>
    <cfRule type="expression" dxfId="1516" priority="1087" stopIfTrue="1">
      <formula>NOT(ISERROR(SEARCH("SH",K31)))</formula>
    </cfRule>
    <cfRule type="expression" dxfId="1515" priority="1088" stopIfTrue="1">
      <formula>NOT(ISERROR(SEARCH("WTT",K31)))</formula>
    </cfRule>
    <cfRule type="expression" dxfId="1514" priority="1089" stopIfTrue="1">
      <formula>NOT(ISERROR(SEARCH("FH",K31)))</formula>
    </cfRule>
  </conditionalFormatting>
  <conditionalFormatting sqref="K10:M10">
    <cfRule type="containsText" dxfId="1513" priority="21" operator="containsText" text="G">
      <formula>NOT(ISERROR(SEARCH("G",K10)))</formula>
    </cfRule>
  </conditionalFormatting>
  <conditionalFormatting sqref="L22">
    <cfRule type="cellIs" dxfId="1512" priority="1575" operator="equal">
      <formula>"GS"</formula>
    </cfRule>
    <cfRule type="cellIs" dxfId="1511" priority="1576" stopIfTrue="1" operator="equal">
      <formula>"SR"</formula>
    </cfRule>
    <cfRule type="cellIs" dxfId="1510" priority="1577" stopIfTrue="1" operator="equal">
      <formula>"SG"</formula>
    </cfRule>
    <cfRule type="expression" dxfId="1509" priority="1578" stopIfTrue="1">
      <formula>NOT(ISERROR(SEARCH("AL",L22)))</formula>
    </cfRule>
    <cfRule type="cellIs" dxfId="1508" priority="1579" operator="equal">
      <formula>"SEC"</formula>
    </cfRule>
    <cfRule type="cellIs" dxfId="1507" priority="1580" stopIfTrue="1" operator="equal">
      <formula>"SR"</formula>
    </cfRule>
    <cfRule type="cellIs" dxfId="1506" priority="1581" stopIfTrue="1" operator="equal">
      <formula>"SG"</formula>
    </cfRule>
    <cfRule type="expression" dxfId="1505" priority="1582" stopIfTrue="1">
      <formula>NOT(ISERROR(SEARCH("AL",L22)))</formula>
    </cfRule>
    <cfRule type="expression" dxfId="1504" priority="1583" stopIfTrue="1">
      <formula>NOT(ISERROR(SEARCH("SEC",L22)))</formula>
    </cfRule>
    <cfRule type="cellIs" dxfId="1503" priority="1584" operator="equal">
      <formula>"GS"</formula>
    </cfRule>
    <cfRule type="expression" dxfId="1502" priority="1585" stopIfTrue="1">
      <formula>NOT(ISERROR(SEARCH("SL",L22)))</formula>
    </cfRule>
    <cfRule type="expression" dxfId="1501" priority="1586" stopIfTrue="1">
      <formula>NOT(ISERROR(SEARCH("NP",L22)))</formula>
    </cfRule>
    <cfRule type="expression" dxfId="1500" priority="1587" stopIfTrue="1">
      <formula>NOT(ISERROR(SEARCH("SH",L22)))</formula>
    </cfRule>
  </conditionalFormatting>
  <conditionalFormatting sqref="L38">
    <cfRule type="cellIs" dxfId="1499" priority="684" operator="equal">
      <formula>"GS"</formula>
    </cfRule>
    <cfRule type="cellIs" dxfId="1498" priority="685" stopIfTrue="1" operator="equal">
      <formula>"SR"</formula>
    </cfRule>
    <cfRule type="cellIs" dxfId="1497" priority="686" stopIfTrue="1" operator="equal">
      <formula>"SG"</formula>
    </cfRule>
    <cfRule type="expression" dxfId="1496" priority="687" stopIfTrue="1">
      <formula>NOT(ISERROR(SEARCH("AL",L38)))</formula>
    </cfRule>
    <cfRule type="cellIs" dxfId="1495" priority="688" operator="equal">
      <formula>"SEC"</formula>
    </cfRule>
    <cfRule type="cellIs" dxfId="1494" priority="689" stopIfTrue="1" operator="equal">
      <formula>"SR"</formula>
    </cfRule>
    <cfRule type="cellIs" dxfId="1493" priority="690" stopIfTrue="1" operator="equal">
      <formula>"SG"</formula>
    </cfRule>
    <cfRule type="expression" dxfId="1492" priority="691" stopIfTrue="1">
      <formula>NOT(ISERROR(SEARCH("AL",L38)))</formula>
    </cfRule>
    <cfRule type="expression" dxfId="1491" priority="692" stopIfTrue="1">
      <formula>NOT(ISERROR(SEARCH("SEC",L38)))</formula>
    </cfRule>
    <cfRule type="cellIs" dxfId="1490" priority="693" operator="equal">
      <formula>"GS"</formula>
    </cfRule>
    <cfRule type="expression" dxfId="1489" priority="694" stopIfTrue="1">
      <formula>NOT(ISERROR(SEARCH("SL",L38)))</formula>
    </cfRule>
    <cfRule type="expression" dxfId="1488" priority="695" stopIfTrue="1">
      <formula>NOT(ISERROR(SEARCH("NP",L38)))</formula>
    </cfRule>
    <cfRule type="expression" dxfId="1487" priority="696" stopIfTrue="1">
      <formula>NOT(ISERROR(SEARCH("SH",L38)))</formula>
    </cfRule>
    <cfRule type="expression" dxfId="1486" priority="697" stopIfTrue="1">
      <formula>NOT(ISERROR(SEARCH("WTT",L38)))</formula>
    </cfRule>
    <cfRule type="expression" dxfId="1485" priority="698" stopIfTrue="1">
      <formula>NOT(ISERROR(SEARCH("FH",L38)))</formula>
    </cfRule>
  </conditionalFormatting>
  <conditionalFormatting sqref="L42">
    <cfRule type="cellIs" dxfId="1484" priority="443" operator="equal">
      <formula>"GS"</formula>
    </cfRule>
    <cfRule type="cellIs" dxfId="1483" priority="444" stopIfTrue="1" operator="equal">
      <formula>"SR"</formula>
    </cfRule>
    <cfRule type="cellIs" dxfId="1482" priority="445" stopIfTrue="1" operator="equal">
      <formula>"SG"</formula>
    </cfRule>
    <cfRule type="expression" dxfId="1481" priority="446" stopIfTrue="1">
      <formula>NOT(ISERROR(SEARCH("AL",L42)))</formula>
    </cfRule>
    <cfRule type="cellIs" dxfId="1480" priority="447" operator="equal">
      <formula>"SEC"</formula>
    </cfRule>
    <cfRule type="cellIs" dxfId="1479" priority="448" stopIfTrue="1" operator="equal">
      <formula>"SR"</formula>
    </cfRule>
    <cfRule type="cellIs" dxfId="1478" priority="449" stopIfTrue="1" operator="equal">
      <formula>"SG"</formula>
    </cfRule>
    <cfRule type="expression" dxfId="1477" priority="450" stopIfTrue="1">
      <formula>NOT(ISERROR(SEARCH("AL",L42)))</formula>
    </cfRule>
    <cfRule type="expression" dxfId="1476" priority="451" stopIfTrue="1">
      <formula>NOT(ISERROR(SEARCH("SEC",L42)))</formula>
    </cfRule>
    <cfRule type="cellIs" dxfId="1475" priority="452" operator="equal">
      <formula>"GS"</formula>
    </cfRule>
    <cfRule type="expression" dxfId="1474" priority="453" stopIfTrue="1">
      <formula>NOT(ISERROR(SEARCH("SL",L42)))</formula>
    </cfRule>
    <cfRule type="expression" dxfId="1473" priority="454" stopIfTrue="1">
      <formula>NOT(ISERROR(SEARCH("NP",L42)))</formula>
    </cfRule>
    <cfRule type="expression" dxfId="1472" priority="455" stopIfTrue="1">
      <formula>NOT(ISERROR(SEARCH("SH",L42)))</formula>
    </cfRule>
    <cfRule type="expression" dxfId="1471" priority="456" stopIfTrue="1">
      <formula>NOT(ISERROR(SEARCH("WTT",L42)))</formula>
    </cfRule>
    <cfRule type="expression" dxfId="1470" priority="457" stopIfTrue="1">
      <formula>NOT(ISERROR(SEARCH("FH",L42)))</formula>
    </cfRule>
  </conditionalFormatting>
  <conditionalFormatting sqref="L46">
    <cfRule type="cellIs" dxfId="1469" priority="218" operator="equal">
      <formula>"GS"</formula>
    </cfRule>
    <cfRule type="cellIs" dxfId="1468" priority="219" stopIfTrue="1" operator="equal">
      <formula>"SR"</formula>
    </cfRule>
    <cfRule type="cellIs" dxfId="1467" priority="220" stopIfTrue="1" operator="equal">
      <formula>"SG"</formula>
    </cfRule>
    <cfRule type="expression" dxfId="1466" priority="221" stopIfTrue="1">
      <formula>NOT(ISERROR(SEARCH("AL",L46)))</formula>
    </cfRule>
    <cfRule type="cellIs" dxfId="1465" priority="222" operator="equal">
      <formula>"SEC"</formula>
    </cfRule>
    <cfRule type="cellIs" dxfId="1464" priority="223" stopIfTrue="1" operator="equal">
      <formula>"SR"</formula>
    </cfRule>
    <cfRule type="cellIs" dxfId="1463" priority="224" stopIfTrue="1" operator="equal">
      <formula>"SG"</formula>
    </cfRule>
    <cfRule type="expression" dxfId="1462" priority="225" stopIfTrue="1">
      <formula>NOT(ISERROR(SEARCH("AL",L46)))</formula>
    </cfRule>
    <cfRule type="expression" dxfId="1461" priority="226" stopIfTrue="1">
      <formula>NOT(ISERROR(SEARCH("SEC",L46)))</formula>
    </cfRule>
    <cfRule type="cellIs" dxfId="1460" priority="227" operator="equal">
      <formula>"GS"</formula>
    </cfRule>
    <cfRule type="expression" dxfId="1459" priority="228" stopIfTrue="1">
      <formula>NOT(ISERROR(SEARCH("SL",L46)))</formula>
    </cfRule>
    <cfRule type="expression" dxfId="1458" priority="229" stopIfTrue="1">
      <formula>NOT(ISERROR(SEARCH("NP",L46)))</formula>
    </cfRule>
    <cfRule type="expression" dxfId="1457" priority="230" stopIfTrue="1">
      <formula>NOT(ISERROR(SEARCH("SH",L46)))</formula>
    </cfRule>
    <cfRule type="expression" dxfId="1456" priority="231" stopIfTrue="1">
      <formula>NOT(ISERROR(SEARCH("WTT",L46)))</formula>
    </cfRule>
    <cfRule type="expression" dxfId="1455" priority="232" stopIfTrue="1">
      <formula>NOT(ISERROR(SEARCH("FH",L46)))</formula>
    </cfRule>
  </conditionalFormatting>
  <conditionalFormatting sqref="L11:N11">
    <cfRule type="containsText" dxfId="1454" priority="20" operator="containsText" text="G">
      <formula>NOT(ISERROR(SEARCH("G",L11)))</formula>
    </cfRule>
  </conditionalFormatting>
  <conditionalFormatting sqref="L21:N21 P21 R21:S21">
    <cfRule type="cellIs" dxfId="1453" priority="1606" stopIfTrue="1" operator="equal">
      <formula>"SR"</formula>
    </cfRule>
    <cfRule type="cellIs" dxfId="1452" priority="1607" stopIfTrue="1" operator="equal">
      <formula>"SG"</formula>
    </cfRule>
    <cfRule type="expression" dxfId="1451" priority="1608" stopIfTrue="1">
      <formula>NOT(ISERROR(SEARCH("AL",L21)))</formula>
    </cfRule>
  </conditionalFormatting>
  <conditionalFormatting sqref="M26">
    <cfRule type="cellIs" dxfId="1450" priority="1379" operator="equal">
      <formula>"GS"</formula>
    </cfRule>
    <cfRule type="cellIs" dxfId="1449" priority="1380" stopIfTrue="1" operator="equal">
      <formula>"SR"</formula>
    </cfRule>
    <cfRule type="cellIs" dxfId="1448" priority="1381" stopIfTrue="1" operator="equal">
      <formula>"SG"</formula>
    </cfRule>
    <cfRule type="expression" dxfId="1447" priority="1382" stopIfTrue="1">
      <formula>NOT(ISERROR(SEARCH("AL",M26)))</formula>
    </cfRule>
    <cfRule type="cellIs" dxfId="1446" priority="1383" operator="equal">
      <formula>"SEC"</formula>
    </cfRule>
    <cfRule type="cellIs" dxfId="1445" priority="1384" stopIfTrue="1" operator="equal">
      <formula>"SR"</formula>
    </cfRule>
    <cfRule type="cellIs" dxfId="1444" priority="1385" stopIfTrue="1" operator="equal">
      <formula>"SG"</formula>
    </cfRule>
    <cfRule type="expression" dxfId="1443" priority="1386" stopIfTrue="1">
      <formula>NOT(ISERROR(SEARCH("AL",M26)))</formula>
    </cfRule>
    <cfRule type="expression" dxfId="1442" priority="1387" stopIfTrue="1">
      <formula>NOT(ISERROR(SEARCH("SEC",M26)))</formula>
    </cfRule>
    <cfRule type="cellIs" dxfId="1441" priority="1388" operator="equal">
      <formula>"GS"</formula>
    </cfRule>
    <cfRule type="expression" dxfId="1440" priority="1389" stopIfTrue="1">
      <formula>NOT(ISERROR(SEARCH("SL",M26)))</formula>
    </cfRule>
    <cfRule type="expression" dxfId="1439" priority="1390" stopIfTrue="1">
      <formula>NOT(ISERROR(SEARCH("NP",M26)))</formula>
    </cfRule>
    <cfRule type="expression" dxfId="1438" priority="1391" stopIfTrue="1">
      <formula>NOT(ISERROR(SEARCH("SH",M26)))</formula>
    </cfRule>
    <cfRule type="expression" dxfId="1437" priority="1392" stopIfTrue="1">
      <formula>NOT(ISERROR(SEARCH("WTT",M26)))</formula>
    </cfRule>
  </conditionalFormatting>
  <conditionalFormatting sqref="M28">
    <cfRule type="cellIs" dxfId="1436" priority="1267" operator="equal">
      <formula>"GS"</formula>
    </cfRule>
    <cfRule type="cellIs" dxfId="1435" priority="1268" stopIfTrue="1" operator="equal">
      <formula>"SR"</formula>
    </cfRule>
    <cfRule type="cellIs" dxfId="1434" priority="1269" stopIfTrue="1" operator="equal">
      <formula>"SG"</formula>
    </cfRule>
    <cfRule type="expression" dxfId="1433" priority="1270" stopIfTrue="1">
      <formula>NOT(ISERROR(SEARCH("AL",M28)))</formula>
    </cfRule>
    <cfRule type="cellIs" dxfId="1432" priority="1271" operator="equal">
      <formula>"SEC"</formula>
    </cfRule>
    <cfRule type="cellIs" dxfId="1431" priority="1272" stopIfTrue="1" operator="equal">
      <formula>"SR"</formula>
    </cfRule>
    <cfRule type="cellIs" dxfId="1430" priority="1273" stopIfTrue="1" operator="equal">
      <formula>"SG"</formula>
    </cfRule>
    <cfRule type="expression" dxfId="1429" priority="1274" stopIfTrue="1">
      <formula>NOT(ISERROR(SEARCH("AL",M28)))</formula>
    </cfRule>
    <cfRule type="expression" dxfId="1428" priority="1275" stopIfTrue="1">
      <formula>NOT(ISERROR(SEARCH("SEC",M28)))</formula>
    </cfRule>
    <cfRule type="cellIs" dxfId="1427" priority="1276" operator="equal">
      <formula>"GS"</formula>
    </cfRule>
    <cfRule type="expression" dxfId="1426" priority="1277" stopIfTrue="1">
      <formula>NOT(ISERROR(SEARCH("SL",M28)))</formula>
    </cfRule>
    <cfRule type="expression" dxfId="1425" priority="1278" stopIfTrue="1">
      <formula>NOT(ISERROR(SEARCH("NP",M28)))</formula>
    </cfRule>
    <cfRule type="expression" dxfId="1424" priority="1279" stopIfTrue="1">
      <formula>NOT(ISERROR(SEARCH("SH",M28)))</formula>
    </cfRule>
    <cfRule type="expression" dxfId="1423" priority="1280" stopIfTrue="1">
      <formula>NOT(ISERROR(SEARCH("WTT",M28)))</formula>
    </cfRule>
  </conditionalFormatting>
  <conditionalFormatting sqref="M36">
    <cfRule type="cellIs" dxfId="1422" priority="805" stopIfTrue="1" operator="equal">
      <formula>"SR"</formula>
    </cfRule>
    <cfRule type="cellIs" dxfId="1421" priority="806" stopIfTrue="1" operator="equal">
      <formula>"SG"</formula>
    </cfRule>
    <cfRule type="expression" dxfId="1420" priority="807" stopIfTrue="1">
      <formula>NOT(ISERROR(SEARCH("AL",M36)))</formula>
    </cfRule>
    <cfRule type="cellIs" dxfId="1419" priority="808" operator="equal">
      <formula>"SEC"</formula>
    </cfRule>
    <cfRule type="cellIs" dxfId="1418" priority="809" stopIfTrue="1" operator="equal">
      <formula>"SR"</formula>
    </cfRule>
    <cfRule type="cellIs" dxfId="1417" priority="810" stopIfTrue="1" operator="equal">
      <formula>"SG"</formula>
    </cfRule>
    <cfRule type="expression" dxfId="1416" priority="811" stopIfTrue="1">
      <formula>NOT(ISERROR(SEARCH("AL",M36)))</formula>
    </cfRule>
    <cfRule type="expression" dxfId="1415" priority="812" stopIfTrue="1">
      <formula>NOT(ISERROR(SEARCH("SEC",M36)))</formula>
    </cfRule>
    <cfRule type="cellIs" dxfId="1414" priority="813" operator="equal">
      <formula>"GS"</formula>
    </cfRule>
    <cfRule type="expression" dxfId="1413" priority="814" stopIfTrue="1">
      <formula>NOT(ISERROR(SEARCH("SL",M36)))</formula>
    </cfRule>
    <cfRule type="expression" dxfId="1412" priority="815" stopIfTrue="1">
      <formula>NOT(ISERROR(SEARCH("NP",M36)))</formula>
    </cfRule>
    <cfRule type="expression" dxfId="1411" priority="816" stopIfTrue="1">
      <formula>NOT(ISERROR(SEARCH("SH",M36)))</formula>
    </cfRule>
    <cfRule type="expression" dxfId="1410" priority="817" stopIfTrue="1">
      <formula>NOT(ISERROR(SEARCH("WTT",M36)))</formula>
    </cfRule>
    <cfRule type="expression" dxfId="1409" priority="818" stopIfTrue="1">
      <formula>NOT(ISERROR(SEARCH("FH",M36)))</formula>
    </cfRule>
  </conditionalFormatting>
  <conditionalFormatting sqref="M36:M37">
    <cfRule type="cellIs" dxfId="1408" priority="753" operator="equal">
      <formula>"GS"</formula>
    </cfRule>
  </conditionalFormatting>
  <conditionalFormatting sqref="M37">
    <cfRule type="cellIs" dxfId="1407" priority="744" operator="equal">
      <formula>"GS"</formula>
    </cfRule>
    <cfRule type="cellIs" dxfId="1406" priority="745" stopIfTrue="1" operator="equal">
      <formula>"SR"</formula>
    </cfRule>
    <cfRule type="cellIs" dxfId="1405" priority="746" stopIfTrue="1" operator="equal">
      <formula>"SG"</formula>
    </cfRule>
    <cfRule type="expression" dxfId="1404" priority="747" stopIfTrue="1">
      <formula>NOT(ISERROR(SEARCH("AL",M37)))</formula>
    </cfRule>
    <cfRule type="cellIs" dxfId="1403" priority="748" operator="equal">
      <formula>"SEC"</formula>
    </cfRule>
    <cfRule type="cellIs" dxfId="1402" priority="749" stopIfTrue="1" operator="equal">
      <formula>"SR"</formula>
    </cfRule>
    <cfRule type="cellIs" dxfId="1401" priority="750" stopIfTrue="1" operator="equal">
      <formula>"SG"</formula>
    </cfRule>
    <cfRule type="expression" dxfId="1400" priority="751" stopIfTrue="1">
      <formula>NOT(ISERROR(SEARCH("AL",M37)))</formula>
    </cfRule>
    <cfRule type="expression" dxfId="1399" priority="752" stopIfTrue="1">
      <formula>NOT(ISERROR(SEARCH("SEC",M37)))</formula>
    </cfRule>
    <cfRule type="expression" dxfId="1398" priority="754" stopIfTrue="1">
      <formula>NOT(ISERROR(SEARCH("SL",M37)))</formula>
    </cfRule>
    <cfRule type="expression" dxfId="1397" priority="755" stopIfTrue="1">
      <formula>NOT(ISERROR(SEARCH("NP",M37)))</formula>
    </cfRule>
    <cfRule type="expression" dxfId="1396" priority="756" stopIfTrue="1">
      <formula>NOT(ISERROR(SEARCH("SH",M37)))</formula>
    </cfRule>
    <cfRule type="expression" dxfId="1395" priority="757" stopIfTrue="1">
      <formula>NOT(ISERROR(SEARCH("WTT",M37)))</formula>
    </cfRule>
    <cfRule type="expression" dxfId="1394" priority="758" stopIfTrue="1">
      <formula>NOT(ISERROR(SEARCH("FH",M37)))</formula>
    </cfRule>
  </conditionalFormatting>
  <conditionalFormatting sqref="M41">
    <cfRule type="cellIs" dxfId="1393" priority="504" operator="equal">
      <formula>"GS"</formula>
    </cfRule>
    <cfRule type="cellIs" dxfId="1392" priority="505" stopIfTrue="1" operator="equal">
      <formula>"SR"</formula>
    </cfRule>
    <cfRule type="cellIs" dxfId="1391" priority="506" stopIfTrue="1" operator="equal">
      <formula>"SG"</formula>
    </cfRule>
    <cfRule type="expression" dxfId="1390" priority="507" stopIfTrue="1">
      <formula>NOT(ISERROR(SEARCH("AL",M41)))</formula>
    </cfRule>
    <cfRule type="cellIs" dxfId="1389" priority="508" operator="equal">
      <formula>"SEC"</formula>
    </cfRule>
    <cfRule type="cellIs" dxfId="1388" priority="509" stopIfTrue="1" operator="equal">
      <formula>"SR"</formula>
    </cfRule>
    <cfRule type="cellIs" dxfId="1387" priority="510" stopIfTrue="1" operator="equal">
      <formula>"SG"</formula>
    </cfRule>
    <cfRule type="expression" dxfId="1386" priority="511" stopIfTrue="1">
      <formula>NOT(ISERROR(SEARCH("AL",M41)))</formula>
    </cfRule>
    <cfRule type="expression" dxfId="1385" priority="512" stopIfTrue="1">
      <formula>NOT(ISERROR(SEARCH("SEC",M41)))</formula>
    </cfRule>
    <cfRule type="cellIs" dxfId="1384" priority="513" operator="equal">
      <formula>"GS"</formula>
    </cfRule>
    <cfRule type="expression" dxfId="1383" priority="514" stopIfTrue="1">
      <formula>NOT(ISERROR(SEARCH("SL",M41)))</formula>
    </cfRule>
    <cfRule type="expression" dxfId="1382" priority="515" stopIfTrue="1">
      <formula>NOT(ISERROR(SEARCH("NP",M41)))</formula>
    </cfRule>
    <cfRule type="expression" dxfId="1381" priority="516" stopIfTrue="1">
      <formula>NOT(ISERROR(SEARCH("SH",M41)))</formula>
    </cfRule>
    <cfRule type="expression" dxfId="1380" priority="517" stopIfTrue="1">
      <formula>NOT(ISERROR(SEARCH("WTT",M41)))</formula>
    </cfRule>
    <cfRule type="expression" dxfId="1379" priority="518" stopIfTrue="1">
      <formula>NOT(ISERROR(SEARCH("FH",M41)))</formula>
    </cfRule>
  </conditionalFormatting>
  <conditionalFormatting sqref="N20">
    <cfRule type="containsText" dxfId="1378" priority="9" operator="containsText" text="G">
      <formula>NOT(ISERROR(SEARCH("G",N20)))</formula>
    </cfRule>
  </conditionalFormatting>
  <conditionalFormatting sqref="N34">
    <cfRule type="cellIs" dxfId="1377" priority="925" stopIfTrue="1" operator="equal">
      <formula>"SR"</formula>
    </cfRule>
    <cfRule type="cellIs" dxfId="1376" priority="926" stopIfTrue="1" operator="equal">
      <formula>"SG"</formula>
    </cfRule>
    <cfRule type="expression" dxfId="1375" priority="927" stopIfTrue="1">
      <formula>NOT(ISERROR(SEARCH("AL",N34)))</formula>
    </cfRule>
    <cfRule type="cellIs" dxfId="1374" priority="928" operator="equal">
      <formula>"SEC"</formula>
    </cfRule>
    <cfRule type="cellIs" dxfId="1373" priority="929" stopIfTrue="1" operator="equal">
      <formula>"SR"</formula>
    </cfRule>
    <cfRule type="cellIs" dxfId="1372" priority="930" stopIfTrue="1" operator="equal">
      <formula>"SG"</formula>
    </cfRule>
    <cfRule type="expression" dxfId="1371" priority="931" stopIfTrue="1">
      <formula>NOT(ISERROR(SEARCH("AL",N34)))</formula>
    </cfRule>
    <cfRule type="expression" dxfId="1370" priority="932" stopIfTrue="1">
      <formula>NOT(ISERROR(SEARCH("SEC",N34)))</formula>
    </cfRule>
    <cfRule type="cellIs" dxfId="1369" priority="933" operator="equal">
      <formula>"GS"</formula>
    </cfRule>
    <cfRule type="expression" dxfId="1368" priority="934" stopIfTrue="1">
      <formula>NOT(ISERROR(SEARCH("SL",N34)))</formula>
    </cfRule>
    <cfRule type="expression" dxfId="1367" priority="935" stopIfTrue="1">
      <formula>NOT(ISERROR(SEARCH("NP",N34)))</formula>
    </cfRule>
    <cfRule type="expression" dxfId="1366" priority="936" stopIfTrue="1">
      <formula>NOT(ISERROR(SEARCH("SH",N34)))</formula>
    </cfRule>
    <cfRule type="expression" dxfId="1365" priority="937" stopIfTrue="1">
      <formula>NOT(ISERROR(SEARCH("WTT",N34)))</formula>
    </cfRule>
    <cfRule type="expression" dxfId="1364" priority="938" stopIfTrue="1">
      <formula>NOT(ISERROR(SEARCH("FH",N34)))</formula>
    </cfRule>
  </conditionalFormatting>
  <conditionalFormatting sqref="N34:N35">
    <cfRule type="cellIs" dxfId="1363" priority="873" operator="equal">
      <formula>"GS"</formula>
    </cfRule>
  </conditionalFormatting>
  <conditionalFormatting sqref="N45">
    <cfRule type="cellIs" dxfId="1362" priority="278" operator="equal">
      <formula>"GS"</formula>
    </cfRule>
    <cfRule type="cellIs" dxfId="1361" priority="279" stopIfTrue="1" operator="equal">
      <formula>"SR"</formula>
    </cfRule>
    <cfRule type="cellIs" dxfId="1360" priority="280" stopIfTrue="1" operator="equal">
      <formula>"SG"</formula>
    </cfRule>
    <cfRule type="expression" dxfId="1359" priority="281" stopIfTrue="1">
      <formula>NOT(ISERROR(SEARCH("AL",N45)))</formula>
    </cfRule>
    <cfRule type="cellIs" dxfId="1358" priority="282" operator="equal">
      <formula>"SEC"</formula>
    </cfRule>
    <cfRule type="cellIs" dxfId="1357" priority="283" stopIfTrue="1" operator="equal">
      <formula>"SR"</formula>
    </cfRule>
    <cfRule type="cellIs" dxfId="1356" priority="284" stopIfTrue="1" operator="equal">
      <formula>"SG"</formula>
    </cfRule>
    <cfRule type="expression" dxfId="1355" priority="285" stopIfTrue="1">
      <formula>NOT(ISERROR(SEARCH("AL",N45)))</formula>
    </cfRule>
    <cfRule type="expression" dxfId="1354" priority="286" stopIfTrue="1">
      <formula>NOT(ISERROR(SEARCH("SEC",N45)))</formula>
    </cfRule>
    <cfRule type="cellIs" dxfId="1353" priority="287" operator="equal">
      <formula>"GS"</formula>
    </cfRule>
    <cfRule type="expression" dxfId="1352" priority="288" stopIfTrue="1">
      <formula>NOT(ISERROR(SEARCH("SL",N45)))</formula>
    </cfRule>
    <cfRule type="expression" dxfId="1351" priority="289" stopIfTrue="1">
      <formula>NOT(ISERROR(SEARCH("NP",N45)))</formula>
    </cfRule>
    <cfRule type="expression" dxfId="1350" priority="290" stopIfTrue="1">
      <formula>NOT(ISERROR(SEARCH("SH",N45)))</formula>
    </cfRule>
    <cfRule type="expression" dxfId="1349" priority="291" stopIfTrue="1">
      <formula>NOT(ISERROR(SEARCH("WTT",N45)))</formula>
    </cfRule>
    <cfRule type="expression" dxfId="1348" priority="292" stopIfTrue="1">
      <formula>NOT(ISERROR(SEARCH("FH",N45)))</formula>
    </cfRule>
  </conditionalFormatting>
  <conditionalFormatting sqref="N33:O33">
    <cfRule type="cellIs" dxfId="1347" priority="940" operator="equal">
      <formula>"GS"</formula>
    </cfRule>
    <cfRule type="cellIs" dxfId="1346" priority="941" stopIfTrue="1" operator="equal">
      <formula>"SR"</formula>
    </cfRule>
    <cfRule type="cellIs" dxfId="1345" priority="942" stopIfTrue="1" operator="equal">
      <formula>"SG"</formula>
    </cfRule>
    <cfRule type="expression" dxfId="1344" priority="943" stopIfTrue="1">
      <formula>NOT(ISERROR(SEARCH("AL",N33)))</formula>
    </cfRule>
    <cfRule type="cellIs" dxfId="1343" priority="944" operator="equal">
      <formula>"SEC"</formula>
    </cfRule>
    <cfRule type="cellIs" dxfId="1342" priority="945" stopIfTrue="1" operator="equal">
      <formula>"SR"</formula>
    </cfRule>
    <cfRule type="cellIs" dxfId="1341" priority="946" stopIfTrue="1" operator="equal">
      <formula>"SG"</formula>
    </cfRule>
    <cfRule type="expression" dxfId="1340" priority="947" stopIfTrue="1">
      <formula>NOT(ISERROR(SEARCH("AL",N33)))</formula>
    </cfRule>
    <cfRule type="expression" dxfId="1339" priority="948" stopIfTrue="1">
      <formula>NOT(ISERROR(SEARCH("SEC",N33)))</formula>
    </cfRule>
    <cfRule type="cellIs" dxfId="1338" priority="949" operator="equal">
      <formula>"GS"</formula>
    </cfRule>
    <cfRule type="expression" dxfId="1337" priority="950" stopIfTrue="1">
      <formula>NOT(ISERROR(SEARCH("SL",N33)))</formula>
    </cfRule>
    <cfRule type="expression" dxfId="1336" priority="951" stopIfTrue="1">
      <formula>NOT(ISERROR(SEARCH("NP",N33)))</formula>
    </cfRule>
    <cfRule type="expression" dxfId="1335" priority="952" stopIfTrue="1">
      <formula>NOT(ISERROR(SEARCH("SH",N33)))</formula>
    </cfRule>
    <cfRule type="expression" dxfId="1334" priority="953" stopIfTrue="1">
      <formula>NOT(ISERROR(SEARCH("WTT",N33)))</formula>
    </cfRule>
    <cfRule type="expression" dxfId="1333" priority="954" stopIfTrue="1">
      <formula>NOT(ISERROR(SEARCH("FH",N33)))</formula>
    </cfRule>
  </conditionalFormatting>
  <conditionalFormatting sqref="N35:O35">
    <cfRule type="cellIs" dxfId="1332" priority="39" operator="equal">
      <formula>"GS"</formula>
    </cfRule>
    <cfRule type="cellIs" dxfId="1331" priority="865" stopIfTrue="1" operator="equal">
      <formula>"SR"</formula>
    </cfRule>
    <cfRule type="cellIs" dxfId="1330" priority="866" stopIfTrue="1" operator="equal">
      <formula>"SG"</formula>
    </cfRule>
    <cfRule type="expression" dxfId="1329" priority="867" stopIfTrue="1">
      <formula>NOT(ISERROR(SEARCH("AL",N35)))</formula>
    </cfRule>
    <cfRule type="cellIs" dxfId="1328" priority="868" operator="equal">
      <formula>"SEC"</formula>
    </cfRule>
    <cfRule type="cellIs" dxfId="1327" priority="869" stopIfTrue="1" operator="equal">
      <formula>"SR"</formula>
    </cfRule>
    <cfRule type="cellIs" dxfId="1326" priority="870" stopIfTrue="1" operator="equal">
      <formula>"SG"</formula>
    </cfRule>
    <cfRule type="expression" dxfId="1325" priority="871" stopIfTrue="1">
      <formula>NOT(ISERROR(SEARCH("AL",N35)))</formula>
    </cfRule>
    <cfRule type="expression" dxfId="1324" priority="872" stopIfTrue="1">
      <formula>NOT(ISERROR(SEARCH("SEC",N35)))</formula>
    </cfRule>
    <cfRule type="expression" dxfId="1323" priority="874" stopIfTrue="1">
      <formula>NOT(ISERROR(SEARCH("SL",N35)))</formula>
    </cfRule>
    <cfRule type="expression" dxfId="1322" priority="875" stopIfTrue="1">
      <formula>NOT(ISERROR(SEARCH("NP",N35)))</formula>
    </cfRule>
    <cfRule type="expression" dxfId="1321" priority="876" stopIfTrue="1">
      <formula>NOT(ISERROR(SEARCH("SH",N35)))</formula>
    </cfRule>
    <cfRule type="expression" dxfId="1320" priority="877" stopIfTrue="1">
      <formula>NOT(ISERROR(SEARCH("WTT",N35)))</formula>
    </cfRule>
    <cfRule type="expression" dxfId="1319" priority="878" stopIfTrue="1">
      <formula>NOT(ISERROR(SEARCH("FH",N35)))</formula>
    </cfRule>
  </conditionalFormatting>
  <conditionalFormatting sqref="N40:O40">
    <cfRule type="cellIs" dxfId="1318" priority="564" operator="equal">
      <formula>"GS"</formula>
    </cfRule>
    <cfRule type="cellIs" dxfId="1317" priority="565" stopIfTrue="1" operator="equal">
      <formula>"SR"</formula>
    </cfRule>
    <cfRule type="cellIs" dxfId="1316" priority="566" stopIfTrue="1" operator="equal">
      <formula>"SG"</formula>
    </cfRule>
    <cfRule type="expression" dxfId="1315" priority="567" stopIfTrue="1">
      <formula>NOT(ISERROR(SEARCH("AL",N40)))</formula>
    </cfRule>
    <cfRule type="cellIs" dxfId="1314" priority="568" operator="equal">
      <formula>"SEC"</formula>
    </cfRule>
    <cfRule type="cellIs" dxfId="1313" priority="569" stopIfTrue="1" operator="equal">
      <formula>"SR"</formula>
    </cfRule>
    <cfRule type="cellIs" dxfId="1312" priority="570" stopIfTrue="1" operator="equal">
      <formula>"SG"</formula>
    </cfRule>
    <cfRule type="expression" dxfId="1311" priority="571" stopIfTrue="1">
      <formula>NOT(ISERROR(SEARCH("AL",N40)))</formula>
    </cfRule>
    <cfRule type="expression" dxfId="1310" priority="572" stopIfTrue="1">
      <formula>NOT(ISERROR(SEARCH("SEC",N40)))</formula>
    </cfRule>
    <cfRule type="cellIs" dxfId="1309" priority="573" operator="equal">
      <formula>"GS"</formula>
    </cfRule>
    <cfRule type="expression" dxfId="1308" priority="574" stopIfTrue="1">
      <formula>NOT(ISERROR(SEARCH("SL",N40)))</formula>
    </cfRule>
    <cfRule type="expression" dxfId="1307" priority="575" stopIfTrue="1">
      <formula>NOT(ISERROR(SEARCH("NP",N40)))</formula>
    </cfRule>
    <cfRule type="expression" dxfId="1306" priority="576" stopIfTrue="1">
      <formula>NOT(ISERROR(SEARCH("SH",N40)))</formula>
    </cfRule>
    <cfRule type="expression" dxfId="1305" priority="577" stopIfTrue="1">
      <formula>NOT(ISERROR(SEARCH("WTT",N40)))</formula>
    </cfRule>
    <cfRule type="expression" dxfId="1304" priority="578" stopIfTrue="1">
      <formula>NOT(ISERROR(SEARCH("FH",N40)))</formula>
    </cfRule>
  </conditionalFormatting>
  <conditionalFormatting sqref="N8:Q8">
    <cfRule type="cellIs" dxfId="1303" priority="1717" operator="equal">
      <formula>"GS"</formula>
    </cfRule>
    <cfRule type="cellIs" dxfId="1302" priority="1718" stopIfTrue="1" operator="equal">
      <formula>"SR"</formula>
    </cfRule>
    <cfRule type="cellIs" dxfId="1301" priority="1719" stopIfTrue="1" operator="equal">
      <formula>"SG"</formula>
    </cfRule>
    <cfRule type="expression" dxfId="1300" priority="1720" stopIfTrue="1">
      <formula>NOT(ISERROR(SEARCH("AL",N8)))</formula>
    </cfRule>
  </conditionalFormatting>
  <conditionalFormatting sqref="N44:Q44">
    <cfRule type="cellIs" dxfId="1299" priority="308" operator="equal">
      <formula>"GS"</formula>
    </cfRule>
    <cfRule type="cellIs" dxfId="1298" priority="309" stopIfTrue="1" operator="equal">
      <formula>"SR"</formula>
    </cfRule>
    <cfRule type="cellIs" dxfId="1297" priority="310" stopIfTrue="1" operator="equal">
      <formula>"SG"</formula>
    </cfRule>
    <cfRule type="expression" dxfId="1296" priority="311" stopIfTrue="1">
      <formula>NOT(ISERROR(SEARCH("AL",N44)))</formula>
    </cfRule>
    <cfRule type="cellIs" dxfId="1295" priority="312" operator="equal">
      <formula>"SEC"</formula>
    </cfRule>
    <cfRule type="cellIs" dxfId="1294" priority="313" stopIfTrue="1" operator="equal">
      <formula>"SR"</formula>
    </cfRule>
    <cfRule type="cellIs" dxfId="1293" priority="314" stopIfTrue="1" operator="equal">
      <formula>"SG"</formula>
    </cfRule>
    <cfRule type="expression" dxfId="1292" priority="315" stopIfTrue="1">
      <formula>NOT(ISERROR(SEARCH("AL",N44)))</formula>
    </cfRule>
    <cfRule type="expression" dxfId="1291" priority="316" stopIfTrue="1">
      <formula>NOT(ISERROR(SEARCH("SEC",N44)))</formula>
    </cfRule>
    <cfRule type="cellIs" dxfId="1290" priority="317" operator="equal">
      <formula>"GS"</formula>
    </cfRule>
    <cfRule type="expression" dxfId="1289" priority="318" stopIfTrue="1">
      <formula>NOT(ISERROR(SEARCH("SL",N44)))</formula>
    </cfRule>
    <cfRule type="expression" dxfId="1288" priority="319" stopIfTrue="1">
      <formula>NOT(ISERROR(SEARCH("NP",N44)))</formula>
    </cfRule>
    <cfRule type="expression" dxfId="1287" priority="320" stopIfTrue="1">
      <formula>NOT(ISERROR(SEARCH("SH",N44)))</formula>
    </cfRule>
    <cfRule type="expression" dxfId="1286" priority="321" stopIfTrue="1">
      <formula>NOT(ISERROR(SEARCH("WTT",N44)))</formula>
    </cfRule>
    <cfRule type="expression" dxfId="1285" priority="322" stopIfTrue="1">
      <formula>NOT(ISERROR(SEARCH("FH",N44)))</formula>
    </cfRule>
  </conditionalFormatting>
  <conditionalFormatting sqref="O10">
    <cfRule type="cellIs" dxfId="1284" priority="1685" operator="equal">
      <formula>"GS"</formula>
    </cfRule>
    <cfRule type="cellIs" dxfId="1283" priority="1686" stopIfTrue="1" operator="equal">
      <formula>"SR"</formula>
    </cfRule>
    <cfRule type="cellIs" dxfId="1282" priority="1687" stopIfTrue="1" operator="equal">
      <formula>"SG"</formula>
    </cfRule>
    <cfRule type="expression" dxfId="1281" priority="1688" stopIfTrue="1">
      <formula>NOT(ISERROR(SEARCH("AL",O10)))</formula>
    </cfRule>
  </conditionalFormatting>
  <conditionalFormatting sqref="O20">
    <cfRule type="cellIs" dxfId="1280" priority="1648" operator="equal">
      <formula>"GS"</formula>
    </cfRule>
    <cfRule type="cellIs" dxfId="1279" priority="1649" stopIfTrue="1" operator="equal">
      <formula>"SR"</formula>
    </cfRule>
    <cfRule type="cellIs" dxfId="1278" priority="1650" stopIfTrue="1" operator="equal">
      <formula>"SG"</formula>
    </cfRule>
    <cfRule type="expression" dxfId="1277" priority="1651" stopIfTrue="1">
      <formula>NOT(ISERROR(SEARCH("AL",O20)))</formula>
    </cfRule>
  </conditionalFormatting>
  <conditionalFormatting sqref="O21">
    <cfRule type="containsText" dxfId="1276" priority="3" operator="containsText" text="G">
      <formula>NOT(ISERROR(SEARCH("G",O21)))</formula>
    </cfRule>
  </conditionalFormatting>
  <conditionalFormatting sqref="O27:P27">
    <cfRule type="cellIs" dxfId="1275" priority="1309" operator="equal">
      <formula>"GS"</formula>
    </cfRule>
    <cfRule type="cellIs" dxfId="1274" priority="1310" stopIfTrue="1" operator="equal">
      <formula>"SR"</formula>
    </cfRule>
    <cfRule type="cellIs" dxfId="1273" priority="1311" stopIfTrue="1" operator="equal">
      <formula>"SG"</formula>
    </cfRule>
    <cfRule type="expression" dxfId="1272" priority="1312" stopIfTrue="1">
      <formula>NOT(ISERROR(SEARCH("AL",O27)))</formula>
    </cfRule>
    <cfRule type="cellIs" dxfId="1271" priority="1313" operator="equal">
      <formula>"SEC"</formula>
    </cfRule>
    <cfRule type="cellIs" dxfId="1270" priority="1314" stopIfTrue="1" operator="equal">
      <formula>"SR"</formula>
    </cfRule>
    <cfRule type="cellIs" dxfId="1269" priority="1315" stopIfTrue="1" operator="equal">
      <formula>"SG"</formula>
    </cfRule>
    <cfRule type="expression" dxfId="1268" priority="1316" stopIfTrue="1">
      <formula>NOT(ISERROR(SEARCH("AL",O27)))</formula>
    </cfRule>
    <cfRule type="expression" dxfId="1267" priority="1317" stopIfTrue="1">
      <formula>NOT(ISERROR(SEARCH("SEC",O27)))</formula>
    </cfRule>
    <cfRule type="cellIs" dxfId="1266" priority="1318" operator="equal">
      <formula>"GS"</formula>
    </cfRule>
    <cfRule type="expression" dxfId="1265" priority="1319" stopIfTrue="1">
      <formula>NOT(ISERROR(SEARCH("SL",O27)))</formula>
    </cfRule>
    <cfRule type="expression" dxfId="1264" priority="1320" stopIfTrue="1">
      <formula>NOT(ISERROR(SEARCH("NP",O27)))</formula>
    </cfRule>
    <cfRule type="expression" dxfId="1263" priority="1321" stopIfTrue="1">
      <formula>NOT(ISERROR(SEARCH("SH",O27)))</formula>
    </cfRule>
    <cfRule type="expression" dxfId="1262" priority="1322" stopIfTrue="1">
      <formula>NOT(ISERROR(SEARCH("WTT",O27)))</formula>
    </cfRule>
  </conditionalFormatting>
  <conditionalFormatting sqref="P11">
    <cfRule type="containsText" dxfId="1261" priority="19" operator="containsText" text="G">
      <formula>NOT(ISERROR(SEARCH("G",P11)))</formula>
    </cfRule>
  </conditionalFormatting>
  <conditionalFormatting sqref="P29">
    <cfRule type="cellIs" dxfId="1260" priority="1195" operator="equal">
      <formula>"GS"</formula>
    </cfRule>
    <cfRule type="cellIs" dxfId="1259" priority="1196" stopIfTrue="1" operator="equal">
      <formula>"SR"</formula>
    </cfRule>
    <cfRule type="cellIs" dxfId="1258" priority="1197" stopIfTrue="1" operator="equal">
      <formula>"SG"</formula>
    </cfRule>
    <cfRule type="expression" dxfId="1257" priority="1198" stopIfTrue="1">
      <formula>NOT(ISERROR(SEARCH("AL",P29)))</formula>
    </cfRule>
    <cfRule type="cellIs" dxfId="1256" priority="1199" operator="equal">
      <formula>"SEC"</formula>
    </cfRule>
    <cfRule type="cellIs" dxfId="1255" priority="1200" stopIfTrue="1" operator="equal">
      <formula>"SR"</formula>
    </cfRule>
    <cfRule type="cellIs" dxfId="1254" priority="1201" stopIfTrue="1" operator="equal">
      <formula>"SG"</formula>
    </cfRule>
    <cfRule type="expression" dxfId="1253" priority="1202" stopIfTrue="1">
      <formula>NOT(ISERROR(SEARCH("AL",P29)))</formula>
    </cfRule>
    <cfRule type="expression" dxfId="1252" priority="1203" stopIfTrue="1">
      <formula>NOT(ISERROR(SEARCH("SEC",P29)))</formula>
    </cfRule>
    <cfRule type="cellIs" dxfId="1251" priority="1204" operator="equal">
      <formula>"GS"</formula>
    </cfRule>
    <cfRule type="expression" dxfId="1250" priority="1205" stopIfTrue="1">
      <formula>NOT(ISERROR(SEARCH("SL",P29)))</formula>
    </cfRule>
    <cfRule type="expression" dxfId="1249" priority="1206" stopIfTrue="1">
      <formula>NOT(ISERROR(SEARCH("NP",P29)))</formula>
    </cfRule>
    <cfRule type="expression" dxfId="1248" priority="1207" stopIfTrue="1">
      <formula>NOT(ISERROR(SEARCH("SH",P29)))</formula>
    </cfRule>
    <cfRule type="expression" dxfId="1247" priority="1208" stopIfTrue="1">
      <formula>NOT(ISERROR(SEARCH("WTT",P29)))</formula>
    </cfRule>
    <cfRule type="expression" dxfId="1246" priority="1209" stopIfTrue="1">
      <formula>NOT(ISERROR(SEARCH("FH",P29)))</formula>
    </cfRule>
  </conditionalFormatting>
  <conditionalFormatting sqref="P48">
    <cfRule type="cellIs" dxfId="1245" priority="96" operator="equal">
      <formula>"GS"</formula>
    </cfRule>
    <cfRule type="cellIs" dxfId="1244" priority="97" stopIfTrue="1" operator="equal">
      <formula>"SR"</formula>
    </cfRule>
    <cfRule type="cellIs" dxfId="1243" priority="98" stopIfTrue="1" operator="equal">
      <formula>"SG"</formula>
    </cfRule>
    <cfRule type="expression" dxfId="1242" priority="99" stopIfTrue="1">
      <formula>NOT(ISERROR(SEARCH("AL",P48)))</formula>
    </cfRule>
    <cfRule type="cellIs" dxfId="1241" priority="100" operator="equal">
      <formula>"SEC"</formula>
    </cfRule>
    <cfRule type="cellIs" dxfId="1240" priority="101" stopIfTrue="1" operator="equal">
      <formula>"SR"</formula>
    </cfRule>
    <cfRule type="cellIs" dxfId="1239" priority="102" stopIfTrue="1" operator="equal">
      <formula>"SG"</formula>
    </cfRule>
    <cfRule type="expression" dxfId="1238" priority="103" stopIfTrue="1">
      <formula>NOT(ISERROR(SEARCH("AL",P48)))</formula>
    </cfRule>
    <cfRule type="expression" dxfId="1237" priority="104" stopIfTrue="1">
      <formula>NOT(ISERROR(SEARCH("SEC",P48)))</formula>
    </cfRule>
    <cfRule type="cellIs" dxfId="1236" priority="105" operator="equal">
      <formula>"GS"</formula>
    </cfRule>
    <cfRule type="expression" dxfId="1235" priority="106" stopIfTrue="1">
      <formula>NOT(ISERROR(SEARCH("SL",P48)))</formula>
    </cfRule>
    <cfRule type="expression" dxfId="1234" priority="107" stopIfTrue="1">
      <formula>NOT(ISERROR(SEARCH("NP",P48)))</formula>
    </cfRule>
    <cfRule type="expression" dxfId="1233" priority="108" stopIfTrue="1">
      <formula>NOT(ISERROR(SEARCH("SH",P48)))</formula>
    </cfRule>
    <cfRule type="expression" dxfId="1232" priority="109" stopIfTrue="1">
      <formula>NOT(ISERROR(SEARCH("WTT",P48)))</formula>
    </cfRule>
    <cfRule type="expression" dxfId="1231" priority="110" stopIfTrue="1">
      <formula>NOT(ISERROR(SEARCH("FH",P48)))</formula>
    </cfRule>
  </conditionalFormatting>
  <conditionalFormatting sqref="P20:Q20">
    <cfRule type="containsText" dxfId="1230" priority="8" operator="containsText" text="G">
      <formula>NOT(ISERROR(SEARCH("G",P20)))</formula>
    </cfRule>
  </conditionalFormatting>
  <conditionalFormatting sqref="P23:Q23">
    <cfRule type="cellIs" dxfId="1229" priority="1523" operator="equal">
      <formula>"GS"</formula>
    </cfRule>
    <cfRule type="cellIs" dxfId="1228" priority="1524" stopIfTrue="1" operator="equal">
      <formula>"SR"</formula>
    </cfRule>
    <cfRule type="cellIs" dxfId="1227" priority="1525" stopIfTrue="1" operator="equal">
      <formula>"SG"</formula>
    </cfRule>
    <cfRule type="expression" dxfId="1226" priority="1526" stopIfTrue="1">
      <formula>NOT(ISERROR(SEARCH("AL",P23)))</formula>
    </cfRule>
    <cfRule type="cellIs" dxfId="1225" priority="1527" operator="equal">
      <formula>"SEC"</formula>
    </cfRule>
    <cfRule type="cellIs" dxfId="1224" priority="1528" stopIfTrue="1" operator="equal">
      <formula>"SR"</formula>
    </cfRule>
    <cfRule type="cellIs" dxfId="1223" priority="1529" stopIfTrue="1" operator="equal">
      <formula>"SG"</formula>
    </cfRule>
    <cfRule type="expression" dxfId="1222" priority="1530" stopIfTrue="1">
      <formula>NOT(ISERROR(SEARCH("AL",P23)))</formula>
    </cfRule>
    <cfRule type="expression" dxfId="1221" priority="1531" stopIfTrue="1">
      <formula>NOT(ISERROR(SEARCH("SEC",P23)))</formula>
    </cfRule>
    <cfRule type="cellIs" dxfId="1220" priority="1532" operator="equal">
      <formula>"GS"</formula>
    </cfRule>
    <cfRule type="expression" dxfId="1219" priority="1533" stopIfTrue="1">
      <formula>NOT(ISERROR(SEARCH("SL",P23)))</formula>
    </cfRule>
    <cfRule type="expression" dxfId="1218" priority="1534" stopIfTrue="1">
      <formula>NOT(ISERROR(SEARCH("NP",P23)))</formula>
    </cfRule>
    <cfRule type="expression" dxfId="1217" priority="1535" stopIfTrue="1">
      <formula>NOT(ISERROR(SEARCH("SH",P23)))</formula>
    </cfRule>
  </conditionalFormatting>
  <conditionalFormatting sqref="Q9">
    <cfRule type="cellIs" dxfId="1216" priority="1705" operator="equal">
      <formula>"GS"</formula>
    </cfRule>
    <cfRule type="cellIs" dxfId="1215" priority="1706" stopIfTrue="1" operator="equal">
      <formula>"SR"</formula>
    </cfRule>
    <cfRule type="cellIs" dxfId="1214" priority="1707" stopIfTrue="1" operator="equal">
      <formula>"SG"</formula>
    </cfRule>
    <cfRule type="expression" dxfId="1213" priority="1708" stopIfTrue="1">
      <formula>NOT(ISERROR(SEARCH("AL",Q9)))</formula>
    </cfRule>
  </conditionalFormatting>
  <conditionalFormatting sqref="Q21">
    <cfRule type="containsText" dxfId="1212" priority="1" operator="containsText" text="G">
      <formula>NOT(ISERROR(SEARCH("G",Q21)))</formula>
    </cfRule>
  </conditionalFormatting>
  <conditionalFormatting sqref="Q33:Q34">
    <cfRule type="expression" dxfId="1211" priority="1795" stopIfTrue="1">
      <formula>NOT(ISERROR(SEARCH("WTT",Q33)))</formula>
    </cfRule>
  </conditionalFormatting>
  <conditionalFormatting sqref="Q25:R25">
    <cfRule type="cellIs" dxfId="1210" priority="1419" operator="equal">
      <formula>"GS"</formula>
    </cfRule>
    <cfRule type="cellIs" dxfId="1209" priority="1420" stopIfTrue="1" operator="equal">
      <formula>"SR"</formula>
    </cfRule>
    <cfRule type="cellIs" dxfId="1208" priority="1421" stopIfTrue="1" operator="equal">
      <formula>"SG"</formula>
    </cfRule>
    <cfRule type="expression" dxfId="1207" priority="1422" stopIfTrue="1">
      <formula>NOT(ISERROR(SEARCH("AL",Q25)))</formula>
    </cfRule>
    <cfRule type="cellIs" dxfId="1206" priority="1423" operator="equal">
      <formula>"SEC"</formula>
    </cfRule>
    <cfRule type="cellIs" dxfId="1205" priority="1424" stopIfTrue="1" operator="equal">
      <formula>"SR"</formula>
    </cfRule>
    <cfRule type="cellIs" dxfId="1204" priority="1425" stopIfTrue="1" operator="equal">
      <formula>"SG"</formula>
    </cfRule>
    <cfRule type="expression" dxfId="1203" priority="1426" stopIfTrue="1">
      <formula>NOT(ISERROR(SEARCH("AL",Q25)))</formula>
    </cfRule>
    <cfRule type="expression" dxfId="1202" priority="1427" stopIfTrue="1">
      <formula>NOT(ISERROR(SEARCH("SEC",Q25)))</formula>
    </cfRule>
    <cfRule type="cellIs" dxfId="1201" priority="1428" operator="equal">
      <formula>"GS"</formula>
    </cfRule>
    <cfRule type="expression" dxfId="1200" priority="1429" stopIfTrue="1">
      <formula>NOT(ISERROR(SEARCH("SL",Q25)))</formula>
    </cfRule>
    <cfRule type="expression" dxfId="1199" priority="1430" stopIfTrue="1">
      <formula>NOT(ISERROR(SEARCH("NP",Q25)))</formula>
    </cfRule>
    <cfRule type="expression" dxfId="1198" priority="1431" stopIfTrue="1">
      <formula>NOT(ISERROR(SEARCH("SH",Q25)))</formula>
    </cfRule>
  </conditionalFormatting>
  <conditionalFormatting sqref="Q27:R28">
    <cfRule type="expression" dxfId="1197" priority="1779" stopIfTrue="1">
      <formula>NOT(ISERROR(SEARCH("WTT",Q27)))</formula>
    </cfRule>
  </conditionalFormatting>
  <conditionalFormatting sqref="R11">
    <cfRule type="containsText" dxfId="1196" priority="18" operator="containsText" text="G">
      <formula>NOT(ISERROR(SEARCH("G",R11)))</formula>
    </cfRule>
  </conditionalFormatting>
  <conditionalFormatting sqref="R32">
    <cfRule type="cellIs" dxfId="1195" priority="1000" operator="equal">
      <formula>"GS"</formula>
    </cfRule>
    <cfRule type="cellIs" dxfId="1194" priority="1001" stopIfTrue="1" operator="equal">
      <formula>"SR"</formula>
    </cfRule>
    <cfRule type="cellIs" dxfId="1193" priority="1002" stopIfTrue="1" operator="equal">
      <formula>"SG"</formula>
    </cfRule>
    <cfRule type="expression" dxfId="1192" priority="1003" stopIfTrue="1">
      <formula>NOT(ISERROR(SEARCH("AL",R32)))</formula>
    </cfRule>
    <cfRule type="cellIs" dxfId="1191" priority="1004" operator="equal">
      <formula>"SEC"</formula>
    </cfRule>
    <cfRule type="cellIs" dxfId="1190" priority="1005" stopIfTrue="1" operator="equal">
      <formula>"SR"</formula>
    </cfRule>
    <cfRule type="cellIs" dxfId="1189" priority="1006" stopIfTrue="1" operator="equal">
      <formula>"SG"</formula>
    </cfRule>
    <cfRule type="expression" dxfId="1188" priority="1007" stopIfTrue="1">
      <formula>NOT(ISERROR(SEARCH("AL",R32)))</formula>
    </cfRule>
    <cfRule type="expression" dxfId="1187" priority="1008" stopIfTrue="1">
      <formula>NOT(ISERROR(SEARCH("SEC",R32)))</formula>
    </cfRule>
    <cfRule type="cellIs" dxfId="1186" priority="1009" operator="equal">
      <formula>"GS"</formula>
    </cfRule>
    <cfRule type="expression" dxfId="1185" priority="1010" stopIfTrue="1">
      <formula>NOT(ISERROR(SEARCH("SL",R32)))</formula>
    </cfRule>
    <cfRule type="expression" dxfId="1184" priority="1011" stopIfTrue="1">
      <formula>NOT(ISERROR(SEARCH("NP",R32)))</formula>
    </cfRule>
    <cfRule type="expression" dxfId="1183" priority="1012" stopIfTrue="1">
      <formula>NOT(ISERROR(SEARCH("SH",R32)))</formula>
    </cfRule>
    <cfRule type="expression" dxfId="1182" priority="1013" stopIfTrue="1">
      <formula>NOT(ISERROR(SEARCH("WTT",R32)))</formula>
    </cfRule>
    <cfRule type="expression" dxfId="1181" priority="1014" stopIfTrue="1">
      <formula>NOT(ISERROR(SEARCH("FH",R32)))</formula>
    </cfRule>
  </conditionalFormatting>
  <conditionalFormatting sqref="R29:S33">
    <cfRule type="expression" dxfId="1180" priority="1784" stopIfTrue="1">
      <formula>NOT(ISERROR(SEARCH("WTT",R29)))</formula>
    </cfRule>
  </conditionalFormatting>
  <conditionalFormatting sqref="R30:S30">
    <cfRule type="cellIs" dxfId="1179" priority="1120" operator="equal">
      <formula>"GS"</formula>
    </cfRule>
    <cfRule type="cellIs" dxfId="1178" priority="1121" stopIfTrue="1" operator="equal">
      <formula>"SR"</formula>
    </cfRule>
    <cfRule type="cellIs" dxfId="1177" priority="1122" stopIfTrue="1" operator="equal">
      <formula>"SG"</formula>
    </cfRule>
    <cfRule type="expression" dxfId="1176" priority="1123" stopIfTrue="1">
      <formula>NOT(ISERROR(SEARCH("AL",R30)))</formula>
    </cfRule>
    <cfRule type="cellIs" dxfId="1175" priority="1124" operator="equal">
      <formula>"SEC"</formula>
    </cfRule>
    <cfRule type="cellIs" dxfId="1174" priority="1125" stopIfTrue="1" operator="equal">
      <formula>"SR"</formula>
    </cfRule>
    <cfRule type="cellIs" dxfId="1173" priority="1126" stopIfTrue="1" operator="equal">
      <formula>"SG"</formula>
    </cfRule>
    <cfRule type="expression" dxfId="1172" priority="1127" stopIfTrue="1">
      <formula>NOT(ISERROR(SEARCH("AL",R30)))</formula>
    </cfRule>
    <cfRule type="expression" dxfId="1171" priority="1128" stopIfTrue="1">
      <formula>NOT(ISERROR(SEARCH("SEC",R30)))</formula>
    </cfRule>
    <cfRule type="cellIs" dxfId="1170" priority="1129" operator="equal">
      <formula>"GS"</formula>
    </cfRule>
    <cfRule type="expression" dxfId="1169" priority="1130" stopIfTrue="1">
      <formula>NOT(ISERROR(SEARCH("SL",R30)))</formula>
    </cfRule>
    <cfRule type="expression" dxfId="1168" priority="1131" stopIfTrue="1">
      <formula>NOT(ISERROR(SEARCH("NP",R30)))</formula>
    </cfRule>
    <cfRule type="expression" dxfId="1167" priority="1132" stopIfTrue="1">
      <formula>NOT(ISERROR(SEARCH("SH",R30)))</formula>
    </cfRule>
    <cfRule type="expression" dxfId="1166" priority="1133" stopIfTrue="1">
      <formula>NOT(ISERROR(SEARCH("WTT",R30)))</formula>
    </cfRule>
    <cfRule type="expression" dxfId="1165" priority="1134" stopIfTrue="1">
      <formula>NOT(ISERROR(SEARCH("FH",R30)))</formula>
    </cfRule>
  </conditionalFormatting>
  <conditionalFormatting sqref="R43:S43">
    <cfRule type="cellIs" dxfId="1164" priority="353" operator="equal">
      <formula>"GS"</formula>
    </cfRule>
    <cfRule type="cellIs" dxfId="1163" priority="354" stopIfTrue="1" operator="equal">
      <formula>"SR"</formula>
    </cfRule>
    <cfRule type="cellIs" dxfId="1162" priority="355" stopIfTrue="1" operator="equal">
      <formula>"SG"</formula>
    </cfRule>
    <cfRule type="expression" dxfId="1161" priority="356" stopIfTrue="1">
      <formula>NOT(ISERROR(SEARCH("AL",R43)))</formula>
    </cfRule>
    <cfRule type="cellIs" dxfId="1160" priority="357" operator="equal">
      <formula>"SEC"</formula>
    </cfRule>
    <cfRule type="cellIs" dxfId="1159" priority="358" stopIfTrue="1" operator="equal">
      <formula>"SR"</formula>
    </cfRule>
    <cfRule type="cellIs" dxfId="1158" priority="359" stopIfTrue="1" operator="equal">
      <formula>"SG"</formula>
    </cfRule>
    <cfRule type="expression" dxfId="1157" priority="360" stopIfTrue="1">
      <formula>NOT(ISERROR(SEARCH("AL",R43)))</formula>
    </cfRule>
    <cfRule type="expression" dxfId="1156" priority="361" stopIfTrue="1">
      <formula>NOT(ISERROR(SEARCH("SEC",R43)))</formula>
    </cfRule>
    <cfRule type="cellIs" dxfId="1155" priority="362" operator="equal">
      <formula>"GS"</formula>
    </cfRule>
    <cfRule type="expression" dxfId="1154" priority="363" stopIfTrue="1">
      <formula>NOT(ISERROR(SEARCH("SL",R43)))</formula>
    </cfRule>
    <cfRule type="expression" dxfId="1153" priority="364" stopIfTrue="1">
      <formula>NOT(ISERROR(SEARCH("NP",R43)))</formula>
    </cfRule>
    <cfRule type="expression" dxfId="1152" priority="365" stopIfTrue="1">
      <formula>NOT(ISERROR(SEARCH("SH",R43)))</formula>
    </cfRule>
    <cfRule type="expression" dxfId="1151" priority="366" stopIfTrue="1">
      <formula>NOT(ISERROR(SEARCH("WTT",R43)))</formula>
    </cfRule>
    <cfRule type="expression" dxfId="1150" priority="367" stopIfTrue="1">
      <formula>NOT(ISERROR(SEARCH("FH",R43)))</formula>
    </cfRule>
  </conditionalFormatting>
  <conditionalFormatting sqref="R10:V10">
    <cfRule type="containsText" dxfId="1149" priority="11" operator="containsText" text="G">
      <formula>NOT(ISERROR(SEARCH("G",R10)))</formula>
    </cfRule>
  </conditionalFormatting>
  <conditionalFormatting sqref="S24">
    <cfRule type="cellIs" dxfId="1148" priority="1458" operator="equal">
      <formula>"GS"</formula>
    </cfRule>
    <cfRule type="cellIs" dxfId="1147" priority="1459" stopIfTrue="1" operator="equal">
      <formula>"SR"</formula>
    </cfRule>
    <cfRule type="cellIs" dxfId="1146" priority="1460" stopIfTrue="1" operator="equal">
      <formula>"SG"</formula>
    </cfRule>
    <cfRule type="expression" dxfId="1145" priority="1461" stopIfTrue="1">
      <formula>NOT(ISERROR(SEARCH("AL",S24)))</formula>
    </cfRule>
    <cfRule type="cellIs" dxfId="1144" priority="1462" operator="equal">
      <formula>"SEC"</formula>
    </cfRule>
    <cfRule type="cellIs" dxfId="1143" priority="1463" stopIfTrue="1" operator="equal">
      <formula>"SR"</formula>
    </cfRule>
    <cfRule type="cellIs" dxfId="1142" priority="1464" stopIfTrue="1" operator="equal">
      <formula>"SG"</formula>
    </cfRule>
    <cfRule type="expression" dxfId="1141" priority="1465" stopIfTrue="1">
      <formula>NOT(ISERROR(SEARCH("AL",S24)))</formula>
    </cfRule>
    <cfRule type="expression" dxfId="1140" priority="1466" stopIfTrue="1">
      <formula>NOT(ISERROR(SEARCH("SEC",S24)))</formula>
    </cfRule>
    <cfRule type="cellIs" dxfId="1139" priority="1467" operator="equal">
      <formula>"GS"</formula>
    </cfRule>
    <cfRule type="expression" dxfId="1138" priority="1468" stopIfTrue="1">
      <formula>NOT(ISERROR(SEARCH("SL",S24)))</formula>
    </cfRule>
    <cfRule type="expression" dxfId="1137" priority="1469" stopIfTrue="1">
      <formula>NOT(ISERROR(SEARCH("NP",S24)))</formula>
    </cfRule>
    <cfRule type="expression" dxfId="1136" priority="1470" stopIfTrue="1">
      <formula>NOT(ISERROR(SEARCH("SH",S24)))</formula>
    </cfRule>
  </conditionalFormatting>
  <conditionalFormatting sqref="S22:T22">
    <cfRule type="cellIs" dxfId="1135" priority="1562" operator="equal">
      <formula>"GS"</formula>
    </cfRule>
    <cfRule type="cellIs" dxfId="1134" priority="1563" stopIfTrue="1" operator="equal">
      <formula>"SR"</formula>
    </cfRule>
    <cfRule type="cellIs" dxfId="1133" priority="1564" stopIfTrue="1" operator="equal">
      <formula>"SG"</formula>
    </cfRule>
    <cfRule type="expression" dxfId="1132" priority="1565" stopIfTrue="1">
      <formula>NOT(ISERROR(SEARCH("AL",S22)))</formula>
    </cfRule>
    <cfRule type="cellIs" dxfId="1131" priority="1566" operator="equal">
      <formula>"SEC"</formula>
    </cfRule>
    <cfRule type="cellIs" dxfId="1130" priority="1567" stopIfTrue="1" operator="equal">
      <formula>"SR"</formula>
    </cfRule>
    <cfRule type="cellIs" dxfId="1129" priority="1568" stopIfTrue="1" operator="equal">
      <formula>"SG"</formula>
    </cfRule>
    <cfRule type="expression" dxfId="1128" priority="1569" stopIfTrue="1">
      <formula>NOT(ISERROR(SEARCH("AL",S22)))</formula>
    </cfRule>
    <cfRule type="expression" dxfId="1127" priority="1570" stopIfTrue="1">
      <formula>NOT(ISERROR(SEARCH("SEC",S22)))</formula>
    </cfRule>
    <cfRule type="cellIs" dxfId="1126" priority="1571" operator="equal">
      <formula>"GS"</formula>
    </cfRule>
    <cfRule type="expression" dxfId="1125" priority="1572" stopIfTrue="1">
      <formula>NOT(ISERROR(SEARCH("SL",S22)))</formula>
    </cfRule>
    <cfRule type="expression" dxfId="1124" priority="1573" stopIfTrue="1">
      <formula>NOT(ISERROR(SEARCH("NP",S22)))</formula>
    </cfRule>
    <cfRule type="expression" dxfId="1123" priority="1574" stopIfTrue="1">
      <formula>NOT(ISERROR(SEARCH("SH",S22)))</formula>
    </cfRule>
  </conditionalFormatting>
  <conditionalFormatting sqref="S26:T26">
    <cfRule type="expression" dxfId="1122" priority="1775" stopIfTrue="1">
      <formula>NOT(ISERROR(SEARCH("WTT",S26)))</formula>
    </cfRule>
  </conditionalFormatting>
  <conditionalFormatting sqref="S46:T46">
    <cfRule type="cellIs" dxfId="1121" priority="203" operator="equal">
      <formula>"GS"</formula>
    </cfRule>
    <cfRule type="cellIs" dxfId="1120" priority="204" stopIfTrue="1" operator="equal">
      <formula>"SR"</formula>
    </cfRule>
    <cfRule type="cellIs" dxfId="1119" priority="205" stopIfTrue="1" operator="equal">
      <formula>"SG"</formula>
    </cfRule>
    <cfRule type="expression" dxfId="1118" priority="206" stopIfTrue="1">
      <formula>NOT(ISERROR(SEARCH("AL",S46)))</formula>
    </cfRule>
    <cfRule type="cellIs" dxfId="1117" priority="207" operator="equal">
      <formula>"SEC"</formula>
    </cfRule>
    <cfRule type="cellIs" dxfId="1116" priority="208" stopIfTrue="1" operator="equal">
      <formula>"SR"</formula>
    </cfRule>
    <cfRule type="cellIs" dxfId="1115" priority="209" stopIfTrue="1" operator="equal">
      <formula>"SG"</formula>
    </cfRule>
    <cfRule type="expression" dxfId="1114" priority="210" stopIfTrue="1">
      <formula>NOT(ISERROR(SEARCH("AL",S46)))</formula>
    </cfRule>
    <cfRule type="expression" dxfId="1113" priority="211" stopIfTrue="1">
      <formula>NOT(ISERROR(SEARCH("SEC",S46)))</formula>
    </cfRule>
    <cfRule type="cellIs" dxfId="1112" priority="212" operator="equal">
      <formula>"GS"</formula>
    </cfRule>
    <cfRule type="expression" dxfId="1111" priority="213" stopIfTrue="1">
      <formula>NOT(ISERROR(SEARCH("SL",S46)))</formula>
    </cfRule>
    <cfRule type="expression" dxfId="1110" priority="214" stopIfTrue="1">
      <formula>NOT(ISERROR(SEARCH("NP",S46)))</formula>
    </cfRule>
    <cfRule type="expression" dxfId="1109" priority="215" stopIfTrue="1">
      <formula>NOT(ISERROR(SEARCH("SH",S46)))</formula>
    </cfRule>
    <cfRule type="expression" dxfId="1108" priority="216" stopIfTrue="1">
      <formula>NOT(ISERROR(SEARCH("WTT",S46)))</formula>
    </cfRule>
    <cfRule type="expression" dxfId="1107" priority="217" stopIfTrue="1">
      <formula>NOT(ISERROR(SEARCH("FH",S46)))</formula>
    </cfRule>
  </conditionalFormatting>
  <conditionalFormatting sqref="T28">
    <cfRule type="cellIs" dxfId="1106" priority="1253" operator="equal">
      <formula>"GS"</formula>
    </cfRule>
    <cfRule type="cellIs" dxfId="1105" priority="1254" stopIfTrue="1" operator="equal">
      <formula>"SR"</formula>
    </cfRule>
    <cfRule type="cellIs" dxfId="1104" priority="1255" stopIfTrue="1" operator="equal">
      <formula>"SG"</formula>
    </cfRule>
    <cfRule type="expression" dxfId="1103" priority="1256" stopIfTrue="1">
      <formula>NOT(ISERROR(SEARCH("AL",T28)))</formula>
    </cfRule>
    <cfRule type="cellIs" dxfId="1102" priority="1257" operator="equal">
      <formula>"SEC"</formula>
    </cfRule>
    <cfRule type="cellIs" dxfId="1101" priority="1258" stopIfTrue="1" operator="equal">
      <formula>"SR"</formula>
    </cfRule>
    <cfRule type="cellIs" dxfId="1100" priority="1259" stopIfTrue="1" operator="equal">
      <formula>"SG"</formula>
    </cfRule>
    <cfRule type="expression" dxfId="1099" priority="1260" stopIfTrue="1">
      <formula>NOT(ISERROR(SEARCH("AL",T28)))</formula>
    </cfRule>
    <cfRule type="expression" dxfId="1098" priority="1261" stopIfTrue="1">
      <formula>NOT(ISERROR(SEARCH("SEC",T28)))</formula>
    </cfRule>
    <cfRule type="cellIs" dxfId="1097" priority="1262" operator="equal">
      <formula>"GS"</formula>
    </cfRule>
    <cfRule type="expression" dxfId="1096" priority="1263" stopIfTrue="1">
      <formula>NOT(ISERROR(SEARCH("SL",T28)))</formula>
    </cfRule>
    <cfRule type="expression" dxfId="1095" priority="1264" stopIfTrue="1">
      <formula>NOT(ISERROR(SEARCH("NP",T28)))</formula>
    </cfRule>
    <cfRule type="expression" dxfId="1094" priority="1265" stopIfTrue="1">
      <formula>NOT(ISERROR(SEARCH("SH",T28)))</formula>
    </cfRule>
    <cfRule type="expression" dxfId="1093" priority="1266" stopIfTrue="1">
      <formula>NOT(ISERROR(SEARCH("WTT",T28)))</formula>
    </cfRule>
  </conditionalFormatting>
  <conditionalFormatting sqref="T31:T32">
    <cfRule type="expression" dxfId="1092" priority="1790" stopIfTrue="1">
      <formula>NOT(ISERROR(SEARCH("WTT",T31)))</formula>
    </cfRule>
  </conditionalFormatting>
  <conditionalFormatting sqref="T39">
    <cfRule type="cellIs" dxfId="1091" priority="609" operator="equal">
      <formula>"GS"</formula>
    </cfRule>
    <cfRule type="cellIs" dxfId="1090" priority="610" stopIfTrue="1" operator="equal">
      <formula>"SR"</formula>
    </cfRule>
    <cfRule type="cellIs" dxfId="1089" priority="611" stopIfTrue="1" operator="equal">
      <formula>"SG"</formula>
    </cfRule>
    <cfRule type="expression" dxfId="1088" priority="612" stopIfTrue="1">
      <formula>NOT(ISERROR(SEARCH("AL",T39)))</formula>
    </cfRule>
    <cfRule type="cellIs" dxfId="1087" priority="613" operator="equal">
      <formula>"SEC"</formula>
    </cfRule>
    <cfRule type="cellIs" dxfId="1086" priority="614" stopIfTrue="1" operator="equal">
      <formula>"SR"</formula>
    </cfRule>
    <cfRule type="cellIs" dxfId="1085" priority="615" stopIfTrue="1" operator="equal">
      <formula>"SG"</formula>
    </cfRule>
    <cfRule type="expression" dxfId="1084" priority="616" stopIfTrue="1">
      <formula>NOT(ISERROR(SEARCH("AL",T39)))</formula>
    </cfRule>
    <cfRule type="expression" dxfId="1083" priority="617" stopIfTrue="1">
      <formula>NOT(ISERROR(SEARCH("SEC",T39)))</formula>
    </cfRule>
    <cfRule type="cellIs" dxfId="1082" priority="618" operator="equal">
      <formula>"GS"</formula>
    </cfRule>
    <cfRule type="expression" dxfId="1081" priority="619" stopIfTrue="1">
      <formula>NOT(ISERROR(SEARCH("SL",T39)))</formula>
    </cfRule>
    <cfRule type="expression" dxfId="1080" priority="620" stopIfTrue="1">
      <formula>NOT(ISERROR(SEARCH("NP",T39)))</formula>
    </cfRule>
    <cfRule type="expression" dxfId="1079" priority="621" stopIfTrue="1">
      <formula>NOT(ISERROR(SEARCH("SH",T39)))</formula>
    </cfRule>
    <cfRule type="expression" dxfId="1078" priority="622" stopIfTrue="1">
      <formula>NOT(ISERROR(SEARCH("WTT",T39)))</formula>
    </cfRule>
    <cfRule type="expression" dxfId="1077" priority="623" stopIfTrue="1">
      <formula>NOT(ISERROR(SEARCH("FH",T39)))</formula>
    </cfRule>
  </conditionalFormatting>
  <conditionalFormatting sqref="T47">
    <cfRule type="cellIs" dxfId="1076" priority="142" operator="equal">
      <formula>"GS"</formula>
    </cfRule>
    <cfRule type="cellIs" dxfId="1075" priority="143" stopIfTrue="1" operator="equal">
      <formula>"SR"</formula>
    </cfRule>
    <cfRule type="cellIs" dxfId="1074" priority="144" stopIfTrue="1" operator="equal">
      <formula>"SG"</formula>
    </cfRule>
    <cfRule type="expression" dxfId="1073" priority="145" stopIfTrue="1">
      <formula>NOT(ISERROR(SEARCH("AL",T47)))</formula>
    </cfRule>
    <cfRule type="cellIs" dxfId="1072" priority="146" operator="equal">
      <formula>"SEC"</formula>
    </cfRule>
    <cfRule type="cellIs" dxfId="1071" priority="147" stopIfTrue="1" operator="equal">
      <formula>"SR"</formula>
    </cfRule>
    <cfRule type="cellIs" dxfId="1070" priority="148" stopIfTrue="1" operator="equal">
      <formula>"SG"</formula>
    </cfRule>
    <cfRule type="expression" dxfId="1069" priority="149" stopIfTrue="1">
      <formula>NOT(ISERROR(SEARCH("AL",T47)))</formula>
    </cfRule>
    <cfRule type="expression" dxfId="1068" priority="150" stopIfTrue="1">
      <formula>NOT(ISERROR(SEARCH("SEC",T47)))</formula>
    </cfRule>
    <cfRule type="cellIs" dxfId="1067" priority="151" operator="equal">
      <formula>"GS"</formula>
    </cfRule>
    <cfRule type="expression" dxfId="1066" priority="152" stopIfTrue="1">
      <formula>NOT(ISERROR(SEARCH("SL",T47)))</formula>
    </cfRule>
    <cfRule type="expression" dxfId="1065" priority="153" stopIfTrue="1">
      <formula>NOT(ISERROR(SEARCH("NP",T47)))</formula>
    </cfRule>
    <cfRule type="expression" dxfId="1064" priority="154" stopIfTrue="1">
      <formula>NOT(ISERROR(SEARCH("SH",T47)))</formula>
    </cfRule>
    <cfRule type="expression" dxfId="1063" priority="155" stopIfTrue="1">
      <formula>NOT(ISERROR(SEARCH("WTT",T47)))</formula>
    </cfRule>
    <cfRule type="expression" dxfId="1062" priority="156" stopIfTrue="1">
      <formula>NOT(ISERROR(SEARCH("FH",T47)))</formula>
    </cfRule>
    <cfRule type="cellIs" dxfId="1061" priority="157" stopIfTrue="1" operator="equal">
      <formula>"OTN"</formula>
    </cfRule>
  </conditionalFormatting>
  <conditionalFormatting sqref="T11:V11">
    <cfRule type="cellIs" dxfId="1060" priority="1665" operator="equal">
      <formula>"GS"</formula>
    </cfRule>
    <cfRule type="cellIs" dxfId="1059" priority="1666" stopIfTrue="1" operator="equal">
      <formula>"SR"</formula>
    </cfRule>
    <cfRule type="cellIs" dxfId="1058" priority="1667" stopIfTrue="1" operator="equal">
      <formula>"SG"</formula>
    </cfRule>
    <cfRule type="expression" dxfId="1057" priority="1668" stopIfTrue="1">
      <formula>NOT(ISERROR(SEARCH("AL",T11)))</formula>
    </cfRule>
  </conditionalFormatting>
  <conditionalFormatting sqref="T21:V21">
    <cfRule type="cellIs" dxfId="1056" priority="1628" operator="equal">
      <formula>"GS"</formula>
    </cfRule>
    <cfRule type="cellIs" dxfId="1055" priority="1629" stopIfTrue="1" operator="equal">
      <formula>"SR"</formula>
    </cfRule>
    <cfRule type="cellIs" dxfId="1054" priority="1630" stopIfTrue="1" operator="equal">
      <formula>"SG"</formula>
    </cfRule>
    <cfRule type="expression" dxfId="1053" priority="1631" stopIfTrue="1">
      <formula>NOT(ISERROR(SEARCH("AL",T21)))</formula>
    </cfRule>
  </conditionalFormatting>
  <conditionalFormatting sqref="U26:U27">
    <cfRule type="expression" dxfId="1052" priority="1776" stopIfTrue="1">
      <formula>NOT(ISERROR(SEARCH("WTT",U26)))</formula>
    </cfRule>
  </conditionalFormatting>
  <conditionalFormatting sqref="U31">
    <cfRule type="cellIs" dxfId="1051" priority="1060" operator="equal">
      <formula>"GS"</formula>
    </cfRule>
    <cfRule type="cellIs" dxfId="1050" priority="1061" stopIfTrue="1" operator="equal">
      <formula>"SR"</formula>
    </cfRule>
    <cfRule type="cellIs" dxfId="1049" priority="1062" stopIfTrue="1" operator="equal">
      <formula>"SG"</formula>
    </cfRule>
    <cfRule type="expression" dxfId="1048" priority="1063" stopIfTrue="1">
      <formula>NOT(ISERROR(SEARCH("AL",U31)))</formula>
    </cfRule>
    <cfRule type="cellIs" dxfId="1047" priority="1064" operator="equal">
      <formula>"SEC"</formula>
    </cfRule>
    <cfRule type="cellIs" dxfId="1046" priority="1065" stopIfTrue="1" operator="equal">
      <formula>"SR"</formula>
    </cfRule>
    <cfRule type="cellIs" dxfId="1045" priority="1066" stopIfTrue="1" operator="equal">
      <formula>"SG"</formula>
    </cfRule>
    <cfRule type="expression" dxfId="1044" priority="1067" stopIfTrue="1">
      <formula>NOT(ISERROR(SEARCH("AL",U31)))</formula>
    </cfRule>
    <cfRule type="expression" dxfId="1043" priority="1068" stopIfTrue="1">
      <formula>NOT(ISERROR(SEARCH("SEC",U31)))</formula>
    </cfRule>
    <cfRule type="cellIs" dxfId="1042" priority="1069" operator="equal">
      <formula>"GS"</formula>
    </cfRule>
    <cfRule type="expression" dxfId="1041" priority="1070" stopIfTrue="1">
      <formula>NOT(ISERROR(SEARCH("SL",U31)))</formula>
    </cfRule>
    <cfRule type="expression" dxfId="1040" priority="1071" stopIfTrue="1">
      <formula>NOT(ISERROR(SEARCH("NP",U31)))</formula>
    </cfRule>
    <cfRule type="expression" dxfId="1039" priority="1072" stopIfTrue="1">
      <formula>NOT(ISERROR(SEARCH("SH",U31)))</formula>
    </cfRule>
    <cfRule type="expression" dxfId="1038" priority="1073" stopIfTrue="1">
      <formula>NOT(ISERROR(SEARCH("WTT",U31)))</formula>
    </cfRule>
    <cfRule type="expression" dxfId="1037" priority="1074" stopIfTrue="1">
      <formula>NOT(ISERROR(SEARCH("FH",U31)))</formula>
    </cfRule>
  </conditionalFormatting>
  <conditionalFormatting sqref="U40">
    <cfRule type="cellIs" dxfId="1036" priority="550" stopIfTrue="1" operator="equal">
      <formula>"SR"</formula>
    </cfRule>
    <cfRule type="cellIs" dxfId="1035" priority="551" stopIfTrue="1" operator="equal">
      <formula>"SG"</formula>
    </cfRule>
    <cfRule type="expression" dxfId="1034" priority="552" stopIfTrue="1">
      <formula>NOT(ISERROR(SEARCH("AL",U40)))</formula>
    </cfRule>
    <cfRule type="cellIs" dxfId="1033" priority="553" operator="equal">
      <formula>"SEC"</formula>
    </cfRule>
    <cfRule type="cellIs" dxfId="1032" priority="554" stopIfTrue="1" operator="equal">
      <formula>"SR"</formula>
    </cfRule>
    <cfRule type="cellIs" dxfId="1031" priority="555" stopIfTrue="1" operator="equal">
      <formula>"SG"</formula>
    </cfRule>
    <cfRule type="expression" dxfId="1030" priority="556" stopIfTrue="1">
      <formula>NOT(ISERROR(SEARCH("AL",U40)))</formula>
    </cfRule>
    <cfRule type="expression" dxfId="1029" priority="557" stopIfTrue="1">
      <formula>NOT(ISERROR(SEARCH("SEC",U40)))</formula>
    </cfRule>
    <cfRule type="cellIs" dxfId="1028" priority="558" operator="equal">
      <formula>"GS"</formula>
    </cfRule>
    <cfRule type="expression" dxfId="1027" priority="559" stopIfTrue="1">
      <formula>NOT(ISERROR(SEARCH("SL",U40)))</formula>
    </cfRule>
    <cfRule type="expression" dxfId="1026" priority="560" stopIfTrue="1">
      <formula>NOT(ISERROR(SEARCH("NP",U40)))</formula>
    </cfRule>
    <cfRule type="expression" dxfId="1025" priority="561" stopIfTrue="1">
      <formula>NOT(ISERROR(SEARCH("SH",U40)))</formula>
    </cfRule>
    <cfRule type="expression" dxfId="1024" priority="562" stopIfTrue="1">
      <formula>NOT(ISERROR(SEARCH("WTT",U40)))</formula>
    </cfRule>
    <cfRule type="expression" dxfId="1023" priority="563" stopIfTrue="1">
      <formula>NOT(ISERROR(SEARCH("FH",U40)))</formula>
    </cfRule>
  </conditionalFormatting>
  <conditionalFormatting sqref="U40:U41">
    <cfRule type="cellIs" dxfId="1022" priority="497" operator="equal">
      <formula>"GS"</formula>
    </cfRule>
  </conditionalFormatting>
  <conditionalFormatting sqref="U41">
    <cfRule type="cellIs" dxfId="1021" priority="489" stopIfTrue="1" operator="equal">
      <formula>"SR"</formula>
    </cfRule>
    <cfRule type="cellIs" dxfId="1020" priority="490" stopIfTrue="1" operator="equal">
      <formula>"SG"</formula>
    </cfRule>
    <cfRule type="expression" dxfId="1019" priority="491" stopIfTrue="1">
      <formula>NOT(ISERROR(SEARCH("AL",U41)))</formula>
    </cfRule>
    <cfRule type="cellIs" dxfId="1018" priority="492" operator="equal">
      <formula>"SEC"</formula>
    </cfRule>
    <cfRule type="cellIs" dxfId="1017" priority="493" stopIfTrue="1" operator="equal">
      <formula>"SR"</formula>
    </cfRule>
    <cfRule type="cellIs" dxfId="1016" priority="494" stopIfTrue="1" operator="equal">
      <formula>"SG"</formula>
    </cfRule>
    <cfRule type="expression" dxfId="1015" priority="495" stopIfTrue="1">
      <formula>NOT(ISERROR(SEARCH("AL",U41)))</formula>
    </cfRule>
    <cfRule type="expression" dxfId="1014" priority="496" stopIfTrue="1">
      <formula>NOT(ISERROR(SEARCH("SEC",U41)))</formula>
    </cfRule>
    <cfRule type="expression" dxfId="1013" priority="498" stopIfTrue="1">
      <formula>NOT(ISERROR(SEARCH("SL",U41)))</formula>
    </cfRule>
    <cfRule type="expression" dxfId="1012" priority="499" stopIfTrue="1">
      <formula>NOT(ISERROR(SEARCH("NP",U41)))</formula>
    </cfRule>
    <cfRule type="expression" dxfId="1011" priority="500" stopIfTrue="1">
      <formula>NOT(ISERROR(SEARCH("SH",U41)))</formula>
    </cfRule>
    <cfRule type="expression" dxfId="1010" priority="501" stopIfTrue="1">
      <formula>NOT(ISERROR(SEARCH("WTT",U41)))</formula>
    </cfRule>
    <cfRule type="expression" dxfId="1009" priority="502" stopIfTrue="1">
      <formula>NOT(ISERROR(SEARCH("FH",U41)))</formula>
    </cfRule>
    <cfRule type="cellIs" dxfId="1008" priority="503" stopIfTrue="1" operator="equal">
      <formula>"OTN"</formula>
    </cfRule>
  </conditionalFormatting>
  <conditionalFormatting sqref="U41:U42">
    <cfRule type="cellIs" dxfId="1007" priority="437" operator="equal">
      <formula>"GS"</formula>
    </cfRule>
  </conditionalFormatting>
  <conditionalFormatting sqref="U42">
    <cfRule type="cellIs" dxfId="1006" priority="428" operator="equal">
      <formula>"GS"</formula>
    </cfRule>
    <cfRule type="cellIs" dxfId="1005" priority="429" stopIfTrue="1" operator="equal">
      <formula>"SR"</formula>
    </cfRule>
    <cfRule type="cellIs" dxfId="1004" priority="430" stopIfTrue="1" operator="equal">
      <formula>"SG"</formula>
    </cfRule>
    <cfRule type="expression" dxfId="1003" priority="431" stopIfTrue="1">
      <formula>NOT(ISERROR(SEARCH("AL",U42)))</formula>
    </cfRule>
    <cfRule type="cellIs" dxfId="1002" priority="432" operator="equal">
      <formula>"SEC"</formula>
    </cfRule>
    <cfRule type="cellIs" dxfId="1001" priority="433" stopIfTrue="1" operator="equal">
      <formula>"SR"</formula>
    </cfRule>
    <cfRule type="cellIs" dxfId="1000" priority="434" stopIfTrue="1" operator="equal">
      <formula>"SG"</formula>
    </cfRule>
    <cfRule type="expression" dxfId="999" priority="435" stopIfTrue="1">
      <formula>NOT(ISERROR(SEARCH("AL",U42)))</formula>
    </cfRule>
    <cfRule type="expression" dxfId="998" priority="436" stopIfTrue="1">
      <formula>NOT(ISERROR(SEARCH("SEC",U42)))</formula>
    </cfRule>
    <cfRule type="expression" dxfId="997" priority="438" stopIfTrue="1">
      <formula>NOT(ISERROR(SEARCH("SL",U42)))</formula>
    </cfRule>
    <cfRule type="expression" dxfId="996" priority="439" stopIfTrue="1">
      <formula>NOT(ISERROR(SEARCH("NP",U42)))</formula>
    </cfRule>
    <cfRule type="expression" dxfId="995" priority="440" stopIfTrue="1">
      <formula>NOT(ISERROR(SEARCH("SH",U42)))</formula>
    </cfRule>
    <cfRule type="expression" dxfId="994" priority="441" stopIfTrue="1">
      <formula>NOT(ISERROR(SEARCH("WTT",U42)))</formula>
    </cfRule>
    <cfRule type="expression" dxfId="993" priority="442" stopIfTrue="1">
      <formula>NOT(ISERROR(SEARCH("FH",U42)))</formula>
    </cfRule>
  </conditionalFormatting>
  <conditionalFormatting sqref="U41:V41">
    <cfRule type="expression" dxfId="992" priority="1803" stopIfTrue="1">
      <formula>NOT(ISERROR(SEARCH("WTT",U41)))</formula>
    </cfRule>
  </conditionalFormatting>
  <conditionalFormatting sqref="U45:V45">
    <cfRule type="cellIs" dxfId="991" priority="263" operator="equal">
      <formula>"GS"</formula>
    </cfRule>
    <cfRule type="cellIs" dxfId="990" priority="264" stopIfTrue="1" operator="equal">
      <formula>"SR"</formula>
    </cfRule>
    <cfRule type="cellIs" dxfId="989" priority="265" stopIfTrue="1" operator="equal">
      <formula>"SG"</formula>
    </cfRule>
    <cfRule type="expression" dxfId="988" priority="266" stopIfTrue="1">
      <formula>NOT(ISERROR(SEARCH("AL",U45)))</formula>
    </cfRule>
    <cfRule type="cellIs" dxfId="987" priority="267" operator="equal">
      <formula>"SEC"</formula>
    </cfRule>
    <cfRule type="cellIs" dxfId="986" priority="268" stopIfTrue="1" operator="equal">
      <formula>"SR"</formula>
    </cfRule>
    <cfRule type="cellIs" dxfId="985" priority="269" stopIfTrue="1" operator="equal">
      <formula>"SG"</formula>
    </cfRule>
    <cfRule type="expression" dxfId="984" priority="270" stopIfTrue="1">
      <formula>NOT(ISERROR(SEARCH("AL",U45)))</formula>
    </cfRule>
    <cfRule type="expression" dxfId="983" priority="271" stopIfTrue="1">
      <formula>NOT(ISERROR(SEARCH("SEC",U45)))</formula>
    </cfRule>
    <cfRule type="cellIs" dxfId="982" priority="272" operator="equal">
      <formula>"GS"</formula>
    </cfRule>
    <cfRule type="expression" dxfId="981" priority="273" stopIfTrue="1">
      <formula>NOT(ISERROR(SEARCH("SL",U45)))</formula>
    </cfRule>
    <cfRule type="expression" dxfId="980" priority="274" stopIfTrue="1">
      <formula>NOT(ISERROR(SEARCH("NP",U45)))</formula>
    </cfRule>
    <cfRule type="expression" dxfId="979" priority="275" stopIfTrue="1">
      <formula>NOT(ISERROR(SEARCH("SH",U45)))</formula>
    </cfRule>
    <cfRule type="expression" dxfId="978" priority="276" stopIfTrue="1">
      <formula>NOT(ISERROR(SEARCH("WTT",U45)))</formula>
    </cfRule>
    <cfRule type="expression" dxfId="977" priority="277" stopIfTrue="1">
      <formula>NOT(ISERROR(SEARCH("FH",U45)))</formula>
    </cfRule>
  </conditionalFormatting>
  <conditionalFormatting sqref="V26">
    <cfRule type="cellIs" dxfId="976" priority="1365" operator="equal">
      <formula>"GS"</formula>
    </cfRule>
    <cfRule type="cellIs" dxfId="975" priority="1366" stopIfTrue="1" operator="equal">
      <formula>"SR"</formula>
    </cfRule>
    <cfRule type="cellIs" dxfId="974" priority="1367" stopIfTrue="1" operator="equal">
      <formula>"SG"</formula>
    </cfRule>
    <cfRule type="expression" dxfId="973" priority="1368" stopIfTrue="1">
      <formula>NOT(ISERROR(SEARCH("AL",V26)))</formula>
    </cfRule>
    <cfRule type="cellIs" dxfId="972" priority="1369" operator="equal">
      <formula>"SEC"</formula>
    </cfRule>
    <cfRule type="cellIs" dxfId="971" priority="1370" stopIfTrue="1" operator="equal">
      <formula>"SR"</formula>
    </cfRule>
    <cfRule type="cellIs" dxfId="970" priority="1371" stopIfTrue="1" operator="equal">
      <formula>"SG"</formula>
    </cfRule>
    <cfRule type="expression" dxfId="969" priority="1372" stopIfTrue="1">
      <formula>NOT(ISERROR(SEARCH("AL",V26)))</formula>
    </cfRule>
    <cfRule type="expression" dxfId="968" priority="1373" stopIfTrue="1">
      <formula>NOT(ISERROR(SEARCH("SEC",V26)))</formula>
    </cfRule>
    <cfRule type="cellIs" dxfId="967" priority="1374" operator="equal">
      <formula>"GS"</formula>
    </cfRule>
    <cfRule type="expression" dxfId="966" priority="1375" stopIfTrue="1">
      <formula>NOT(ISERROR(SEARCH("SL",V26)))</formula>
    </cfRule>
    <cfRule type="expression" dxfId="965" priority="1376" stopIfTrue="1">
      <formula>NOT(ISERROR(SEARCH("NP",V26)))</formula>
    </cfRule>
    <cfRule type="expression" dxfId="964" priority="1377" stopIfTrue="1">
      <formula>NOT(ISERROR(SEARCH("SH",V26)))</formula>
    </cfRule>
    <cfRule type="expression" dxfId="963" priority="1378" stopIfTrue="1">
      <formula>NOT(ISERROR(SEARCH("WTT",V26)))</formula>
    </cfRule>
  </conditionalFormatting>
  <conditionalFormatting sqref="V34">
    <cfRule type="cellIs" dxfId="962" priority="909" operator="equal">
      <formula>"GS"</formula>
    </cfRule>
    <cfRule type="cellIs" dxfId="961" priority="910" stopIfTrue="1" operator="equal">
      <formula>"SR"</formula>
    </cfRule>
    <cfRule type="cellIs" dxfId="960" priority="911" stopIfTrue="1" operator="equal">
      <formula>"SG"</formula>
    </cfRule>
    <cfRule type="expression" dxfId="959" priority="912" stopIfTrue="1">
      <formula>NOT(ISERROR(SEARCH("AL",V34)))</formula>
    </cfRule>
    <cfRule type="cellIs" dxfId="958" priority="913" operator="equal">
      <formula>"SEC"</formula>
    </cfRule>
    <cfRule type="cellIs" dxfId="957" priority="914" stopIfTrue="1" operator="equal">
      <formula>"SR"</formula>
    </cfRule>
    <cfRule type="cellIs" dxfId="956" priority="915" stopIfTrue="1" operator="equal">
      <formula>"SG"</formula>
    </cfRule>
    <cfRule type="expression" dxfId="955" priority="916" stopIfTrue="1">
      <formula>NOT(ISERROR(SEARCH("AL",V34)))</formula>
    </cfRule>
    <cfRule type="expression" dxfId="954" priority="917" stopIfTrue="1">
      <formula>NOT(ISERROR(SEARCH("SEC",V34)))</formula>
    </cfRule>
    <cfRule type="cellIs" dxfId="953" priority="918" operator="equal">
      <formula>"GS"</formula>
    </cfRule>
    <cfRule type="expression" dxfId="952" priority="919" stopIfTrue="1">
      <formula>NOT(ISERROR(SEARCH("SL",V34)))</formula>
    </cfRule>
    <cfRule type="expression" dxfId="951" priority="920" stopIfTrue="1">
      <formula>NOT(ISERROR(SEARCH("NP",V34)))</formula>
    </cfRule>
    <cfRule type="expression" dxfId="950" priority="921" stopIfTrue="1">
      <formula>NOT(ISERROR(SEARCH("SH",V34)))</formula>
    </cfRule>
    <cfRule type="expression" dxfId="949" priority="922" stopIfTrue="1">
      <formula>NOT(ISERROR(SEARCH("WTT",V34)))</formula>
    </cfRule>
    <cfRule type="expression" dxfId="948" priority="923" stopIfTrue="1">
      <formula>NOT(ISERROR(SEARCH("FH",V34)))</formula>
    </cfRule>
  </conditionalFormatting>
  <conditionalFormatting sqref="V34:V35">
    <cfRule type="expression" dxfId="947" priority="1798" stopIfTrue="1">
      <formula>NOT(ISERROR(SEARCH("WTT",V34)))</formula>
    </cfRule>
  </conditionalFormatting>
  <conditionalFormatting sqref="V38">
    <cfRule type="cellIs" dxfId="946" priority="669" operator="equal">
      <formula>"GS"</formula>
    </cfRule>
    <cfRule type="cellIs" dxfId="945" priority="670" stopIfTrue="1" operator="equal">
      <formula>"SR"</formula>
    </cfRule>
    <cfRule type="cellIs" dxfId="944" priority="671" stopIfTrue="1" operator="equal">
      <formula>"SG"</formula>
    </cfRule>
    <cfRule type="expression" dxfId="943" priority="672" stopIfTrue="1">
      <formula>NOT(ISERROR(SEARCH("AL",V38)))</formula>
    </cfRule>
    <cfRule type="cellIs" dxfId="942" priority="673" operator="equal">
      <formula>"SEC"</formula>
    </cfRule>
    <cfRule type="cellIs" dxfId="941" priority="674" stopIfTrue="1" operator="equal">
      <formula>"SR"</formula>
    </cfRule>
    <cfRule type="cellIs" dxfId="940" priority="675" stopIfTrue="1" operator="equal">
      <formula>"SG"</formula>
    </cfRule>
    <cfRule type="expression" dxfId="939" priority="676" stopIfTrue="1">
      <formula>NOT(ISERROR(SEARCH("AL",V38)))</formula>
    </cfRule>
    <cfRule type="expression" dxfId="938" priority="677" stopIfTrue="1">
      <formula>NOT(ISERROR(SEARCH("SEC",V38)))</formula>
    </cfRule>
    <cfRule type="cellIs" dxfId="937" priority="678" operator="equal">
      <formula>"GS"</formula>
    </cfRule>
    <cfRule type="expression" dxfId="936" priority="679" stopIfTrue="1">
      <formula>NOT(ISERROR(SEARCH("SL",V38)))</formula>
    </cfRule>
    <cfRule type="expression" dxfId="935" priority="680" stopIfTrue="1">
      <formula>NOT(ISERROR(SEARCH("NP",V38)))</formula>
    </cfRule>
    <cfRule type="expression" dxfId="934" priority="681" stopIfTrue="1">
      <formula>NOT(ISERROR(SEARCH("SH",V38)))</formula>
    </cfRule>
    <cfRule type="expression" dxfId="933" priority="682" stopIfTrue="1">
      <formula>NOT(ISERROR(SEARCH("WTT",V38)))</formula>
    </cfRule>
    <cfRule type="expression" dxfId="932" priority="683" stopIfTrue="1">
      <formula>NOT(ISERROR(SEARCH("FH",V38)))</formula>
    </cfRule>
  </conditionalFormatting>
  <conditionalFormatting sqref="V36:W36">
    <cfRule type="expression" dxfId="931" priority="1822" stopIfTrue="1">
      <formula>NOT(ISERROR(SEARCH("WTT",V36)))</formula>
    </cfRule>
  </conditionalFormatting>
  <conditionalFormatting sqref="V48:W48">
    <cfRule type="cellIs" dxfId="930" priority="81" operator="equal">
      <formula>"GS"</formula>
    </cfRule>
    <cfRule type="cellIs" dxfId="929" priority="82" stopIfTrue="1" operator="equal">
      <formula>"SR"</formula>
    </cfRule>
    <cfRule type="cellIs" dxfId="928" priority="83" stopIfTrue="1" operator="equal">
      <formula>"SG"</formula>
    </cfRule>
    <cfRule type="expression" dxfId="927" priority="84" stopIfTrue="1">
      <formula>NOT(ISERROR(SEARCH("AL",V48)))</formula>
    </cfRule>
    <cfRule type="cellIs" dxfId="926" priority="85" operator="equal">
      <formula>"SEC"</formula>
    </cfRule>
    <cfRule type="cellIs" dxfId="925" priority="86" stopIfTrue="1" operator="equal">
      <formula>"SR"</formula>
    </cfRule>
    <cfRule type="cellIs" dxfId="924" priority="87" stopIfTrue="1" operator="equal">
      <formula>"SG"</formula>
    </cfRule>
    <cfRule type="expression" dxfId="923" priority="88" stopIfTrue="1">
      <formula>NOT(ISERROR(SEARCH("AL",V48)))</formula>
    </cfRule>
    <cfRule type="expression" dxfId="922" priority="89" stopIfTrue="1">
      <formula>NOT(ISERROR(SEARCH("SEC",V48)))</formula>
    </cfRule>
    <cfRule type="cellIs" dxfId="921" priority="90" operator="equal">
      <formula>"GS"</formula>
    </cfRule>
    <cfRule type="expression" dxfId="920" priority="91" stopIfTrue="1">
      <formula>NOT(ISERROR(SEARCH("SL",V48)))</formula>
    </cfRule>
    <cfRule type="expression" dxfId="919" priority="92" stopIfTrue="1">
      <formula>NOT(ISERROR(SEARCH("NP",V48)))</formula>
    </cfRule>
    <cfRule type="expression" dxfId="918" priority="93" stopIfTrue="1">
      <formula>NOT(ISERROR(SEARCH("SH",V48)))</formula>
    </cfRule>
    <cfRule type="expression" dxfId="917" priority="94" stopIfTrue="1">
      <formula>NOT(ISERROR(SEARCH("WTT",V48)))</formula>
    </cfRule>
    <cfRule type="expression" dxfId="916" priority="95" stopIfTrue="1">
      <formula>NOT(ISERROR(SEARCH("FH",V48)))</formula>
    </cfRule>
  </conditionalFormatting>
  <conditionalFormatting sqref="W10">
    <cfRule type="cellIs" dxfId="915" priority="1681" operator="equal">
      <formula>"GS"</formula>
    </cfRule>
    <cfRule type="cellIs" dxfId="914" priority="1682" stopIfTrue="1" operator="equal">
      <formula>"SR"</formula>
    </cfRule>
    <cfRule type="cellIs" dxfId="913" priority="1683" stopIfTrue="1" operator="equal">
      <formula>"SG"</formula>
    </cfRule>
    <cfRule type="expression" dxfId="912" priority="1684" stopIfTrue="1">
      <formula>NOT(ISERROR(SEARCH("AL",W10)))</formula>
    </cfRule>
  </conditionalFormatting>
  <conditionalFormatting sqref="W20">
    <cfRule type="cellIs" dxfId="911" priority="1644" operator="equal">
      <formula>"GS"</formula>
    </cfRule>
    <cfRule type="cellIs" dxfId="910" priority="1645" stopIfTrue="1" operator="equal">
      <formula>"SR"</formula>
    </cfRule>
    <cfRule type="cellIs" dxfId="909" priority="1646" stopIfTrue="1" operator="equal">
      <formula>"SG"</formula>
    </cfRule>
    <cfRule type="expression" dxfId="908" priority="1647" stopIfTrue="1">
      <formula>NOT(ISERROR(SEARCH("AL",W20)))</formula>
    </cfRule>
  </conditionalFormatting>
  <conditionalFormatting sqref="W29">
    <cfRule type="cellIs" dxfId="907" priority="1180" operator="equal">
      <formula>"GS"</formula>
    </cfRule>
    <cfRule type="cellIs" dxfId="906" priority="1181" stopIfTrue="1" operator="equal">
      <formula>"SR"</formula>
    </cfRule>
    <cfRule type="cellIs" dxfId="905" priority="1182" stopIfTrue="1" operator="equal">
      <formula>"SG"</formula>
    </cfRule>
    <cfRule type="expression" dxfId="904" priority="1183" stopIfTrue="1">
      <formula>NOT(ISERROR(SEARCH("AL",W29)))</formula>
    </cfRule>
    <cfRule type="cellIs" dxfId="903" priority="1184" operator="equal">
      <formula>"SEC"</formula>
    </cfRule>
    <cfRule type="cellIs" dxfId="902" priority="1185" stopIfTrue="1" operator="equal">
      <formula>"SR"</formula>
    </cfRule>
    <cfRule type="cellIs" dxfId="901" priority="1186" stopIfTrue="1" operator="equal">
      <formula>"SG"</formula>
    </cfRule>
    <cfRule type="expression" dxfId="900" priority="1187" stopIfTrue="1">
      <formula>NOT(ISERROR(SEARCH("AL",W29)))</formula>
    </cfRule>
    <cfRule type="expression" dxfId="899" priority="1188" stopIfTrue="1">
      <formula>NOT(ISERROR(SEARCH("SEC",W29)))</formula>
    </cfRule>
    <cfRule type="cellIs" dxfId="898" priority="1189" operator="equal">
      <formula>"GS"</formula>
    </cfRule>
    <cfRule type="expression" dxfId="897" priority="1190" stopIfTrue="1">
      <formula>NOT(ISERROR(SEARCH("SL",W29)))</formula>
    </cfRule>
    <cfRule type="expression" dxfId="896" priority="1191" stopIfTrue="1">
      <formula>NOT(ISERROR(SEARCH("NP",W29)))</formula>
    </cfRule>
    <cfRule type="expression" dxfId="895" priority="1192" stopIfTrue="1">
      <formula>NOT(ISERROR(SEARCH("SH",W29)))</formula>
    </cfRule>
    <cfRule type="expression" dxfId="894" priority="1193" stopIfTrue="1">
      <formula>NOT(ISERROR(SEARCH("WTT",W29)))</formula>
    </cfRule>
    <cfRule type="expression" dxfId="893" priority="1194" stopIfTrue="1">
      <formula>NOT(ISERROR(SEARCH("FH",W29)))</formula>
    </cfRule>
  </conditionalFormatting>
  <conditionalFormatting sqref="W36">
    <cfRule type="cellIs" dxfId="892" priority="789" operator="equal">
      <formula>"GS"</formula>
    </cfRule>
    <cfRule type="cellIs" dxfId="891" priority="790" stopIfTrue="1" operator="equal">
      <formula>"SR"</formula>
    </cfRule>
    <cfRule type="cellIs" dxfId="890" priority="791" stopIfTrue="1" operator="equal">
      <formula>"SG"</formula>
    </cfRule>
    <cfRule type="expression" dxfId="889" priority="792" stopIfTrue="1">
      <formula>NOT(ISERROR(SEARCH("AL",W36)))</formula>
    </cfRule>
    <cfRule type="cellIs" dxfId="888" priority="793" operator="equal">
      <formula>"SEC"</formula>
    </cfRule>
    <cfRule type="cellIs" dxfId="887" priority="794" stopIfTrue="1" operator="equal">
      <formula>"SR"</formula>
    </cfRule>
    <cfRule type="cellIs" dxfId="886" priority="795" stopIfTrue="1" operator="equal">
      <formula>"SG"</formula>
    </cfRule>
    <cfRule type="expression" dxfId="885" priority="796" stopIfTrue="1">
      <formula>NOT(ISERROR(SEARCH("AL",W36)))</formula>
    </cfRule>
    <cfRule type="expression" dxfId="884" priority="797" stopIfTrue="1">
      <formula>NOT(ISERROR(SEARCH("SEC",W36)))</formula>
    </cfRule>
    <cfRule type="cellIs" dxfId="883" priority="798" operator="equal">
      <formula>"GS"</formula>
    </cfRule>
    <cfRule type="expression" dxfId="882" priority="799" stopIfTrue="1">
      <formula>NOT(ISERROR(SEARCH("SL",W36)))</formula>
    </cfRule>
    <cfRule type="expression" dxfId="881" priority="800" stopIfTrue="1">
      <formula>NOT(ISERROR(SEARCH("NP",W36)))</formula>
    </cfRule>
    <cfRule type="expression" dxfId="880" priority="801" stopIfTrue="1">
      <formula>NOT(ISERROR(SEARCH("SH",W36)))</formula>
    </cfRule>
    <cfRule type="expression" dxfId="879" priority="802" stopIfTrue="1">
      <formula>NOT(ISERROR(SEARCH("WTT",W36)))</formula>
    </cfRule>
    <cfRule type="expression" dxfId="878" priority="803" stopIfTrue="1">
      <formula>NOT(ISERROR(SEARCH("FH",W36)))</formula>
    </cfRule>
  </conditionalFormatting>
  <conditionalFormatting sqref="W35:X35">
    <cfRule type="cellIs" dxfId="877" priority="849" operator="equal">
      <formula>"GS"</formula>
    </cfRule>
    <cfRule type="cellIs" dxfId="876" priority="850" stopIfTrue="1" operator="equal">
      <formula>"SR"</formula>
    </cfRule>
    <cfRule type="cellIs" dxfId="875" priority="851" stopIfTrue="1" operator="equal">
      <formula>"SG"</formula>
    </cfRule>
    <cfRule type="expression" dxfId="874" priority="852" stopIfTrue="1">
      <formula>NOT(ISERROR(SEARCH("AL",W35)))</formula>
    </cfRule>
    <cfRule type="cellIs" dxfId="873" priority="853" operator="equal">
      <formula>"SEC"</formula>
    </cfRule>
    <cfRule type="cellIs" dxfId="872" priority="854" stopIfTrue="1" operator="equal">
      <formula>"SR"</formula>
    </cfRule>
    <cfRule type="cellIs" dxfId="871" priority="855" stopIfTrue="1" operator="equal">
      <formula>"SG"</formula>
    </cfRule>
    <cfRule type="expression" dxfId="870" priority="856" stopIfTrue="1">
      <formula>NOT(ISERROR(SEARCH("AL",W35)))</formula>
    </cfRule>
    <cfRule type="expression" dxfId="869" priority="857" stopIfTrue="1">
      <formula>NOT(ISERROR(SEARCH("SEC",W35)))</formula>
    </cfRule>
    <cfRule type="cellIs" dxfId="868" priority="858" operator="equal">
      <formula>"GS"</formula>
    </cfRule>
    <cfRule type="expression" dxfId="867" priority="859" stopIfTrue="1">
      <formula>NOT(ISERROR(SEARCH("SL",W35)))</formula>
    </cfRule>
    <cfRule type="expression" dxfId="866" priority="860" stopIfTrue="1">
      <formula>NOT(ISERROR(SEARCH("NP",W35)))</formula>
    </cfRule>
    <cfRule type="expression" dxfId="865" priority="861" stopIfTrue="1">
      <formula>NOT(ISERROR(SEARCH("SH",W35)))</formula>
    </cfRule>
    <cfRule type="expression" dxfId="864" priority="862" stopIfTrue="1">
      <formula>NOT(ISERROR(SEARCH("WTT",W35)))</formula>
    </cfRule>
    <cfRule type="expression" dxfId="863" priority="863" stopIfTrue="1">
      <formula>NOT(ISERROR(SEARCH("FH",W35)))</formula>
    </cfRule>
  </conditionalFormatting>
  <conditionalFormatting sqref="W37:X37">
    <cfRule type="cellIs" dxfId="862" priority="729" operator="equal">
      <formula>"GS"</formula>
    </cfRule>
    <cfRule type="cellIs" dxfId="861" priority="730" stopIfTrue="1" operator="equal">
      <formula>"SR"</formula>
    </cfRule>
    <cfRule type="cellIs" dxfId="860" priority="731" stopIfTrue="1" operator="equal">
      <formula>"SG"</formula>
    </cfRule>
    <cfRule type="expression" dxfId="859" priority="732" stopIfTrue="1">
      <formula>NOT(ISERROR(SEARCH("AL",W37)))</formula>
    </cfRule>
    <cfRule type="cellIs" dxfId="858" priority="733" operator="equal">
      <formula>"SEC"</formula>
    </cfRule>
    <cfRule type="cellIs" dxfId="857" priority="734" stopIfTrue="1" operator="equal">
      <formula>"SR"</formula>
    </cfRule>
    <cfRule type="cellIs" dxfId="856" priority="735" stopIfTrue="1" operator="equal">
      <formula>"SG"</formula>
    </cfRule>
    <cfRule type="expression" dxfId="855" priority="736" stopIfTrue="1">
      <formula>NOT(ISERROR(SEARCH("AL",W37)))</formula>
    </cfRule>
    <cfRule type="expression" dxfId="854" priority="737" stopIfTrue="1">
      <formula>NOT(ISERROR(SEARCH("SEC",W37)))</formula>
    </cfRule>
    <cfRule type="cellIs" dxfId="853" priority="738" operator="equal">
      <formula>"GS"</formula>
    </cfRule>
    <cfRule type="expression" dxfId="852" priority="739" stopIfTrue="1">
      <formula>NOT(ISERROR(SEARCH("SL",W37)))</formula>
    </cfRule>
    <cfRule type="expression" dxfId="851" priority="740" stopIfTrue="1">
      <formula>NOT(ISERROR(SEARCH("NP",W37)))</formula>
    </cfRule>
    <cfRule type="expression" dxfId="850" priority="741" stopIfTrue="1">
      <formula>NOT(ISERROR(SEARCH("SH",W37)))</formula>
    </cfRule>
    <cfRule type="expression" dxfId="849" priority="742" stopIfTrue="1">
      <formula>NOT(ISERROR(SEARCH("WTT",W37)))</formula>
    </cfRule>
    <cfRule type="expression" dxfId="848" priority="743" stopIfTrue="1">
      <formula>NOT(ISERROR(SEARCH("FH",W37)))</formula>
    </cfRule>
  </conditionalFormatting>
  <conditionalFormatting sqref="W47:X47">
    <cfRule type="cellIs" dxfId="847" priority="1804" stopIfTrue="1" operator="equal">
      <formula>"OTN"</formula>
    </cfRule>
  </conditionalFormatting>
  <conditionalFormatting sqref="W11:AF11">
    <cfRule type="containsText" dxfId="846" priority="17" operator="containsText" text="G">
      <formula>NOT(ISERROR(SEARCH("G",W11)))</formula>
    </cfRule>
  </conditionalFormatting>
  <conditionalFormatting sqref="W21:AF21">
    <cfRule type="cellIs" dxfId="845" priority="1603" stopIfTrue="1" operator="equal">
      <formula>"SR"</formula>
    </cfRule>
    <cfRule type="cellIs" dxfId="844" priority="1604" stopIfTrue="1" operator="equal">
      <formula>"SG"</formula>
    </cfRule>
    <cfRule type="expression" dxfId="843" priority="1605" stopIfTrue="1">
      <formula>NOT(ISERROR(SEARCH("AL",W21)))</formula>
    </cfRule>
  </conditionalFormatting>
  <conditionalFormatting sqref="X9">
    <cfRule type="cellIs" dxfId="842" priority="1701" operator="equal">
      <formula>"GS"</formula>
    </cfRule>
    <cfRule type="cellIs" dxfId="841" priority="1702" stopIfTrue="1" operator="equal">
      <formula>"SR"</formula>
    </cfRule>
    <cfRule type="cellIs" dxfId="840" priority="1703" stopIfTrue="1" operator="equal">
      <formula>"SG"</formula>
    </cfRule>
    <cfRule type="expression" dxfId="839" priority="1704" stopIfTrue="1">
      <formula>NOT(ISERROR(SEARCH("AL",X9)))</formula>
    </cfRule>
  </conditionalFormatting>
  <conditionalFormatting sqref="X20">
    <cfRule type="containsText" dxfId="838" priority="7" operator="containsText" text="G">
      <formula>NOT(ISERROR(SEARCH("G",X20)))</formula>
    </cfRule>
  </conditionalFormatting>
  <conditionalFormatting sqref="X23">
    <cfRule type="cellIs" dxfId="837" priority="1510" operator="equal">
      <formula>"GS"</formula>
    </cfRule>
    <cfRule type="cellIs" dxfId="836" priority="1511" stopIfTrue="1" operator="equal">
      <formula>"SR"</formula>
    </cfRule>
    <cfRule type="cellIs" dxfId="835" priority="1512" stopIfTrue="1" operator="equal">
      <formula>"SG"</formula>
    </cfRule>
    <cfRule type="expression" dxfId="834" priority="1513" stopIfTrue="1">
      <formula>NOT(ISERROR(SEARCH("AL",X23)))</formula>
    </cfRule>
    <cfRule type="cellIs" dxfId="833" priority="1514" operator="equal">
      <formula>"SEC"</formula>
    </cfRule>
    <cfRule type="cellIs" dxfId="832" priority="1515" stopIfTrue="1" operator="equal">
      <formula>"SR"</formula>
    </cfRule>
    <cfRule type="cellIs" dxfId="831" priority="1516" stopIfTrue="1" operator="equal">
      <formula>"SG"</formula>
    </cfRule>
    <cfRule type="expression" dxfId="830" priority="1517" stopIfTrue="1">
      <formula>NOT(ISERROR(SEARCH("AL",X23)))</formula>
    </cfRule>
    <cfRule type="expression" dxfId="829" priority="1518" stopIfTrue="1">
      <formula>NOT(ISERROR(SEARCH("SEC",X23)))</formula>
    </cfRule>
    <cfRule type="cellIs" dxfId="828" priority="1519" operator="equal">
      <formula>"GS"</formula>
    </cfRule>
    <cfRule type="expression" dxfId="827" priority="1520" stopIfTrue="1">
      <formula>NOT(ISERROR(SEARCH("SL",X23)))</formula>
    </cfRule>
    <cfRule type="expression" dxfId="826" priority="1521" stopIfTrue="1">
      <formula>NOT(ISERROR(SEARCH("NP",X23)))</formula>
    </cfRule>
    <cfRule type="expression" dxfId="825" priority="1522" stopIfTrue="1">
      <formula>NOT(ISERROR(SEARCH("SH",X23)))</formula>
    </cfRule>
  </conditionalFormatting>
  <conditionalFormatting sqref="X47:Y47">
    <cfRule type="expression" dxfId="824" priority="1824" stopIfTrue="1">
      <formula>NOT(ISERROR(SEARCH("FH",X47)))</formula>
    </cfRule>
    <cfRule type="expression" dxfId="823" priority="1826" stopIfTrue="1">
      <formula>NOT(ISERROR(SEARCH("WTT",X47)))</formula>
    </cfRule>
  </conditionalFormatting>
  <conditionalFormatting sqref="X33:AM33">
    <cfRule type="containsText" dxfId="822" priority="939" operator="containsText" text="NC">
      <formula>NOT(ISERROR(SEARCH("NC",X33)))</formula>
    </cfRule>
  </conditionalFormatting>
  <conditionalFormatting sqref="Y27">
    <cfRule type="cellIs" dxfId="821" priority="1295" operator="equal">
      <formula>"GS"</formula>
    </cfRule>
    <cfRule type="cellIs" dxfId="820" priority="1296" stopIfTrue="1" operator="equal">
      <formula>"SR"</formula>
    </cfRule>
    <cfRule type="cellIs" dxfId="819" priority="1297" stopIfTrue="1" operator="equal">
      <formula>"SG"</formula>
    </cfRule>
    <cfRule type="expression" dxfId="818" priority="1298" stopIfTrue="1">
      <formula>NOT(ISERROR(SEARCH("AL",Y27)))</formula>
    </cfRule>
    <cfRule type="cellIs" dxfId="817" priority="1299" operator="equal">
      <formula>"SEC"</formula>
    </cfRule>
    <cfRule type="cellIs" dxfId="816" priority="1300" stopIfTrue="1" operator="equal">
      <formula>"SR"</formula>
    </cfRule>
    <cfRule type="cellIs" dxfId="815" priority="1301" stopIfTrue="1" operator="equal">
      <formula>"SG"</formula>
    </cfRule>
    <cfRule type="expression" dxfId="814" priority="1302" stopIfTrue="1">
      <formula>NOT(ISERROR(SEARCH("AL",Y27)))</formula>
    </cfRule>
    <cfRule type="expression" dxfId="813" priority="1303" stopIfTrue="1">
      <formula>NOT(ISERROR(SEARCH("SEC",Y27)))</formula>
    </cfRule>
    <cfRule type="cellIs" dxfId="812" priority="1304" operator="equal">
      <formula>"GS"</formula>
    </cfRule>
    <cfRule type="expression" dxfId="811" priority="1305" stopIfTrue="1">
      <formula>NOT(ISERROR(SEARCH("SL",Y27)))</formula>
    </cfRule>
    <cfRule type="expression" dxfId="810" priority="1306" stopIfTrue="1">
      <formula>NOT(ISERROR(SEARCH("NP",Y27)))</formula>
    </cfRule>
    <cfRule type="expression" dxfId="809" priority="1307" stopIfTrue="1">
      <formula>NOT(ISERROR(SEARCH("SH",Y27)))</formula>
    </cfRule>
    <cfRule type="expression" dxfId="808" priority="1308" stopIfTrue="1">
      <formula>NOT(ISERROR(SEARCH("WTT",Y27)))</formula>
    </cfRule>
  </conditionalFormatting>
  <conditionalFormatting sqref="Y42">
    <cfRule type="cellIs" dxfId="807" priority="413" operator="equal">
      <formula>"GS"</formula>
    </cfRule>
    <cfRule type="cellIs" dxfId="806" priority="414" stopIfTrue="1" operator="equal">
      <formula>"SR"</formula>
    </cfRule>
    <cfRule type="cellIs" dxfId="805" priority="415" stopIfTrue="1" operator="equal">
      <formula>"SG"</formula>
    </cfRule>
    <cfRule type="expression" dxfId="804" priority="416" stopIfTrue="1">
      <formula>NOT(ISERROR(SEARCH("AL",Y42)))</formula>
    </cfRule>
    <cfRule type="cellIs" dxfId="803" priority="417" operator="equal">
      <formula>"SEC"</formula>
    </cfRule>
    <cfRule type="cellIs" dxfId="802" priority="418" stopIfTrue="1" operator="equal">
      <formula>"SR"</formula>
    </cfRule>
    <cfRule type="cellIs" dxfId="801" priority="419" stopIfTrue="1" operator="equal">
      <formula>"SG"</formula>
    </cfRule>
    <cfRule type="expression" dxfId="800" priority="420" stopIfTrue="1">
      <formula>NOT(ISERROR(SEARCH("AL",Y42)))</formula>
    </cfRule>
    <cfRule type="expression" dxfId="799" priority="421" stopIfTrue="1">
      <formula>NOT(ISERROR(SEARCH("SEC",Y42)))</formula>
    </cfRule>
    <cfRule type="cellIs" dxfId="798" priority="422" operator="equal">
      <formula>"GS"</formula>
    </cfRule>
    <cfRule type="expression" dxfId="797" priority="423" stopIfTrue="1">
      <formula>NOT(ISERROR(SEARCH("SL",Y42)))</formula>
    </cfRule>
    <cfRule type="expression" dxfId="796" priority="424" stopIfTrue="1">
      <formula>NOT(ISERROR(SEARCH("NP",Y42)))</formula>
    </cfRule>
    <cfRule type="expression" dxfId="795" priority="425" stopIfTrue="1">
      <formula>NOT(ISERROR(SEARCH("SH",Y42)))</formula>
    </cfRule>
    <cfRule type="expression" dxfId="794" priority="426" stopIfTrue="1">
      <formula>NOT(ISERROR(SEARCH("WTT",Y42)))</formula>
    </cfRule>
    <cfRule type="expression" dxfId="793" priority="427" stopIfTrue="1">
      <formula>NOT(ISERROR(SEARCH("FH",Y42)))</formula>
    </cfRule>
  </conditionalFormatting>
  <conditionalFormatting sqref="Y50">
    <cfRule type="cellIs" dxfId="792" priority="1735" operator="equal">
      <formula>"NC"</formula>
    </cfRule>
  </conditionalFormatting>
  <conditionalFormatting sqref="Y25:Z25">
    <cfRule type="cellIs" dxfId="791" priority="1406" operator="equal">
      <formula>"GS"</formula>
    </cfRule>
    <cfRule type="cellIs" dxfId="790" priority="1407" stopIfTrue="1" operator="equal">
      <formula>"SR"</formula>
    </cfRule>
    <cfRule type="cellIs" dxfId="789" priority="1408" stopIfTrue="1" operator="equal">
      <formula>"SG"</formula>
    </cfRule>
    <cfRule type="expression" dxfId="788" priority="1409" stopIfTrue="1">
      <formula>NOT(ISERROR(SEARCH("AL",Y25)))</formula>
    </cfRule>
    <cfRule type="cellIs" dxfId="787" priority="1410" operator="equal">
      <formula>"SEC"</formula>
    </cfRule>
    <cfRule type="cellIs" dxfId="786" priority="1411" stopIfTrue="1" operator="equal">
      <formula>"SR"</formula>
    </cfRule>
    <cfRule type="cellIs" dxfId="785" priority="1412" stopIfTrue="1" operator="equal">
      <formula>"SG"</formula>
    </cfRule>
    <cfRule type="expression" dxfId="784" priority="1413" stopIfTrue="1">
      <formula>NOT(ISERROR(SEARCH("AL",Y25)))</formula>
    </cfRule>
    <cfRule type="expression" dxfId="783" priority="1414" stopIfTrue="1">
      <formula>NOT(ISERROR(SEARCH("SEC",Y25)))</formula>
    </cfRule>
    <cfRule type="cellIs" dxfId="782" priority="1415" operator="equal">
      <formula>"GS"</formula>
    </cfRule>
    <cfRule type="expression" dxfId="781" priority="1416" stopIfTrue="1">
      <formula>NOT(ISERROR(SEARCH("SL",Y25)))</formula>
    </cfRule>
    <cfRule type="expression" dxfId="780" priority="1417" stopIfTrue="1">
      <formula>NOT(ISERROR(SEARCH("NP",Y25)))</formula>
    </cfRule>
    <cfRule type="expression" dxfId="779" priority="1418" stopIfTrue="1">
      <formula>NOT(ISERROR(SEARCH("SH",Y25)))</formula>
    </cfRule>
  </conditionalFormatting>
  <conditionalFormatting sqref="Y32:Z32">
    <cfRule type="cellIs" dxfId="778" priority="985" operator="equal">
      <formula>"GS"</formula>
    </cfRule>
    <cfRule type="cellIs" dxfId="777" priority="986" stopIfTrue="1" operator="equal">
      <formula>"SR"</formula>
    </cfRule>
    <cfRule type="cellIs" dxfId="776" priority="987" stopIfTrue="1" operator="equal">
      <formula>"SG"</formula>
    </cfRule>
    <cfRule type="expression" dxfId="775" priority="988" stopIfTrue="1">
      <formula>NOT(ISERROR(SEARCH("AL",Y32)))</formula>
    </cfRule>
    <cfRule type="cellIs" dxfId="774" priority="989" operator="equal">
      <formula>"SEC"</formula>
    </cfRule>
    <cfRule type="cellIs" dxfId="773" priority="990" stopIfTrue="1" operator="equal">
      <formula>"SR"</formula>
    </cfRule>
    <cfRule type="cellIs" dxfId="772" priority="991" stopIfTrue="1" operator="equal">
      <formula>"SG"</formula>
    </cfRule>
    <cfRule type="expression" dxfId="771" priority="992" stopIfTrue="1">
      <formula>NOT(ISERROR(SEARCH("AL",Y32)))</formula>
    </cfRule>
    <cfRule type="expression" dxfId="770" priority="993" stopIfTrue="1">
      <formula>NOT(ISERROR(SEARCH("SEC",Y32)))</formula>
    </cfRule>
    <cfRule type="cellIs" dxfId="769" priority="994" operator="equal">
      <formula>"GS"</formula>
    </cfRule>
    <cfRule type="expression" dxfId="768" priority="995" stopIfTrue="1">
      <formula>NOT(ISERROR(SEARCH("SL",Y32)))</formula>
    </cfRule>
    <cfRule type="expression" dxfId="767" priority="996" stopIfTrue="1">
      <formula>NOT(ISERROR(SEARCH("NP",Y32)))</formula>
    </cfRule>
    <cfRule type="expression" dxfId="766" priority="997" stopIfTrue="1">
      <formula>NOT(ISERROR(SEARCH("SH",Y32)))</formula>
    </cfRule>
    <cfRule type="expression" dxfId="765" priority="998" stopIfTrue="1">
      <formula>NOT(ISERROR(SEARCH("WTT",Y32)))</formula>
    </cfRule>
    <cfRule type="expression" dxfId="764" priority="999" stopIfTrue="1">
      <formula>NOT(ISERROR(SEARCH("FH",Y32)))</formula>
    </cfRule>
  </conditionalFormatting>
  <conditionalFormatting sqref="Y33:Z34">
    <cfRule type="expression" dxfId="763" priority="1796" stopIfTrue="1">
      <formula>NOT(ISERROR(SEARCH("WTT",Y33)))</formula>
    </cfRule>
  </conditionalFormatting>
  <conditionalFormatting sqref="Y10:AA10">
    <cfRule type="containsText" dxfId="762" priority="12" operator="containsText" text="G">
      <formula>NOT(ISERROR(SEARCH("G",Y10)))</formula>
    </cfRule>
  </conditionalFormatting>
  <conditionalFormatting sqref="Z30:Z31">
    <cfRule type="expression" dxfId="761" priority="1788" stopIfTrue="1">
      <formula>NOT(ISERROR(SEARCH("WTT",Z30)))</formula>
    </cfRule>
  </conditionalFormatting>
  <conditionalFormatting sqref="Z35:Z36">
    <cfRule type="expression" dxfId="760" priority="1801" stopIfTrue="1">
      <formula>NOT(ISERROR(SEARCH("WTT",Z35)))</formula>
    </cfRule>
  </conditionalFormatting>
  <conditionalFormatting sqref="Z28:AA28">
    <cfRule type="cellIs" dxfId="759" priority="1239" operator="equal">
      <formula>"GS"</formula>
    </cfRule>
    <cfRule type="cellIs" dxfId="758" priority="1240" stopIfTrue="1" operator="equal">
      <formula>"SR"</formula>
    </cfRule>
    <cfRule type="cellIs" dxfId="757" priority="1241" stopIfTrue="1" operator="equal">
      <formula>"SG"</formula>
    </cfRule>
    <cfRule type="expression" dxfId="756" priority="1242" stopIfTrue="1">
      <formula>NOT(ISERROR(SEARCH("AL",Z28)))</formula>
    </cfRule>
    <cfRule type="cellIs" dxfId="755" priority="1243" operator="equal">
      <formula>"SEC"</formula>
    </cfRule>
    <cfRule type="cellIs" dxfId="754" priority="1244" stopIfTrue="1" operator="equal">
      <formula>"SR"</formula>
    </cfRule>
    <cfRule type="cellIs" dxfId="753" priority="1245" stopIfTrue="1" operator="equal">
      <formula>"SG"</formula>
    </cfRule>
    <cfRule type="expression" dxfId="752" priority="1246" stopIfTrue="1">
      <formula>NOT(ISERROR(SEARCH("AL",Z28)))</formula>
    </cfRule>
    <cfRule type="expression" dxfId="751" priority="1247" stopIfTrue="1">
      <formula>NOT(ISERROR(SEARCH("SEC",Z28)))</formula>
    </cfRule>
    <cfRule type="cellIs" dxfId="750" priority="1248" operator="equal">
      <formula>"GS"</formula>
    </cfRule>
    <cfRule type="expression" dxfId="749" priority="1249" stopIfTrue="1">
      <formula>NOT(ISERROR(SEARCH("SL",Z28)))</formula>
    </cfRule>
    <cfRule type="expression" dxfId="748" priority="1250" stopIfTrue="1">
      <formula>NOT(ISERROR(SEARCH("NP",Z28)))</formula>
    </cfRule>
    <cfRule type="expression" dxfId="747" priority="1251" stopIfTrue="1">
      <formula>NOT(ISERROR(SEARCH("SH",Z28)))</formula>
    </cfRule>
    <cfRule type="expression" dxfId="746" priority="1252" stopIfTrue="1">
      <formula>NOT(ISERROR(SEARCH("WTT",Z28)))</formula>
    </cfRule>
  </conditionalFormatting>
  <conditionalFormatting sqref="AA24">
    <cfRule type="cellIs" dxfId="745" priority="1445" operator="equal">
      <formula>"GS"</formula>
    </cfRule>
    <cfRule type="cellIs" dxfId="744" priority="1446" stopIfTrue="1" operator="equal">
      <formula>"SR"</formula>
    </cfRule>
    <cfRule type="cellIs" dxfId="743" priority="1447" stopIfTrue="1" operator="equal">
      <formula>"SG"</formula>
    </cfRule>
    <cfRule type="expression" dxfId="742" priority="1448" stopIfTrue="1">
      <formula>NOT(ISERROR(SEARCH("AL",AA24)))</formula>
    </cfRule>
    <cfRule type="cellIs" dxfId="741" priority="1449" operator="equal">
      <formula>"SEC"</formula>
    </cfRule>
    <cfRule type="cellIs" dxfId="740" priority="1450" stopIfTrue="1" operator="equal">
      <formula>"SR"</formula>
    </cfRule>
    <cfRule type="cellIs" dxfId="739" priority="1451" stopIfTrue="1" operator="equal">
      <formula>"SG"</formula>
    </cfRule>
    <cfRule type="expression" dxfId="738" priority="1452" stopIfTrue="1">
      <formula>NOT(ISERROR(SEARCH("AL",AA24)))</formula>
    </cfRule>
    <cfRule type="expression" dxfId="737" priority="1453" stopIfTrue="1">
      <formula>NOT(ISERROR(SEARCH("SEC",AA24)))</formula>
    </cfRule>
    <cfRule type="cellIs" dxfId="736" priority="1454" operator="equal">
      <formula>"GS"</formula>
    </cfRule>
    <cfRule type="expression" dxfId="735" priority="1455" stopIfTrue="1">
      <formula>NOT(ISERROR(SEARCH("SL",AA24)))</formula>
    </cfRule>
    <cfRule type="expression" dxfId="734" priority="1456" stopIfTrue="1">
      <formula>NOT(ISERROR(SEARCH("NP",AA24)))</formula>
    </cfRule>
    <cfRule type="expression" dxfId="733" priority="1457" stopIfTrue="1">
      <formula>NOT(ISERROR(SEARCH("SH",AA24)))</formula>
    </cfRule>
  </conditionalFormatting>
  <conditionalFormatting sqref="AA29:AA30">
    <cfRule type="expression" dxfId="732" priority="1785" stopIfTrue="1">
      <formula>NOT(ISERROR(SEARCH("WTT",AA29)))</formula>
    </cfRule>
  </conditionalFormatting>
  <conditionalFormatting sqref="AA30">
    <cfRule type="cellIs" dxfId="731" priority="1106" stopIfTrue="1" operator="equal">
      <formula>"SR"</formula>
    </cfRule>
    <cfRule type="cellIs" dxfId="730" priority="1107" stopIfTrue="1" operator="equal">
      <formula>"SG"</formula>
    </cfRule>
    <cfRule type="expression" dxfId="729" priority="1108" stopIfTrue="1">
      <formula>NOT(ISERROR(SEARCH("AL",AA30)))</formula>
    </cfRule>
    <cfRule type="cellIs" dxfId="728" priority="1109" operator="equal">
      <formula>"SEC"</formula>
    </cfRule>
    <cfRule type="cellIs" dxfId="727" priority="1110" stopIfTrue="1" operator="equal">
      <formula>"SR"</formula>
    </cfRule>
    <cfRule type="cellIs" dxfId="726" priority="1111" stopIfTrue="1" operator="equal">
      <formula>"SG"</formula>
    </cfRule>
    <cfRule type="expression" dxfId="725" priority="1112" stopIfTrue="1">
      <formula>NOT(ISERROR(SEARCH("AL",AA30)))</formula>
    </cfRule>
    <cfRule type="expression" dxfId="724" priority="1113" stopIfTrue="1">
      <formula>NOT(ISERROR(SEARCH("SEC",AA30)))</formula>
    </cfRule>
    <cfRule type="cellIs" dxfId="723" priority="1114" operator="equal">
      <formula>"GS"</formula>
    </cfRule>
    <cfRule type="expression" dxfId="722" priority="1115" stopIfTrue="1">
      <formula>NOT(ISERROR(SEARCH("SL",AA30)))</formula>
    </cfRule>
    <cfRule type="expression" dxfId="721" priority="1116" stopIfTrue="1">
      <formula>NOT(ISERROR(SEARCH("NP",AA30)))</formula>
    </cfRule>
    <cfRule type="expression" dxfId="720" priority="1117" stopIfTrue="1">
      <formula>NOT(ISERROR(SEARCH("SH",AA30)))</formula>
    </cfRule>
    <cfRule type="expression" dxfId="719" priority="1118" stopIfTrue="1">
      <formula>NOT(ISERROR(SEARCH("WTT",AA30)))</formula>
    </cfRule>
    <cfRule type="expression" dxfId="718" priority="1119" stopIfTrue="1">
      <formula>NOT(ISERROR(SEARCH("FH",AA30)))</formula>
    </cfRule>
  </conditionalFormatting>
  <conditionalFormatting sqref="AA30:AA31">
    <cfRule type="cellIs" dxfId="717" priority="1054" operator="equal">
      <formula>"GS"</formula>
    </cfRule>
  </conditionalFormatting>
  <conditionalFormatting sqref="AA31">
    <cfRule type="cellIs" dxfId="716" priority="1045" operator="equal">
      <formula>"GS"</formula>
    </cfRule>
    <cfRule type="cellIs" dxfId="715" priority="1046" stopIfTrue="1" operator="equal">
      <formula>"SR"</formula>
    </cfRule>
    <cfRule type="cellIs" dxfId="714" priority="1047" stopIfTrue="1" operator="equal">
      <formula>"SG"</formula>
    </cfRule>
    <cfRule type="expression" dxfId="713" priority="1048" stopIfTrue="1">
      <formula>NOT(ISERROR(SEARCH("AL",AA31)))</formula>
    </cfRule>
    <cfRule type="cellIs" dxfId="712" priority="1049" operator="equal">
      <formula>"SEC"</formula>
    </cfRule>
    <cfRule type="cellIs" dxfId="711" priority="1050" stopIfTrue="1" operator="equal">
      <formula>"SR"</formula>
    </cfRule>
    <cfRule type="cellIs" dxfId="710" priority="1051" stopIfTrue="1" operator="equal">
      <formula>"SG"</formula>
    </cfRule>
    <cfRule type="expression" dxfId="709" priority="1052" stopIfTrue="1">
      <formula>NOT(ISERROR(SEARCH("AL",AA31)))</formula>
    </cfRule>
    <cfRule type="expression" dxfId="708" priority="1053" stopIfTrue="1">
      <formula>NOT(ISERROR(SEARCH("SEC",AA31)))</formula>
    </cfRule>
    <cfRule type="expression" dxfId="707" priority="1055" stopIfTrue="1">
      <formula>NOT(ISERROR(SEARCH("SL",AA31)))</formula>
    </cfRule>
    <cfRule type="expression" dxfId="706" priority="1056" stopIfTrue="1">
      <formula>NOT(ISERROR(SEARCH("NP",AA31)))</formula>
    </cfRule>
    <cfRule type="expression" dxfId="705" priority="1057" stopIfTrue="1">
      <formula>NOT(ISERROR(SEARCH("SH",AA31)))</formula>
    </cfRule>
    <cfRule type="expression" dxfId="704" priority="1058" stopIfTrue="1">
      <formula>NOT(ISERROR(SEARCH("WTT",AA31)))</formula>
    </cfRule>
    <cfRule type="expression" dxfId="703" priority="1059" stopIfTrue="1">
      <formula>NOT(ISERROR(SEARCH("FH",AA31)))</formula>
    </cfRule>
  </conditionalFormatting>
  <conditionalFormatting sqref="AA63">
    <cfRule type="cellIs" dxfId="702" priority="50" stopIfTrue="1" operator="equal">
      <formula>"TPN"</formula>
    </cfRule>
  </conditionalFormatting>
  <conditionalFormatting sqref="AA22:AB22">
    <cfRule type="cellIs" dxfId="701" priority="1549" operator="equal">
      <formula>"GS"</formula>
    </cfRule>
    <cfRule type="cellIs" dxfId="700" priority="1550" stopIfTrue="1" operator="equal">
      <formula>"SR"</formula>
    </cfRule>
    <cfRule type="cellIs" dxfId="699" priority="1551" stopIfTrue="1" operator="equal">
      <formula>"SG"</formula>
    </cfRule>
    <cfRule type="expression" dxfId="698" priority="1552" stopIfTrue="1">
      <formula>NOT(ISERROR(SEARCH("AL",AA22)))</formula>
    </cfRule>
    <cfRule type="cellIs" dxfId="697" priority="1553" operator="equal">
      <formula>"SEC"</formula>
    </cfRule>
    <cfRule type="cellIs" dxfId="696" priority="1554" stopIfTrue="1" operator="equal">
      <formula>"SR"</formula>
    </cfRule>
    <cfRule type="cellIs" dxfId="695" priority="1555" stopIfTrue="1" operator="equal">
      <formula>"SG"</formula>
    </cfRule>
    <cfRule type="expression" dxfId="694" priority="1556" stopIfTrue="1">
      <formula>NOT(ISERROR(SEARCH("AL",AA22)))</formula>
    </cfRule>
    <cfRule type="expression" dxfId="693" priority="1557" stopIfTrue="1">
      <formula>NOT(ISERROR(SEARCH("SEC",AA22)))</formula>
    </cfRule>
    <cfRule type="cellIs" dxfId="692" priority="1558" operator="equal">
      <formula>"GS"</formula>
    </cfRule>
    <cfRule type="expression" dxfId="691" priority="1559" stopIfTrue="1">
      <formula>NOT(ISERROR(SEARCH("SL",AA22)))</formula>
    </cfRule>
    <cfRule type="expression" dxfId="690" priority="1560" stopIfTrue="1">
      <formula>NOT(ISERROR(SEARCH("NP",AA22)))</formula>
    </cfRule>
    <cfRule type="expression" dxfId="689" priority="1561" stopIfTrue="1">
      <formula>NOT(ISERROR(SEARCH("SH",AA22)))</formula>
    </cfRule>
  </conditionalFormatting>
  <conditionalFormatting sqref="AA32:AB33">
    <cfRule type="expression" dxfId="688" priority="1794" stopIfTrue="1">
      <formula>NOT(ISERROR(SEARCH("WTT",AA32)))</formula>
    </cfRule>
  </conditionalFormatting>
  <conditionalFormatting sqref="AB8">
    <cfRule type="cellIs" dxfId="687" priority="1713" operator="equal">
      <formula>"GS"</formula>
    </cfRule>
    <cfRule type="cellIs" dxfId="686" priority="1714" stopIfTrue="1" operator="equal">
      <formula>"SR"</formula>
    </cfRule>
    <cfRule type="cellIs" dxfId="685" priority="1715" stopIfTrue="1" operator="equal">
      <formula>"SG"</formula>
    </cfRule>
    <cfRule type="expression" dxfId="684" priority="1716" stopIfTrue="1">
      <formula>NOT(ISERROR(SEARCH("AL",AB8)))</formula>
    </cfRule>
  </conditionalFormatting>
  <conditionalFormatting sqref="AB20">
    <cfRule type="containsText" dxfId="683" priority="6" operator="containsText" text="G">
      <formula>NOT(ISERROR(SEARCH("G",AB20)))</formula>
    </cfRule>
  </conditionalFormatting>
  <conditionalFormatting sqref="AB39">
    <cfRule type="cellIs" dxfId="682" priority="594" operator="equal">
      <formula>"GS"</formula>
    </cfRule>
    <cfRule type="cellIs" dxfId="681" priority="595" stopIfTrue="1" operator="equal">
      <formula>"SR"</formula>
    </cfRule>
    <cfRule type="cellIs" dxfId="680" priority="596" stopIfTrue="1" operator="equal">
      <formula>"SG"</formula>
    </cfRule>
    <cfRule type="expression" dxfId="679" priority="597" stopIfTrue="1">
      <formula>NOT(ISERROR(SEARCH("AL",AB39)))</formula>
    </cfRule>
    <cfRule type="cellIs" dxfId="678" priority="598" operator="equal">
      <formula>"SEC"</formula>
    </cfRule>
    <cfRule type="cellIs" dxfId="677" priority="599" stopIfTrue="1" operator="equal">
      <formula>"SR"</formula>
    </cfRule>
    <cfRule type="cellIs" dxfId="676" priority="600" stopIfTrue="1" operator="equal">
      <formula>"SG"</formula>
    </cfRule>
    <cfRule type="expression" dxfId="675" priority="601" stopIfTrue="1">
      <formula>NOT(ISERROR(SEARCH("AL",AB39)))</formula>
    </cfRule>
    <cfRule type="expression" dxfId="674" priority="602" stopIfTrue="1">
      <formula>NOT(ISERROR(SEARCH("SEC",AB39)))</formula>
    </cfRule>
    <cfRule type="cellIs" dxfId="673" priority="603" operator="equal">
      <formula>"GS"</formula>
    </cfRule>
    <cfRule type="expression" dxfId="672" priority="604" stopIfTrue="1">
      <formula>NOT(ISERROR(SEARCH("SL",AB39)))</formula>
    </cfRule>
    <cfRule type="expression" dxfId="671" priority="605" stopIfTrue="1">
      <formula>NOT(ISERROR(SEARCH("NP",AB39)))</formula>
    </cfRule>
    <cfRule type="expression" dxfId="670" priority="606" stopIfTrue="1">
      <formula>NOT(ISERROR(SEARCH("SH",AB39)))</formula>
    </cfRule>
    <cfRule type="expression" dxfId="669" priority="607" stopIfTrue="1">
      <formula>NOT(ISERROR(SEARCH("WTT",AB39)))</formula>
    </cfRule>
    <cfRule type="expression" dxfId="668" priority="608" stopIfTrue="1">
      <formula>NOT(ISERROR(SEARCH("FH",AB39)))</formula>
    </cfRule>
  </conditionalFormatting>
  <conditionalFormatting sqref="AB46">
    <cfRule type="cellIs" dxfId="667" priority="188" operator="equal">
      <formula>"GS"</formula>
    </cfRule>
    <cfRule type="cellIs" dxfId="666" priority="189" stopIfTrue="1" operator="equal">
      <formula>"SR"</formula>
    </cfRule>
    <cfRule type="cellIs" dxfId="665" priority="190" stopIfTrue="1" operator="equal">
      <formula>"SG"</formula>
    </cfRule>
    <cfRule type="expression" dxfId="664" priority="191" stopIfTrue="1">
      <formula>NOT(ISERROR(SEARCH("AL",AB46)))</formula>
    </cfRule>
    <cfRule type="cellIs" dxfId="663" priority="192" operator="equal">
      <formula>"SEC"</formula>
    </cfRule>
    <cfRule type="cellIs" dxfId="662" priority="193" stopIfTrue="1" operator="equal">
      <formula>"SR"</formula>
    </cfRule>
    <cfRule type="cellIs" dxfId="661" priority="194" stopIfTrue="1" operator="equal">
      <formula>"SG"</formula>
    </cfRule>
    <cfRule type="expression" dxfId="660" priority="195" stopIfTrue="1">
      <formula>NOT(ISERROR(SEARCH("AL",AB46)))</formula>
    </cfRule>
    <cfRule type="expression" dxfId="659" priority="196" stopIfTrue="1">
      <formula>NOT(ISERROR(SEARCH("SEC",AB46)))</formula>
    </cfRule>
    <cfRule type="cellIs" dxfId="658" priority="197" operator="equal">
      <formula>"GS"</formula>
    </cfRule>
    <cfRule type="expression" dxfId="657" priority="198" stopIfTrue="1">
      <formula>NOT(ISERROR(SEARCH("SL",AB46)))</formula>
    </cfRule>
    <cfRule type="expression" dxfId="656" priority="199" stopIfTrue="1">
      <formula>NOT(ISERROR(SEARCH("NP",AB46)))</formula>
    </cfRule>
    <cfRule type="expression" dxfId="655" priority="200" stopIfTrue="1">
      <formula>NOT(ISERROR(SEARCH("SH",AB46)))</formula>
    </cfRule>
    <cfRule type="expression" dxfId="654" priority="201" stopIfTrue="1">
      <formula>NOT(ISERROR(SEARCH("WTT",AB46)))</formula>
    </cfRule>
    <cfRule type="expression" dxfId="653" priority="202" stopIfTrue="1">
      <formula>NOT(ISERROR(SEARCH("FH",AB46)))</formula>
    </cfRule>
  </conditionalFormatting>
  <conditionalFormatting sqref="AB48">
    <cfRule type="cellIs" dxfId="652" priority="66" operator="equal">
      <formula>"GS"</formula>
    </cfRule>
    <cfRule type="cellIs" dxfId="651" priority="67" stopIfTrue="1" operator="equal">
      <formula>"SR"</formula>
    </cfRule>
    <cfRule type="cellIs" dxfId="650" priority="68" stopIfTrue="1" operator="equal">
      <formula>"SG"</formula>
    </cfRule>
    <cfRule type="expression" dxfId="649" priority="69" stopIfTrue="1">
      <formula>NOT(ISERROR(SEARCH("AL",AB48)))</formula>
    </cfRule>
    <cfRule type="cellIs" dxfId="648" priority="70" operator="equal">
      <formula>"SEC"</formula>
    </cfRule>
    <cfRule type="cellIs" dxfId="647" priority="71" stopIfTrue="1" operator="equal">
      <formula>"SR"</formula>
    </cfRule>
    <cfRule type="cellIs" dxfId="646" priority="72" stopIfTrue="1" operator="equal">
      <formula>"SG"</formula>
    </cfRule>
    <cfRule type="expression" dxfId="645" priority="73" stopIfTrue="1">
      <formula>NOT(ISERROR(SEARCH("AL",AB48)))</formula>
    </cfRule>
    <cfRule type="expression" dxfId="644" priority="74" stopIfTrue="1">
      <formula>NOT(ISERROR(SEARCH("SEC",AB48)))</formula>
    </cfRule>
    <cfRule type="cellIs" dxfId="643" priority="75" operator="equal">
      <formula>"GS"</formula>
    </cfRule>
    <cfRule type="expression" dxfId="642" priority="76" stopIfTrue="1">
      <formula>NOT(ISERROR(SEARCH("SL",AB48)))</formula>
    </cfRule>
    <cfRule type="expression" dxfId="641" priority="77" stopIfTrue="1">
      <formula>NOT(ISERROR(SEARCH("NP",AB48)))</formula>
    </cfRule>
    <cfRule type="expression" dxfId="640" priority="78" stopIfTrue="1">
      <formula>NOT(ISERROR(SEARCH("SH",AB48)))</formula>
    </cfRule>
    <cfRule type="expression" dxfId="639" priority="79" stopIfTrue="1">
      <formula>NOT(ISERROR(SEARCH("WTT",AB48)))</formula>
    </cfRule>
    <cfRule type="expression" dxfId="638" priority="80" stopIfTrue="1">
      <formula>NOT(ISERROR(SEARCH("FH",AB48)))</formula>
    </cfRule>
  </conditionalFormatting>
  <conditionalFormatting sqref="AC10">
    <cfRule type="containsText" dxfId="637" priority="13" operator="containsText" text="G">
      <formula>NOT(ISERROR(SEARCH("G",AC10)))</formula>
    </cfRule>
  </conditionalFormatting>
  <conditionalFormatting sqref="AC26:AC27">
    <cfRule type="expression" dxfId="636" priority="1777" stopIfTrue="1">
      <formula>NOT(ISERROR(SEARCH("WTT",AC26)))</formula>
    </cfRule>
  </conditionalFormatting>
  <conditionalFormatting sqref="AC34">
    <cfRule type="cellIs" dxfId="635" priority="894" operator="equal">
      <formula>"GS"</formula>
    </cfRule>
    <cfRule type="cellIs" dxfId="634" priority="895" stopIfTrue="1" operator="equal">
      <formula>"SR"</formula>
    </cfRule>
    <cfRule type="cellIs" dxfId="633" priority="896" stopIfTrue="1" operator="equal">
      <formula>"SG"</formula>
    </cfRule>
    <cfRule type="expression" dxfId="632" priority="897" stopIfTrue="1">
      <formula>NOT(ISERROR(SEARCH("AL",AC34)))</formula>
    </cfRule>
    <cfRule type="cellIs" dxfId="631" priority="898" operator="equal">
      <formula>"SEC"</formula>
    </cfRule>
    <cfRule type="cellIs" dxfId="630" priority="899" stopIfTrue="1" operator="equal">
      <formula>"SR"</formula>
    </cfRule>
    <cfRule type="cellIs" dxfId="629" priority="900" stopIfTrue="1" operator="equal">
      <formula>"SG"</formula>
    </cfRule>
    <cfRule type="expression" dxfId="628" priority="901" stopIfTrue="1">
      <formula>NOT(ISERROR(SEARCH("AL",AC34)))</formula>
    </cfRule>
    <cfRule type="expression" dxfId="627" priority="902" stopIfTrue="1">
      <formula>NOT(ISERROR(SEARCH("SEC",AC34)))</formula>
    </cfRule>
    <cfRule type="cellIs" dxfId="626" priority="903" operator="equal">
      <formula>"GS"</formula>
    </cfRule>
    <cfRule type="expression" dxfId="625" priority="904" stopIfTrue="1">
      <formula>NOT(ISERROR(SEARCH("SL",AC34)))</formula>
    </cfRule>
    <cfRule type="expression" dxfId="624" priority="905" stopIfTrue="1">
      <formula>NOT(ISERROR(SEARCH("NP",AC34)))</formula>
    </cfRule>
    <cfRule type="expression" dxfId="623" priority="906" stopIfTrue="1">
      <formula>NOT(ISERROR(SEARCH("SH",AC34)))</formula>
    </cfRule>
    <cfRule type="expression" dxfId="622" priority="907" stopIfTrue="1">
      <formula>NOT(ISERROR(SEARCH("WTT",AC34)))</formula>
    </cfRule>
    <cfRule type="expression" dxfId="621" priority="908" stopIfTrue="1">
      <formula>NOT(ISERROR(SEARCH("FH",AC34)))</formula>
    </cfRule>
  </conditionalFormatting>
  <conditionalFormatting sqref="AC40">
    <cfRule type="cellIs" dxfId="620" priority="534" operator="equal">
      <formula>"GS"</formula>
    </cfRule>
    <cfRule type="cellIs" dxfId="619" priority="535" stopIfTrue="1" operator="equal">
      <formula>"SR"</formula>
    </cfRule>
    <cfRule type="cellIs" dxfId="618" priority="536" stopIfTrue="1" operator="equal">
      <formula>"SG"</formula>
    </cfRule>
    <cfRule type="expression" dxfId="617" priority="537" stopIfTrue="1">
      <formula>NOT(ISERROR(SEARCH("AL",AC40)))</formula>
    </cfRule>
    <cfRule type="cellIs" dxfId="616" priority="538" operator="equal">
      <formula>"SEC"</formula>
    </cfRule>
    <cfRule type="cellIs" dxfId="615" priority="539" stopIfTrue="1" operator="equal">
      <formula>"SR"</formula>
    </cfRule>
    <cfRule type="cellIs" dxfId="614" priority="540" stopIfTrue="1" operator="equal">
      <formula>"SG"</formula>
    </cfRule>
    <cfRule type="expression" dxfId="613" priority="541" stopIfTrue="1">
      <formula>NOT(ISERROR(SEARCH("AL",AC40)))</formula>
    </cfRule>
    <cfRule type="expression" dxfId="612" priority="542" stopIfTrue="1">
      <formula>NOT(ISERROR(SEARCH("SEC",AC40)))</formula>
    </cfRule>
    <cfRule type="cellIs" dxfId="611" priority="543" operator="equal">
      <formula>"GS"</formula>
    </cfRule>
    <cfRule type="expression" dxfId="610" priority="544" stopIfTrue="1">
      <formula>NOT(ISERROR(SEARCH("SL",AC40)))</formula>
    </cfRule>
    <cfRule type="expression" dxfId="609" priority="545" stopIfTrue="1">
      <formula>NOT(ISERROR(SEARCH("NP",AC40)))</formula>
    </cfRule>
    <cfRule type="expression" dxfId="608" priority="546" stopIfTrue="1">
      <formula>NOT(ISERROR(SEARCH("SH",AC40)))</formula>
    </cfRule>
    <cfRule type="expression" dxfId="607" priority="547" stopIfTrue="1">
      <formula>NOT(ISERROR(SEARCH("WTT",AC40)))</formula>
    </cfRule>
    <cfRule type="expression" dxfId="606" priority="548" stopIfTrue="1">
      <formula>NOT(ISERROR(SEARCH("FH",AC40)))</formula>
    </cfRule>
  </conditionalFormatting>
  <conditionalFormatting sqref="AC43">
    <cfRule type="cellIs" dxfId="605" priority="339" stopIfTrue="1" operator="equal">
      <formula>"SR"</formula>
    </cfRule>
    <cfRule type="cellIs" dxfId="604" priority="340" stopIfTrue="1" operator="equal">
      <formula>"SG"</formula>
    </cfRule>
    <cfRule type="expression" dxfId="603" priority="341" stopIfTrue="1">
      <formula>NOT(ISERROR(SEARCH("AL",AC43)))</formula>
    </cfRule>
    <cfRule type="cellIs" dxfId="602" priority="342" operator="equal">
      <formula>"SEC"</formula>
    </cfRule>
    <cfRule type="cellIs" dxfId="601" priority="343" stopIfTrue="1" operator="equal">
      <formula>"SR"</formula>
    </cfRule>
    <cfRule type="cellIs" dxfId="600" priority="344" stopIfTrue="1" operator="equal">
      <formula>"SG"</formula>
    </cfRule>
    <cfRule type="expression" dxfId="599" priority="345" stopIfTrue="1">
      <formula>NOT(ISERROR(SEARCH("AL",AC43)))</formula>
    </cfRule>
    <cfRule type="expression" dxfId="598" priority="346" stopIfTrue="1">
      <formula>NOT(ISERROR(SEARCH("SEC",AC43)))</formula>
    </cfRule>
    <cfRule type="cellIs" dxfId="597" priority="347" operator="equal">
      <formula>"GS"</formula>
    </cfRule>
    <cfRule type="expression" dxfId="596" priority="348" stopIfTrue="1">
      <formula>NOT(ISERROR(SEARCH("SL",AC43)))</formula>
    </cfRule>
    <cfRule type="expression" dxfId="595" priority="349" stopIfTrue="1">
      <formula>NOT(ISERROR(SEARCH("NP",AC43)))</formula>
    </cfRule>
    <cfRule type="expression" dxfId="594" priority="350" stopIfTrue="1">
      <formula>NOT(ISERROR(SEARCH("SH",AC43)))</formula>
    </cfRule>
    <cfRule type="expression" dxfId="593" priority="351" stopIfTrue="1">
      <formula>NOT(ISERROR(SEARCH("WTT",AC43)))</formula>
    </cfRule>
    <cfRule type="expression" dxfId="592" priority="352" stopIfTrue="1">
      <formula>NOT(ISERROR(SEARCH("FH",AC43)))</formula>
    </cfRule>
  </conditionalFormatting>
  <conditionalFormatting sqref="AC43:AC44">
    <cfRule type="cellIs" dxfId="591" priority="302" operator="equal">
      <formula>"GS"</formula>
    </cfRule>
  </conditionalFormatting>
  <conditionalFormatting sqref="AC44">
    <cfRule type="cellIs" dxfId="590" priority="293" operator="equal">
      <formula>"GS"</formula>
    </cfRule>
    <cfRule type="cellIs" dxfId="589" priority="294" stopIfTrue="1" operator="equal">
      <formula>"SR"</formula>
    </cfRule>
    <cfRule type="cellIs" dxfId="588" priority="295" stopIfTrue="1" operator="equal">
      <formula>"SG"</formula>
    </cfRule>
    <cfRule type="expression" dxfId="587" priority="296" stopIfTrue="1">
      <formula>NOT(ISERROR(SEARCH("AL",AC44)))</formula>
    </cfRule>
    <cfRule type="cellIs" dxfId="586" priority="297" operator="equal">
      <formula>"SEC"</formula>
    </cfRule>
    <cfRule type="cellIs" dxfId="585" priority="298" stopIfTrue="1" operator="equal">
      <formula>"SR"</formula>
    </cfRule>
    <cfRule type="cellIs" dxfId="584" priority="299" stopIfTrue="1" operator="equal">
      <formula>"SG"</formula>
    </cfRule>
    <cfRule type="expression" dxfId="583" priority="300" stopIfTrue="1">
      <formula>NOT(ISERROR(SEARCH("AL",AC44)))</formula>
    </cfRule>
    <cfRule type="expression" dxfId="582" priority="301" stopIfTrue="1">
      <formula>NOT(ISERROR(SEARCH("SEC",AC44)))</formula>
    </cfRule>
    <cfRule type="expression" dxfId="581" priority="303" stopIfTrue="1">
      <formula>NOT(ISERROR(SEARCH("SL",AC44)))</formula>
    </cfRule>
    <cfRule type="expression" dxfId="580" priority="304" stopIfTrue="1">
      <formula>NOT(ISERROR(SEARCH("NP",AC44)))</formula>
    </cfRule>
    <cfRule type="expression" dxfId="579" priority="305" stopIfTrue="1">
      <formula>NOT(ISERROR(SEARCH("SH",AC44)))</formula>
    </cfRule>
    <cfRule type="expression" dxfId="578" priority="306" stopIfTrue="1">
      <formula>NOT(ISERROR(SEARCH("WTT",AC44)))</formula>
    </cfRule>
    <cfRule type="expression" dxfId="577" priority="307" stopIfTrue="1">
      <formula>NOT(ISERROR(SEARCH("FH",AC44)))</formula>
    </cfRule>
  </conditionalFormatting>
  <conditionalFormatting sqref="AC47">
    <cfRule type="cellIs" dxfId="576" priority="126" operator="equal">
      <formula>"GS"</formula>
    </cfRule>
    <cfRule type="cellIs" dxfId="575" priority="127" stopIfTrue="1" operator="equal">
      <formula>"SR"</formula>
    </cfRule>
    <cfRule type="cellIs" dxfId="574" priority="128" stopIfTrue="1" operator="equal">
      <formula>"SG"</formula>
    </cfRule>
    <cfRule type="expression" dxfId="573" priority="129" stopIfTrue="1">
      <formula>NOT(ISERROR(SEARCH("AL",AC47)))</formula>
    </cfRule>
    <cfRule type="cellIs" dxfId="572" priority="130" operator="equal">
      <formula>"SEC"</formula>
    </cfRule>
    <cfRule type="cellIs" dxfId="571" priority="131" stopIfTrue="1" operator="equal">
      <formula>"SR"</formula>
    </cfRule>
    <cfRule type="cellIs" dxfId="570" priority="132" stopIfTrue="1" operator="equal">
      <formula>"SG"</formula>
    </cfRule>
    <cfRule type="expression" dxfId="569" priority="133" stopIfTrue="1">
      <formula>NOT(ISERROR(SEARCH("AL",AC47)))</formula>
    </cfRule>
    <cfRule type="expression" dxfId="568" priority="134" stopIfTrue="1">
      <formula>NOT(ISERROR(SEARCH("SEC",AC47)))</formula>
    </cfRule>
    <cfRule type="cellIs" dxfId="567" priority="135" operator="equal">
      <formula>"GS"</formula>
    </cfRule>
    <cfRule type="expression" dxfId="566" priority="136" stopIfTrue="1">
      <formula>NOT(ISERROR(SEARCH("SL",AC47)))</formula>
    </cfRule>
    <cfRule type="expression" dxfId="565" priority="137" stopIfTrue="1">
      <formula>NOT(ISERROR(SEARCH("NP",AC47)))</formula>
    </cfRule>
    <cfRule type="expression" dxfId="564" priority="138" stopIfTrue="1">
      <formula>NOT(ISERROR(SEARCH("SH",AC47)))</formula>
    </cfRule>
    <cfRule type="expression" dxfId="563" priority="139" stopIfTrue="1">
      <formula>NOT(ISERROR(SEARCH("WTT",AC47)))</formula>
    </cfRule>
    <cfRule type="expression" dxfId="562" priority="140" stopIfTrue="1">
      <formula>NOT(ISERROR(SEARCH("FH",AC47)))</formula>
    </cfRule>
    <cfRule type="cellIs" dxfId="561" priority="141" stopIfTrue="1" operator="equal">
      <formula>"OTN"</formula>
    </cfRule>
  </conditionalFormatting>
  <conditionalFormatting sqref="AC31:AD32">
    <cfRule type="expression" dxfId="560" priority="1791" stopIfTrue="1">
      <formula>NOT(ISERROR(SEARCH("WTT",AC31)))</formula>
    </cfRule>
  </conditionalFormatting>
  <conditionalFormatting sqref="AC34:AD35">
    <cfRule type="expression" dxfId="559" priority="1799" stopIfTrue="1">
      <formula>NOT(ISERROR(SEARCH("WTT",AC34)))</formula>
    </cfRule>
  </conditionalFormatting>
  <conditionalFormatting sqref="AD10">
    <cfRule type="cellIs" dxfId="558" priority="1677" operator="equal">
      <formula>"GS"</formula>
    </cfRule>
    <cfRule type="cellIs" dxfId="557" priority="1678" stopIfTrue="1" operator="equal">
      <formula>"SR"</formula>
    </cfRule>
    <cfRule type="cellIs" dxfId="556" priority="1679" stopIfTrue="1" operator="equal">
      <formula>"SG"</formula>
    </cfRule>
    <cfRule type="expression" dxfId="555" priority="1680" stopIfTrue="1">
      <formula>NOT(ISERROR(SEARCH("AL",AD10)))</formula>
    </cfRule>
  </conditionalFormatting>
  <conditionalFormatting sqref="AD20">
    <cfRule type="cellIs" dxfId="554" priority="1640" operator="equal">
      <formula>"GS"</formula>
    </cfRule>
    <cfRule type="cellIs" dxfId="553" priority="1641" stopIfTrue="1" operator="equal">
      <formula>"SR"</formula>
    </cfRule>
    <cfRule type="cellIs" dxfId="552" priority="1642" stopIfTrue="1" operator="equal">
      <formula>"SG"</formula>
    </cfRule>
    <cfRule type="expression" dxfId="551" priority="1643" stopIfTrue="1">
      <formula>NOT(ISERROR(SEARCH("AL",AD20)))</formula>
    </cfRule>
  </conditionalFormatting>
  <conditionalFormatting sqref="AD27:AD28">
    <cfRule type="expression" dxfId="550" priority="1780" stopIfTrue="1">
      <formula>NOT(ISERROR(SEARCH("WTT",AD27)))</formula>
    </cfRule>
  </conditionalFormatting>
  <conditionalFormatting sqref="AD28:AD29">
    <cfRule type="expression" dxfId="549" priority="1782" stopIfTrue="1">
      <formula>NOT(ISERROR(SEARCH("FH",AD28)))</formula>
    </cfRule>
    <cfRule type="expression" dxfId="548" priority="1783" stopIfTrue="1">
      <formula>NOT(ISERROR(SEARCH("WTT",AD28)))</formula>
    </cfRule>
  </conditionalFormatting>
  <conditionalFormatting sqref="AD29">
    <cfRule type="cellIs" dxfId="547" priority="1165" operator="equal">
      <formula>"GS"</formula>
    </cfRule>
    <cfRule type="cellIs" dxfId="546" priority="1166" stopIfTrue="1" operator="equal">
      <formula>"SR"</formula>
    </cfRule>
    <cfRule type="cellIs" dxfId="545" priority="1167" stopIfTrue="1" operator="equal">
      <formula>"SG"</formula>
    </cfRule>
    <cfRule type="expression" dxfId="544" priority="1168" stopIfTrue="1">
      <formula>NOT(ISERROR(SEARCH("AL",AD29)))</formula>
    </cfRule>
    <cfRule type="cellIs" dxfId="543" priority="1169" operator="equal">
      <formula>"SEC"</formula>
    </cfRule>
    <cfRule type="cellIs" dxfId="542" priority="1170" stopIfTrue="1" operator="equal">
      <formula>"SR"</formula>
    </cfRule>
    <cfRule type="cellIs" dxfId="541" priority="1171" stopIfTrue="1" operator="equal">
      <formula>"SG"</formula>
    </cfRule>
    <cfRule type="expression" dxfId="540" priority="1172" stopIfTrue="1">
      <formula>NOT(ISERROR(SEARCH("AL",AD29)))</formula>
    </cfRule>
    <cfRule type="expression" dxfId="539" priority="1173" stopIfTrue="1">
      <formula>NOT(ISERROR(SEARCH("SEC",AD29)))</formula>
    </cfRule>
    <cfRule type="cellIs" dxfId="538" priority="1174" operator="equal">
      <formula>"GS"</formula>
    </cfRule>
    <cfRule type="expression" dxfId="537" priority="1175" stopIfTrue="1">
      <formula>NOT(ISERROR(SEARCH("SL",AD29)))</formula>
    </cfRule>
    <cfRule type="expression" dxfId="536" priority="1176" stopIfTrue="1">
      <formula>NOT(ISERROR(SEARCH("NP",AD29)))</formula>
    </cfRule>
    <cfRule type="expression" dxfId="535" priority="1177" stopIfTrue="1">
      <formula>NOT(ISERROR(SEARCH("SH",AD29)))</formula>
    </cfRule>
    <cfRule type="expression" dxfId="534" priority="1178" stopIfTrue="1">
      <formula>NOT(ISERROR(SEARCH("WTT",AD29)))</formula>
    </cfRule>
    <cfRule type="expression" dxfId="533" priority="1179" stopIfTrue="1">
      <formula>NOT(ISERROR(SEARCH("FH",AD29)))</formula>
    </cfRule>
  </conditionalFormatting>
  <conditionalFormatting sqref="AD35">
    <cfRule type="cellIs" dxfId="532" priority="834" operator="equal">
      <formula>"GS"</formula>
    </cfRule>
    <cfRule type="cellIs" dxfId="531" priority="835" stopIfTrue="1" operator="equal">
      <formula>"SR"</formula>
    </cfRule>
    <cfRule type="cellIs" dxfId="530" priority="836" stopIfTrue="1" operator="equal">
      <formula>"SG"</formula>
    </cfRule>
    <cfRule type="expression" dxfId="529" priority="837" stopIfTrue="1">
      <formula>NOT(ISERROR(SEARCH("AL",AD35)))</formula>
    </cfRule>
    <cfRule type="cellIs" dxfId="528" priority="838" operator="equal">
      <formula>"SEC"</formula>
    </cfRule>
    <cfRule type="cellIs" dxfId="527" priority="839" stopIfTrue="1" operator="equal">
      <formula>"SR"</formula>
    </cfRule>
    <cfRule type="cellIs" dxfId="526" priority="840" stopIfTrue="1" operator="equal">
      <formula>"SG"</formula>
    </cfRule>
    <cfRule type="expression" dxfId="525" priority="841" stopIfTrue="1">
      <formula>NOT(ISERROR(SEARCH("AL",AD35)))</formula>
    </cfRule>
    <cfRule type="expression" dxfId="524" priority="842" stopIfTrue="1">
      <formula>NOT(ISERROR(SEARCH("SEC",AD35)))</formula>
    </cfRule>
    <cfRule type="cellIs" dxfId="523" priority="843" operator="equal">
      <formula>"GS"</formula>
    </cfRule>
    <cfRule type="expression" dxfId="522" priority="844" stopIfTrue="1">
      <formula>NOT(ISERROR(SEARCH("SL",AD35)))</formula>
    </cfRule>
    <cfRule type="expression" dxfId="521" priority="845" stopIfTrue="1">
      <formula>NOT(ISERROR(SEARCH("NP",AD35)))</formula>
    </cfRule>
    <cfRule type="expression" dxfId="520" priority="846" stopIfTrue="1">
      <formula>NOT(ISERROR(SEARCH("SH",AD35)))</formula>
    </cfRule>
    <cfRule type="expression" dxfId="519" priority="847" stopIfTrue="1">
      <formula>NOT(ISERROR(SEARCH("WTT",AD35)))</formula>
    </cfRule>
    <cfRule type="expression" dxfId="518" priority="848" stopIfTrue="1">
      <formula>NOT(ISERROR(SEARCH("FH",AD35)))</formula>
    </cfRule>
  </conditionalFormatting>
  <conditionalFormatting sqref="AD45">
    <cfRule type="cellIs" dxfId="517" priority="248" operator="equal">
      <formula>"GS"</formula>
    </cfRule>
    <cfRule type="cellIs" dxfId="516" priority="249" stopIfTrue="1" operator="equal">
      <formula>"SR"</formula>
    </cfRule>
    <cfRule type="cellIs" dxfId="515" priority="250" stopIfTrue="1" operator="equal">
      <formula>"SG"</formula>
    </cfRule>
    <cfRule type="expression" dxfId="514" priority="251" stopIfTrue="1">
      <formula>NOT(ISERROR(SEARCH("AL",AD45)))</formula>
    </cfRule>
    <cfRule type="cellIs" dxfId="513" priority="252" operator="equal">
      <formula>"SEC"</formula>
    </cfRule>
    <cfRule type="cellIs" dxfId="512" priority="253" stopIfTrue="1" operator="equal">
      <formula>"SR"</formula>
    </cfRule>
    <cfRule type="cellIs" dxfId="511" priority="254" stopIfTrue="1" operator="equal">
      <formula>"SG"</formula>
    </cfRule>
    <cfRule type="expression" dxfId="510" priority="255" stopIfTrue="1">
      <formula>NOT(ISERROR(SEARCH("AL",AD45)))</formula>
    </cfRule>
    <cfRule type="expression" dxfId="509" priority="256" stopIfTrue="1">
      <formula>NOT(ISERROR(SEARCH("SEC",AD45)))</formula>
    </cfRule>
    <cfRule type="cellIs" dxfId="508" priority="257" operator="equal">
      <formula>"GS"</formula>
    </cfRule>
    <cfRule type="expression" dxfId="507" priority="258" stopIfTrue="1">
      <formula>NOT(ISERROR(SEARCH("SL",AD45)))</formula>
    </cfRule>
    <cfRule type="expression" dxfId="506" priority="259" stopIfTrue="1">
      <formula>NOT(ISERROR(SEARCH("NP",AD45)))</formula>
    </cfRule>
    <cfRule type="expression" dxfId="505" priority="260" stopIfTrue="1">
      <formula>NOT(ISERROR(SEARCH("SH",AD45)))</formula>
    </cfRule>
    <cfRule type="expression" dxfId="504" priority="261" stopIfTrue="1">
      <formula>NOT(ISERROR(SEARCH("WTT",AD45)))</formula>
    </cfRule>
    <cfRule type="expression" dxfId="503" priority="262" stopIfTrue="1">
      <formula>NOT(ISERROR(SEARCH("FH",AD45)))</formula>
    </cfRule>
  </conditionalFormatting>
  <conditionalFormatting sqref="AD26:AE26">
    <cfRule type="cellIs" dxfId="502" priority="1351" operator="equal">
      <formula>"GS"</formula>
    </cfRule>
    <cfRule type="cellIs" dxfId="501" priority="1352" stopIfTrue="1" operator="equal">
      <formula>"SR"</formula>
    </cfRule>
    <cfRule type="cellIs" dxfId="500" priority="1353" stopIfTrue="1" operator="equal">
      <formula>"SG"</formula>
    </cfRule>
    <cfRule type="expression" dxfId="499" priority="1354" stopIfTrue="1">
      <formula>NOT(ISERROR(SEARCH("AL",AD26)))</formula>
    </cfRule>
    <cfRule type="cellIs" dxfId="498" priority="1355" operator="equal">
      <formula>"SEC"</formula>
    </cfRule>
    <cfRule type="cellIs" dxfId="497" priority="1356" stopIfTrue="1" operator="equal">
      <formula>"SR"</formula>
    </cfRule>
    <cfRule type="cellIs" dxfId="496" priority="1357" stopIfTrue="1" operator="equal">
      <formula>"SG"</formula>
    </cfRule>
    <cfRule type="expression" dxfId="495" priority="1358" stopIfTrue="1">
      <formula>NOT(ISERROR(SEARCH("AL",AD26)))</formula>
    </cfRule>
    <cfRule type="expression" dxfId="494" priority="1359" stopIfTrue="1">
      <formula>NOT(ISERROR(SEARCH("SEC",AD26)))</formula>
    </cfRule>
    <cfRule type="cellIs" dxfId="493" priority="1360" operator="equal">
      <formula>"GS"</formula>
    </cfRule>
    <cfRule type="expression" dxfId="492" priority="1361" stopIfTrue="1">
      <formula>NOT(ISERROR(SEARCH("SL",AD26)))</formula>
    </cfRule>
    <cfRule type="expression" dxfId="491" priority="1362" stopIfTrue="1">
      <formula>NOT(ISERROR(SEARCH("NP",AD26)))</formula>
    </cfRule>
    <cfRule type="expression" dxfId="490" priority="1363" stopIfTrue="1">
      <formula>NOT(ISERROR(SEARCH("SH",AD26)))</formula>
    </cfRule>
    <cfRule type="expression" dxfId="489" priority="1364" stopIfTrue="1">
      <formula>NOT(ISERROR(SEARCH("WTT",AD26)))</formula>
    </cfRule>
  </conditionalFormatting>
  <conditionalFormatting sqref="AE9">
    <cfRule type="cellIs" dxfId="488" priority="1697" operator="equal">
      <formula>"GS"</formula>
    </cfRule>
    <cfRule type="cellIs" dxfId="487" priority="1698" stopIfTrue="1" operator="equal">
      <formula>"SR"</formula>
    </cfRule>
    <cfRule type="cellIs" dxfId="486" priority="1699" stopIfTrue="1" operator="equal">
      <formula>"SG"</formula>
    </cfRule>
    <cfRule type="expression" dxfId="485" priority="1700" stopIfTrue="1">
      <formula>NOT(ISERROR(SEARCH("AL",AE9)))</formula>
    </cfRule>
  </conditionalFormatting>
  <conditionalFormatting sqref="AE20">
    <cfRule type="containsText" dxfId="484" priority="5" operator="containsText" text="G">
      <formula>NOT(ISERROR(SEARCH("G",AE20)))</formula>
    </cfRule>
  </conditionalFormatting>
  <conditionalFormatting sqref="AE23">
    <cfRule type="cellIs" dxfId="483" priority="1497" operator="equal">
      <formula>"GS"</formula>
    </cfRule>
    <cfRule type="cellIs" dxfId="482" priority="1498" stopIfTrue="1" operator="equal">
      <formula>"SR"</formula>
    </cfRule>
    <cfRule type="cellIs" dxfId="481" priority="1499" stopIfTrue="1" operator="equal">
      <formula>"SG"</formula>
    </cfRule>
    <cfRule type="expression" dxfId="480" priority="1500" stopIfTrue="1">
      <formula>NOT(ISERROR(SEARCH("AL",AE23)))</formula>
    </cfRule>
    <cfRule type="cellIs" dxfId="479" priority="1501" operator="equal">
      <formula>"SEC"</formula>
    </cfRule>
    <cfRule type="cellIs" dxfId="478" priority="1502" stopIfTrue="1" operator="equal">
      <formula>"SR"</formula>
    </cfRule>
    <cfRule type="cellIs" dxfId="477" priority="1503" stopIfTrue="1" operator="equal">
      <formula>"SG"</formula>
    </cfRule>
    <cfRule type="expression" dxfId="476" priority="1504" stopIfTrue="1">
      <formula>NOT(ISERROR(SEARCH("AL",AE23)))</formula>
    </cfRule>
    <cfRule type="expression" dxfId="475" priority="1505" stopIfTrue="1">
      <formula>NOT(ISERROR(SEARCH("SEC",AE23)))</formula>
    </cfRule>
    <cfRule type="cellIs" dxfId="474" priority="1506" operator="equal">
      <formula>"GS"</formula>
    </cfRule>
    <cfRule type="expression" dxfId="473" priority="1507" stopIfTrue="1">
      <formula>NOT(ISERROR(SEARCH("SL",AE23)))</formula>
    </cfRule>
    <cfRule type="expression" dxfId="472" priority="1508" stopIfTrue="1">
      <formula>NOT(ISERROR(SEARCH("NP",AE23)))</formula>
    </cfRule>
    <cfRule type="expression" dxfId="471" priority="1509" stopIfTrue="1">
      <formula>NOT(ISERROR(SEARCH("SH",AE23)))</formula>
    </cfRule>
  </conditionalFormatting>
  <conditionalFormatting sqref="AE42">
    <cfRule type="cellIs" dxfId="470" priority="398" operator="equal">
      <formula>"GS"</formula>
    </cfRule>
    <cfRule type="cellIs" dxfId="469" priority="399" stopIfTrue="1" operator="equal">
      <formula>"SR"</formula>
    </cfRule>
    <cfRule type="cellIs" dxfId="468" priority="400" stopIfTrue="1" operator="equal">
      <formula>"SG"</formula>
    </cfRule>
    <cfRule type="expression" dxfId="467" priority="401" stopIfTrue="1">
      <formula>NOT(ISERROR(SEARCH("AL",AE42)))</formula>
    </cfRule>
    <cfRule type="cellIs" dxfId="466" priority="402" operator="equal">
      <formula>"SEC"</formula>
    </cfRule>
    <cfRule type="cellIs" dxfId="465" priority="403" stopIfTrue="1" operator="equal">
      <formula>"SR"</formula>
    </cfRule>
    <cfRule type="cellIs" dxfId="464" priority="404" stopIfTrue="1" operator="equal">
      <formula>"SG"</formula>
    </cfRule>
    <cfRule type="expression" dxfId="463" priority="405" stopIfTrue="1">
      <formula>NOT(ISERROR(SEARCH("AL",AE42)))</formula>
    </cfRule>
    <cfRule type="expression" dxfId="462" priority="406" stopIfTrue="1">
      <formula>NOT(ISERROR(SEARCH("SEC",AE42)))</formula>
    </cfRule>
    <cfRule type="cellIs" dxfId="461" priority="407" operator="equal">
      <formula>"GS"</formula>
    </cfRule>
    <cfRule type="expression" dxfId="460" priority="408" stopIfTrue="1">
      <formula>NOT(ISERROR(SEARCH("SL",AE42)))</formula>
    </cfRule>
    <cfRule type="expression" dxfId="459" priority="409" stopIfTrue="1">
      <formula>NOT(ISERROR(SEARCH("NP",AE42)))</formula>
    </cfRule>
    <cfRule type="expression" dxfId="458" priority="410" stopIfTrue="1">
      <formula>NOT(ISERROR(SEARCH("SH",AE42)))</formula>
    </cfRule>
    <cfRule type="expression" dxfId="457" priority="411" stopIfTrue="1">
      <formula>NOT(ISERROR(SEARCH("WTT",AE42)))</formula>
    </cfRule>
    <cfRule type="expression" dxfId="456" priority="412" stopIfTrue="1">
      <formula>NOT(ISERROR(SEARCH("FH",AE42)))</formula>
    </cfRule>
  </conditionalFormatting>
  <conditionalFormatting sqref="AE38:AF38">
    <cfRule type="cellIs" dxfId="455" priority="654" operator="equal">
      <formula>"GS"</formula>
    </cfRule>
    <cfRule type="cellIs" dxfId="454" priority="655" stopIfTrue="1" operator="equal">
      <formula>"SR"</formula>
    </cfRule>
    <cfRule type="cellIs" dxfId="453" priority="656" stopIfTrue="1" operator="equal">
      <formula>"SG"</formula>
    </cfRule>
    <cfRule type="expression" dxfId="452" priority="657" stopIfTrue="1">
      <formula>NOT(ISERROR(SEARCH("AL",AE38)))</formula>
    </cfRule>
    <cfRule type="cellIs" dxfId="451" priority="658" operator="equal">
      <formula>"SEC"</formula>
    </cfRule>
    <cfRule type="cellIs" dxfId="450" priority="659" stopIfTrue="1" operator="equal">
      <formula>"SR"</formula>
    </cfRule>
    <cfRule type="cellIs" dxfId="449" priority="660" stopIfTrue="1" operator="equal">
      <formula>"SG"</formula>
    </cfRule>
    <cfRule type="expression" dxfId="448" priority="661" stopIfTrue="1">
      <formula>NOT(ISERROR(SEARCH("AL",AE38)))</formula>
    </cfRule>
    <cfRule type="expression" dxfId="447" priority="662" stopIfTrue="1">
      <formula>NOT(ISERROR(SEARCH("SEC",AE38)))</formula>
    </cfRule>
    <cfRule type="cellIs" dxfId="446" priority="663" operator="equal">
      <formula>"GS"</formula>
    </cfRule>
    <cfRule type="expression" dxfId="445" priority="664" stopIfTrue="1">
      <formula>NOT(ISERROR(SEARCH("SL",AE38)))</formula>
    </cfRule>
    <cfRule type="expression" dxfId="444" priority="665" stopIfTrue="1">
      <formula>NOT(ISERROR(SEARCH("NP",AE38)))</formula>
    </cfRule>
    <cfRule type="expression" dxfId="443" priority="666" stopIfTrue="1">
      <formula>NOT(ISERROR(SEARCH("SH",AE38)))</formula>
    </cfRule>
    <cfRule type="expression" dxfId="442" priority="667" stopIfTrue="1">
      <formula>NOT(ISERROR(SEARCH("WTT",AE38)))</formula>
    </cfRule>
    <cfRule type="expression" dxfId="441" priority="668" stopIfTrue="1">
      <formula>NOT(ISERROR(SEARCH("FH",AE38)))</formula>
    </cfRule>
  </conditionalFormatting>
  <conditionalFormatting sqref="AF27">
    <cfRule type="cellIs" dxfId="440" priority="1281" operator="equal">
      <formula>"GS"</formula>
    </cfRule>
    <cfRule type="cellIs" dxfId="439" priority="1282" stopIfTrue="1" operator="equal">
      <formula>"SR"</formula>
    </cfRule>
    <cfRule type="cellIs" dxfId="438" priority="1283" stopIfTrue="1" operator="equal">
      <formula>"SG"</formula>
    </cfRule>
    <cfRule type="expression" dxfId="437" priority="1284" stopIfTrue="1">
      <formula>NOT(ISERROR(SEARCH("AL",AF27)))</formula>
    </cfRule>
    <cfRule type="cellIs" dxfId="436" priority="1285" operator="equal">
      <formula>"SEC"</formula>
    </cfRule>
    <cfRule type="cellIs" dxfId="435" priority="1286" stopIfTrue="1" operator="equal">
      <formula>"SR"</formula>
    </cfRule>
    <cfRule type="cellIs" dxfId="434" priority="1287" stopIfTrue="1" operator="equal">
      <formula>"SG"</formula>
    </cfRule>
    <cfRule type="expression" dxfId="433" priority="1288" stopIfTrue="1">
      <formula>NOT(ISERROR(SEARCH("AL",AF27)))</formula>
    </cfRule>
    <cfRule type="expression" dxfId="432" priority="1289" stopIfTrue="1">
      <formula>NOT(ISERROR(SEARCH("SEC",AF27)))</formula>
    </cfRule>
    <cfRule type="cellIs" dxfId="431" priority="1290" operator="equal">
      <formula>"GS"</formula>
    </cfRule>
    <cfRule type="expression" dxfId="430" priority="1291" stopIfTrue="1">
      <formula>NOT(ISERROR(SEARCH("SL",AF27)))</formula>
    </cfRule>
    <cfRule type="expression" dxfId="429" priority="1292" stopIfTrue="1">
      <formula>NOT(ISERROR(SEARCH("NP",AF27)))</formula>
    </cfRule>
    <cfRule type="expression" dxfId="428" priority="1293" stopIfTrue="1">
      <formula>NOT(ISERROR(SEARCH("SH",AF27)))</formula>
    </cfRule>
    <cfRule type="expression" dxfId="427" priority="1294" stopIfTrue="1">
      <formula>NOT(ISERROR(SEARCH("WTT",AF27)))</formula>
    </cfRule>
  </conditionalFormatting>
  <conditionalFormatting sqref="AF37">
    <cfRule type="cellIs" dxfId="426" priority="714" operator="equal">
      <formula>"GS"</formula>
    </cfRule>
    <cfRule type="cellIs" dxfId="425" priority="715" stopIfTrue="1" operator="equal">
      <formula>"SR"</formula>
    </cfRule>
    <cfRule type="cellIs" dxfId="424" priority="716" stopIfTrue="1" operator="equal">
      <formula>"SG"</formula>
    </cfRule>
    <cfRule type="expression" dxfId="423" priority="717" stopIfTrue="1">
      <formula>NOT(ISERROR(SEARCH("AL",AF37)))</formula>
    </cfRule>
    <cfRule type="cellIs" dxfId="422" priority="718" operator="equal">
      <formula>"SEC"</formula>
    </cfRule>
    <cfRule type="cellIs" dxfId="421" priority="719" stopIfTrue="1" operator="equal">
      <formula>"SR"</formula>
    </cfRule>
    <cfRule type="cellIs" dxfId="420" priority="720" stopIfTrue="1" operator="equal">
      <formula>"SG"</formula>
    </cfRule>
    <cfRule type="expression" dxfId="419" priority="721" stopIfTrue="1">
      <formula>NOT(ISERROR(SEARCH("AL",AF37)))</formula>
    </cfRule>
    <cfRule type="expression" dxfId="418" priority="722" stopIfTrue="1">
      <formula>NOT(ISERROR(SEARCH("SEC",AF37)))</formula>
    </cfRule>
    <cfRule type="cellIs" dxfId="417" priority="723" operator="equal">
      <formula>"GS"</formula>
    </cfRule>
    <cfRule type="expression" dxfId="416" priority="724" stopIfTrue="1">
      <formula>NOT(ISERROR(SEARCH("SL",AF37)))</formula>
    </cfRule>
    <cfRule type="expression" dxfId="415" priority="725" stopIfTrue="1">
      <formula>NOT(ISERROR(SEARCH("NP",AF37)))</formula>
    </cfRule>
    <cfRule type="expression" dxfId="414" priority="726" stopIfTrue="1">
      <formula>NOT(ISERROR(SEARCH("SH",AF37)))</formula>
    </cfRule>
    <cfRule type="expression" dxfId="413" priority="727" stopIfTrue="1">
      <formula>NOT(ISERROR(SEARCH("WTT",AF37)))</formula>
    </cfRule>
    <cfRule type="expression" dxfId="412" priority="728" stopIfTrue="1">
      <formula>NOT(ISERROR(SEARCH("FH",AF37)))</formula>
    </cfRule>
  </conditionalFormatting>
  <conditionalFormatting sqref="AF36:AG36">
    <cfRule type="cellIs" dxfId="411" priority="774" operator="equal">
      <formula>"GS"</formula>
    </cfRule>
    <cfRule type="cellIs" dxfId="410" priority="775" stopIfTrue="1" operator="equal">
      <formula>"SR"</formula>
    </cfRule>
    <cfRule type="cellIs" dxfId="409" priority="776" stopIfTrue="1" operator="equal">
      <formula>"SG"</formula>
    </cfRule>
    <cfRule type="expression" dxfId="408" priority="777" stopIfTrue="1">
      <formula>NOT(ISERROR(SEARCH("AL",AF36)))</formula>
    </cfRule>
    <cfRule type="cellIs" dxfId="407" priority="778" operator="equal">
      <formula>"SEC"</formula>
    </cfRule>
    <cfRule type="cellIs" dxfId="406" priority="779" stopIfTrue="1" operator="equal">
      <formula>"SR"</formula>
    </cfRule>
    <cfRule type="cellIs" dxfId="405" priority="780" stopIfTrue="1" operator="equal">
      <formula>"SG"</formula>
    </cfRule>
    <cfRule type="expression" dxfId="404" priority="781" stopIfTrue="1">
      <formula>NOT(ISERROR(SEARCH("AL",AF36)))</formula>
    </cfRule>
    <cfRule type="expression" dxfId="403" priority="782" stopIfTrue="1">
      <formula>NOT(ISERROR(SEARCH("SEC",AF36)))</formula>
    </cfRule>
    <cfRule type="cellIs" dxfId="402" priority="783" operator="equal">
      <formula>"GS"</formula>
    </cfRule>
    <cfRule type="expression" dxfId="401" priority="784" stopIfTrue="1">
      <formula>NOT(ISERROR(SEARCH("SL",AF36)))</formula>
    </cfRule>
    <cfRule type="expression" dxfId="400" priority="785" stopIfTrue="1">
      <formula>NOT(ISERROR(SEARCH("NP",AF36)))</formula>
    </cfRule>
    <cfRule type="expression" dxfId="399" priority="786" stopIfTrue="1">
      <formula>NOT(ISERROR(SEARCH("SH",AF36)))</formula>
    </cfRule>
    <cfRule type="expression" dxfId="398" priority="787" stopIfTrue="1">
      <formula>NOT(ISERROR(SEARCH("WTT",AF36)))</formula>
    </cfRule>
    <cfRule type="expression" dxfId="397" priority="788" stopIfTrue="1">
      <formula>NOT(ISERROR(SEARCH("FH",AF36)))</formula>
    </cfRule>
  </conditionalFormatting>
  <conditionalFormatting sqref="AF41:AG41">
    <cfRule type="cellIs" dxfId="396" priority="473" operator="equal">
      <formula>"GS"</formula>
    </cfRule>
    <cfRule type="cellIs" dxfId="395" priority="474" stopIfTrue="1" operator="equal">
      <formula>"SR"</formula>
    </cfRule>
    <cfRule type="cellIs" dxfId="394" priority="475" stopIfTrue="1" operator="equal">
      <formula>"SG"</formula>
    </cfRule>
    <cfRule type="expression" dxfId="393" priority="476" stopIfTrue="1">
      <formula>NOT(ISERROR(SEARCH("AL",AF41)))</formula>
    </cfRule>
    <cfRule type="cellIs" dxfId="392" priority="477" operator="equal">
      <formula>"SEC"</formula>
    </cfRule>
    <cfRule type="cellIs" dxfId="391" priority="478" stopIfTrue="1" operator="equal">
      <formula>"SR"</formula>
    </cfRule>
    <cfRule type="cellIs" dxfId="390" priority="479" stopIfTrue="1" operator="equal">
      <formula>"SG"</formula>
    </cfRule>
    <cfRule type="expression" dxfId="389" priority="480" stopIfTrue="1">
      <formula>NOT(ISERROR(SEARCH("AL",AF41)))</formula>
    </cfRule>
    <cfRule type="expression" dxfId="388" priority="481" stopIfTrue="1">
      <formula>NOT(ISERROR(SEARCH("SEC",AF41)))</formula>
    </cfRule>
    <cfRule type="cellIs" dxfId="387" priority="482" operator="equal">
      <formula>"GS"</formula>
    </cfRule>
    <cfRule type="expression" dxfId="386" priority="483" stopIfTrue="1">
      <formula>NOT(ISERROR(SEARCH("SL",AF41)))</formula>
    </cfRule>
    <cfRule type="expression" dxfId="385" priority="484" stopIfTrue="1">
      <formula>NOT(ISERROR(SEARCH("NP",AF41)))</formula>
    </cfRule>
    <cfRule type="expression" dxfId="384" priority="485" stopIfTrue="1">
      <formula>NOT(ISERROR(SEARCH("SH",AF41)))</formula>
    </cfRule>
    <cfRule type="expression" dxfId="383" priority="486" stopIfTrue="1">
      <formula>NOT(ISERROR(SEARCH("WTT",AF41)))</formula>
    </cfRule>
    <cfRule type="expression" dxfId="382" priority="487" stopIfTrue="1">
      <formula>NOT(ISERROR(SEARCH("FH",AF41)))</formula>
    </cfRule>
  </conditionalFormatting>
  <conditionalFormatting sqref="AF10:AJ10">
    <cfRule type="containsText" dxfId="381" priority="14" operator="containsText" text="G">
      <formula>NOT(ISERROR(SEARCH("G",AF10)))</formula>
    </cfRule>
  </conditionalFormatting>
  <conditionalFormatting sqref="AG11">
    <cfRule type="cellIs" dxfId="380" priority="1661" operator="equal">
      <formula>"GS"</formula>
    </cfRule>
    <cfRule type="cellIs" dxfId="379" priority="1662" stopIfTrue="1" operator="equal">
      <formula>"SR"</formula>
    </cfRule>
    <cfRule type="cellIs" dxfId="378" priority="1663" stopIfTrue="1" operator="equal">
      <formula>"SG"</formula>
    </cfRule>
    <cfRule type="expression" dxfId="377" priority="1664" stopIfTrue="1">
      <formula>NOT(ISERROR(SEARCH("AL",AG11)))</formula>
    </cfRule>
  </conditionalFormatting>
  <conditionalFormatting sqref="AG21">
    <cfRule type="cellIs" dxfId="376" priority="1624" operator="equal">
      <formula>"GS"</formula>
    </cfRule>
    <cfRule type="cellIs" dxfId="375" priority="1625" stopIfTrue="1" operator="equal">
      <formula>"SR"</formula>
    </cfRule>
    <cfRule type="cellIs" dxfId="374" priority="1626" stopIfTrue="1" operator="equal">
      <formula>"SG"</formula>
    </cfRule>
    <cfRule type="expression" dxfId="373" priority="1627" stopIfTrue="1">
      <formula>NOT(ISERROR(SEARCH("AL",AG21)))</formula>
    </cfRule>
  </conditionalFormatting>
  <conditionalFormatting sqref="AG29:AG30">
    <cfRule type="expression" dxfId="372" priority="1786" stopIfTrue="1">
      <formula>NOT(ISERROR(SEARCH("WTT",AG29)))</formula>
    </cfRule>
  </conditionalFormatting>
  <conditionalFormatting sqref="AG31">
    <cfRule type="cellIs" dxfId="371" priority="1030" operator="equal">
      <formula>"GS"</formula>
    </cfRule>
    <cfRule type="cellIs" dxfId="370" priority="1031" stopIfTrue="1" operator="equal">
      <formula>"SR"</formula>
    </cfRule>
    <cfRule type="cellIs" dxfId="369" priority="1032" stopIfTrue="1" operator="equal">
      <formula>"SG"</formula>
    </cfRule>
    <cfRule type="expression" dxfId="368" priority="1033" stopIfTrue="1">
      <formula>NOT(ISERROR(SEARCH("AL",AG31)))</formula>
    </cfRule>
    <cfRule type="cellIs" dxfId="367" priority="1034" operator="equal">
      <formula>"SEC"</formula>
    </cfRule>
    <cfRule type="cellIs" dxfId="366" priority="1035" stopIfTrue="1" operator="equal">
      <formula>"SR"</formula>
    </cfRule>
    <cfRule type="cellIs" dxfId="365" priority="1036" stopIfTrue="1" operator="equal">
      <formula>"SG"</formula>
    </cfRule>
    <cfRule type="expression" dxfId="364" priority="1037" stopIfTrue="1">
      <formula>NOT(ISERROR(SEARCH("AL",AG31)))</formula>
    </cfRule>
    <cfRule type="expression" dxfId="363" priority="1038" stopIfTrue="1">
      <formula>NOT(ISERROR(SEARCH("SEC",AG31)))</formula>
    </cfRule>
    <cfRule type="cellIs" dxfId="362" priority="1039" operator="equal">
      <formula>"GS"</formula>
    </cfRule>
    <cfRule type="expression" dxfId="361" priority="1040" stopIfTrue="1">
      <formula>NOT(ISERROR(SEARCH("SL",AG31)))</formula>
    </cfRule>
    <cfRule type="expression" dxfId="360" priority="1041" stopIfTrue="1">
      <formula>NOT(ISERROR(SEARCH("NP",AG31)))</formula>
    </cfRule>
    <cfRule type="expression" dxfId="359" priority="1042" stopIfTrue="1">
      <formula>NOT(ISERROR(SEARCH("SH",AG31)))</formula>
    </cfRule>
    <cfRule type="expression" dxfId="358" priority="1043" stopIfTrue="1">
      <formula>NOT(ISERROR(SEARCH("WTT",AG31)))</formula>
    </cfRule>
    <cfRule type="expression" dxfId="357" priority="1044" stopIfTrue="1">
      <formula>NOT(ISERROR(SEARCH("FH",AG31)))</formula>
    </cfRule>
  </conditionalFormatting>
  <conditionalFormatting sqref="AG33:AG34">
    <cfRule type="expression" dxfId="356" priority="1797" stopIfTrue="1">
      <formula>NOT(ISERROR(SEARCH("WTT",AG33)))</formula>
    </cfRule>
  </conditionalFormatting>
  <conditionalFormatting sqref="AG35:AH36">
    <cfRule type="expression" dxfId="355" priority="1802" stopIfTrue="1">
      <formula>NOT(ISERROR(SEARCH("WTT",AG35)))</formula>
    </cfRule>
  </conditionalFormatting>
  <conditionalFormatting sqref="AH28">
    <cfRule type="cellIs" dxfId="354" priority="1225" operator="equal">
      <formula>"GS"</formula>
    </cfRule>
    <cfRule type="cellIs" dxfId="353" priority="1226" stopIfTrue="1" operator="equal">
      <formula>"SR"</formula>
    </cfRule>
    <cfRule type="cellIs" dxfId="352" priority="1227" stopIfTrue="1" operator="equal">
      <formula>"SG"</formula>
    </cfRule>
    <cfRule type="expression" dxfId="351" priority="1228" stopIfTrue="1">
      <formula>NOT(ISERROR(SEARCH("AL",AH28)))</formula>
    </cfRule>
    <cfRule type="cellIs" dxfId="350" priority="1229" operator="equal">
      <formula>"SEC"</formula>
    </cfRule>
    <cfRule type="cellIs" dxfId="349" priority="1230" stopIfTrue="1" operator="equal">
      <formula>"SR"</formula>
    </cfRule>
    <cfRule type="cellIs" dxfId="348" priority="1231" stopIfTrue="1" operator="equal">
      <formula>"SG"</formula>
    </cfRule>
    <cfRule type="expression" dxfId="347" priority="1232" stopIfTrue="1">
      <formula>NOT(ISERROR(SEARCH("AL",AH28)))</formula>
    </cfRule>
    <cfRule type="expression" dxfId="346" priority="1233" stopIfTrue="1">
      <formula>NOT(ISERROR(SEARCH("SEC",AH28)))</formula>
    </cfRule>
    <cfRule type="cellIs" dxfId="345" priority="1234" operator="equal">
      <formula>"GS"</formula>
    </cfRule>
    <cfRule type="expression" dxfId="344" priority="1235" stopIfTrue="1">
      <formula>NOT(ISERROR(SEARCH("SL",AH28)))</formula>
    </cfRule>
    <cfRule type="expression" dxfId="343" priority="1236" stopIfTrue="1">
      <formula>NOT(ISERROR(SEARCH("NP",AH28)))</formula>
    </cfRule>
    <cfRule type="expression" dxfId="342" priority="1237" stopIfTrue="1">
      <formula>NOT(ISERROR(SEARCH("SH",AH28)))</formula>
    </cfRule>
    <cfRule type="expression" dxfId="341" priority="1238" stopIfTrue="1">
      <formula>NOT(ISERROR(SEARCH("WTT",AH28)))</formula>
    </cfRule>
  </conditionalFormatting>
  <conditionalFormatting sqref="AH30">
    <cfRule type="cellIs" dxfId="340" priority="1090" operator="equal">
      <formula>"GS"</formula>
    </cfRule>
    <cfRule type="cellIs" dxfId="339" priority="1091" stopIfTrue="1" operator="equal">
      <formula>"SR"</formula>
    </cfRule>
    <cfRule type="cellIs" dxfId="338" priority="1092" stopIfTrue="1" operator="equal">
      <formula>"SG"</formula>
    </cfRule>
    <cfRule type="expression" dxfId="337" priority="1093" stopIfTrue="1">
      <formula>NOT(ISERROR(SEARCH("AL",AH30)))</formula>
    </cfRule>
    <cfRule type="cellIs" dxfId="336" priority="1094" operator="equal">
      <formula>"SEC"</formula>
    </cfRule>
    <cfRule type="cellIs" dxfId="335" priority="1095" stopIfTrue="1" operator="equal">
      <formula>"SR"</formula>
    </cfRule>
    <cfRule type="cellIs" dxfId="334" priority="1096" stopIfTrue="1" operator="equal">
      <formula>"SG"</formula>
    </cfRule>
    <cfRule type="expression" dxfId="333" priority="1097" stopIfTrue="1">
      <formula>NOT(ISERROR(SEARCH("AL",AH30)))</formula>
    </cfRule>
    <cfRule type="expression" dxfId="332" priority="1098" stopIfTrue="1">
      <formula>NOT(ISERROR(SEARCH("SEC",AH30)))</formula>
    </cfRule>
    <cfRule type="cellIs" dxfId="331" priority="1099" operator="equal">
      <formula>"GS"</formula>
    </cfRule>
    <cfRule type="expression" dxfId="330" priority="1100" stopIfTrue="1">
      <formula>NOT(ISERROR(SEARCH("SL",AH30)))</formula>
    </cfRule>
    <cfRule type="expression" dxfId="329" priority="1101" stopIfTrue="1">
      <formula>NOT(ISERROR(SEARCH("NP",AH30)))</formula>
    </cfRule>
    <cfRule type="expression" dxfId="328" priority="1102" stopIfTrue="1">
      <formula>NOT(ISERROR(SEARCH("SH",AH30)))</formula>
    </cfRule>
    <cfRule type="expression" dxfId="327" priority="1103" stopIfTrue="1">
      <formula>NOT(ISERROR(SEARCH("WTT",AH30)))</formula>
    </cfRule>
    <cfRule type="expression" dxfId="326" priority="1104" stopIfTrue="1">
      <formula>NOT(ISERROR(SEARCH("FH",AH30)))</formula>
    </cfRule>
  </conditionalFormatting>
  <conditionalFormatting sqref="AH30:AH31">
    <cfRule type="expression" dxfId="325" priority="1789" stopIfTrue="1">
      <formula>NOT(ISERROR(SEARCH("WTT",AH30)))</formula>
    </cfRule>
  </conditionalFormatting>
  <conditionalFormatting sqref="AH32">
    <cfRule type="cellIs" dxfId="324" priority="970" operator="equal">
      <formula>"GS"</formula>
    </cfRule>
    <cfRule type="cellIs" dxfId="323" priority="971" stopIfTrue="1" operator="equal">
      <formula>"SR"</formula>
    </cfRule>
    <cfRule type="cellIs" dxfId="322" priority="972" stopIfTrue="1" operator="equal">
      <formula>"SG"</formula>
    </cfRule>
    <cfRule type="expression" dxfId="321" priority="973" stopIfTrue="1">
      <formula>NOT(ISERROR(SEARCH("AL",AH32)))</formula>
    </cfRule>
    <cfRule type="cellIs" dxfId="320" priority="974" operator="equal">
      <formula>"SEC"</formula>
    </cfRule>
    <cfRule type="cellIs" dxfId="319" priority="975" stopIfTrue="1" operator="equal">
      <formula>"SR"</formula>
    </cfRule>
    <cfRule type="cellIs" dxfId="318" priority="976" stopIfTrue="1" operator="equal">
      <formula>"SG"</formula>
    </cfRule>
    <cfRule type="expression" dxfId="317" priority="977" stopIfTrue="1">
      <formula>NOT(ISERROR(SEARCH("AL",AH32)))</formula>
    </cfRule>
    <cfRule type="expression" dxfId="316" priority="978" stopIfTrue="1">
      <formula>NOT(ISERROR(SEARCH("SEC",AH32)))</formula>
    </cfRule>
    <cfRule type="cellIs" dxfId="315" priority="979" operator="equal">
      <formula>"GS"</formula>
    </cfRule>
    <cfRule type="expression" dxfId="314" priority="980" stopIfTrue="1">
      <formula>NOT(ISERROR(SEARCH("SL",AH32)))</formula>
    </cfRule>
    <cfRule type="expression" dxfId="313" priority="981" stopIfTrue="1">
      <formula>NOT(ISERROR(SEARCH("NP",AH32)))</formula>
    </cfRule>
    <cfRule type="expression" dxfId="312" priority="982" stopIfTrue="1">
      <formula>NOT(ISERROR(SEARCH("SH",AH32)))</formula>
    </cfRule>
    <cfRule type="expression" dxfId="311" priority="983" stopIfTrue="1">
      <formula>NOT(ISERROR(SEARCH("WTT",AH32)))</formula>
    </cfRule>
    <cfRule type="expression" dxfId="310" priority="984" stopIfTrue="1">
      <formula>NOT(ISERROR(SEARCH("FH",AH32)))</formula>
    </cfRule>
  </conditionalFormatting>
  <conditionalFormatting sqref="AH11:AM11">
    <cfRule type="containsText" dxfId="309" priority="16" operator="containsText" text="G">
      <formula>NOT(ISERROR(SEARCH("G",AH11)))</formula>
    </cfRule>
  </conditionalFormatting>
  <conditionalFormatting sqref="AH21:AM21">
    <cfRule type="cellIs" dxfId="308" priority="1600" stopIfTrue="1" operator="equal">
      <formula>"SR"</formula>
    </cfRule>
    <cfRule type="cellIs" dxfId="307" priority="1601" stopIfTrue="1" operator="equal">
      <formula>"SG"</formula>
    </cfRule>
    <cfRule type="expression" dxfId="306" priority="1602" stopIfTrue="1">
      <formula>NOT(ISERROR(SEARCH("AL",AH21)))</formula>
    </cfRule>
  </conditionalFormatting>
  <conditionalFormatting sqref="AI24">
    <cfRule type="cellIs" dxfId="305" priority="1433" stopIfTrue="1" operator="equal">
      <formula>"SR"</formula>
    </cfRule>
    <cfRule type="cellIs" dxfId="304" priority="1434" stopIfTrue="1" operator="equal">
      <formula>"SG"</formula>
    </cfRule>
    <cfRule type="expression" dxfId="303" priority="1435" stopIfTrue="1">
      <formula>NOT(ISERROR(SEARCH("AL",AI24)))</formula>
    </cfRule>
    <cfRule type="cellIs" dxfId="302" priority="1436" operator="equal">
      <formula>"SEC"</formula>
    </cfRule>
    <cfRule type="cellIs" dxfId="301" priority="1437" stopIfTrue="1" operator="equal">
      <formula>"SR"</formula>
    </cfRule>
    <cfRule type="cellIs" dxfId="300" priority="1438" stopIfTrue="1" operator="equal">
      <formula>"SG"</formula>
    </cfRule>
    <cfRule type="expression" dxfId="299" priority="1439" stopIfTrue="1">
      <formula>NOT(ISERROR(SEARCH("AL",AI24)))</formula>
    </cfRule>
    <cfRule type="expression" dxfId="298" priority="1440" stopIfTrue="1">
      <formula>NOT(ISERROR(SEARCH("SEC",AI24)))</formula>
    </cfRule>
    <cfRule type="cellIs" dxfId="297" priority="1441" operator="equal">
      <formula>"GS"</formula>
    </cfRule>
    <cfRule type="expression" dxfId="296" priority="1442" stopIfTrue="1">
      <formula>NOT(ISERROR(SEARCH("SL",AI24)))</formula>
    </cfRule>
    <cfRule type="expression" dxfId="295" priority="1443" stopIfTrue="1">
      <formula>NOT(ISERROR(SEARCH("NP",AI24)))</formula>
    </cfRule>
    <cfRule type="expression" dxfId="294" priority="1444" stopIfTrue="1">
      <formula>NOT(ISERROR(SEARCH("SH",AI24)))</formula>
    </cfRule>
  </conditionalFormatting>
  <conditionalFormatting sqref="AI24:AI25">
    <cfRule type="cellIs" dxfId="293" priority="1402" operator="equal">
      <formula>"GS"</formula>
    </cfRule>
  </conditionalFormatting>
  <conditionalFormatting sqref="AI25">
    <cfRule type="cellIs" dxfId="292" priority="1393" operator="equal">
      <formula>"GS"</formula>
    </cfRule>
    <cfRule type="cellIs" dxfId="291" priority="1394" stopIfTrue="1" operator="equal">
      <formula>"SR"</formula>
    </cfRule>
    <cfRule type="cellIs" dxfId="290" priority="1395" stopIfTrue="1" operator="equal">
      <formula>"SG"</formula>
    </cfRule>
    <cfRule type="expression" dxfId="289" priority="1396" stopIfTrue="1">
      <formula>NOT(ISERROR(SEARCH("AL",AI25)))</formula>
    </cfRule>
    <cfRule type="cellIs" dxfId="288" priority="1397" operator="equal">
      <formula>"SEC"</formula>
    </cfRule>
    <cfRule type="cellIs" dxfId="287" priority="1398" stopIfTrue="1" operator="equal">
      <formula>"SR"</formula>
    </cfRule>
    <cfRule type="cellIs" dxfId="286" priority="1399" stopIfTrue="1" operator="equal">
      <formula>"SG"</formula>
    </cfRule>
    <cfRule type="expression" dxfId="285" priority="1400" stopIfTrue="1">
      <formula>NOT(ISERROR(SEARCH("AL",AI25)))</formula>
    </cfRule>
    <cfRule type="expression" dxfId="284" priority="1401" stopIfTrue="1">
      <formula>NOT(ISERROR(SEARCH("SEC",AI25)))</formula>
    </cfRule>
    <cfRule type="expression" dxfId="283" priority="1403" stopIfTrue="1">
      <formula>NOT(ISERROR(SEARCH("SL",AI25)))</formula>
    </cfRule>
    <cfRule type="expression" dxfId="282" priority="1404" stopIfTrue="1">
      <formula>NOT(ISERROR(SEARCH("NP",AI25)))</formula>
    </cfRule>
    <cfRule type="expression" dxfId="281" priority="1405" stopIfTrue="1">
      <formula>NOT(ISERROR(SEARCH("SH",AI25)))</formula>
    </cfRule>
  </conditionalFormatting>
  <conditionalFormatting sqref="AI34:AJ34">
    <cfRule type="cellIs" dxfId="280" priority="879" operator="equal">
      <formula>"GS"</formula>
    </cfRule>
    <cfRule type="cellIs" dxfId="279" priority="880" stopIfTrue="1" operator="equal">
      <formula>"SR"</formula>
    </cfRule>
    <cfRule type="cellIs" dxfId="278" priority="881" stopIfTrue="1" operator="equal">
      <formula>"SG"</formula>
    </cfRule>
    <cfRule type="expression" dxfId="277" priority="882" stopIfTrue="1">
      <formula>NOT(ISERROR(SEARCH("AL",AI34)))</formula>
    </cfRule>
    <cfRule type="cellIs" dxfId="276" priority="883" operator="equal">
      <formula>"SEC"</formula>
    </cfRule>
    <cfRule type="cellIs" dxfId="275" priority="884" stopIfTrue="1" operator="equal">
      <formula>"SR"</formula>
    </cfRule>
    <cfRule type="cellIs" dxfId="274" priority="885" stopIfTrue="1" operator="equal">
      <formula>"SG"</formula>
    </cfRule>
    <cfRule type="expression" dxfId="273" priority="886" stopIfTrue="1">
      <formula>NOT(ISERROR(SEARCH("AL",AI34)))</formula>
    </cfRule>
    <cfRule type="expression" dxfId="272" priority="887" stopIfTrue="1">
      <formula>NOT(ISERROR(SEARCH("SEC",AI34)))</formula>
    </cfRule>
    <cfRule type="cellIs" dxfId="271" priority="888" operator="equal">
      <formula>"GS"</formula>
    </cfRule>
    <cfRule type="expression" dxfId="270" priority="889" stopIfTrue="1">
      <formula>NOT(ISERROR(SEARCH("SL",AI34)))</formula>
    </cfRule>
    <cfRule type="expression" dxfId="269" priority="890" stopIfTrue="1">
      <formula>NOT(ISERROR(SEARCH("NP",AI34)))</formula>
    </cfRule>
    <cfRule type="expression" dxfId="268" priority="891" stopIfTrue="1">
      <formula>NOT(ISERROR(SEARCH("SH",AI34)))</formula>
    </cfRule>
    <cfRule type="expression" dxfId="267" priority="892" stopIfTrue="1">
      <formula>NOT(ISERROR(SEARCH("WTT",AI34)))</formula>
    </cfRule>
    <cfRule type="expression" dxfId="266" priority="893" stopIfTrue="1">
      <formula>NOT(ISERROR(SEARCH("FH",AI34)))</formula>
    </cfRule>
  </conditionalFormatting>
  <conditionalFormatting sqref="AI39:AJ39">
    <cfRule type="cellIs" dxfId="265" priority="579" operator="equal">
      <formula>"GS"</formula>
    </cfRule>
    <cfRule type="cellIs" dxfId="264" priority="580" stopIfTrue="1" operator="equal">
      <formula>"SR"</formula>
    </cfRule>
    <cfRule type="cellIs" dxfId="263" priority="581" stopIfTrue="1" operator="equal">
      <formula>"SG"</formula>
    </cfRule>
    <cfRule type="expression" dxfId="262" priority="582" stopIfTrue="1">
      <formula>NOT(ISERROR(SEARCH("AL",AI39)))</formula>
    </cfRule>
    <cfRule type="cellIs" dxfId="261" priority="583" operator="equal">
      <formula>"SEC"</formula>
    </cfRule>
    <cfRule type="cellIs" dxfId="260" priority="584" stopIfTrue="1" operator="equal">
      <formula>"SR"</formula>
    </cfRule>
    <cfRule type="cellIs" dxfId="259" priority="585" stopIfTrue="1" operator="equal">
      <formula>"SG"</formula>
    </cfRule>
    <cfRule type="expression" dxfId="258" priority="586" stopIfTrue="1">
      <formula>NOT(ISERROR(SEARCH("AL",AI39)))</formula>
    </cfRule>
    <cfRule type="expression" dxfId="257" priority="587" stopIfTrue="1">
      <formula>NOT(ISERROR(SEARCH("SEC",AI39)))</formula>
    </cfRule>
    <cfRule type="cellIs" dxfId="256" priority="588" operator="equal">
      <formula>"GS"</formula>
    </cfRule>
    <cfRule type="expression" dxfId="255" priority="589" stopIfTrue="1">
      <formula>NOT(ISERROR(SEARCH("SL",AI39)))</formula>
    </cfRule>
    <cfRule type="expression" dxfId="254" priority="590" stopIfTrue="1">
      <formula>NOT(ISERROR(SEARCH("NP",AI39)))</formula>
    </cfRule>
    <cfRule type="expression" dxfId="253" priority="591" stopIfTrue="1">
      <formula>NOT(ISERROR(SEARCH("SH",AI39)))</formula>
    </cfRule>
    <cfRule type="expression" dxfId="252" priority="592" stopIfTrue="1">
      <formula>NOT(ISERROR(SEARCH("WTT",AI39)))</formula>
    </cfRule>
    <cfRule type="expression" dxfId="251" priority="593" stopIfTrue="1">
      <formula>NOT(ISERROR(SEARCH("FH",AI39)))</formula>
    </cfRule>
  </conditionalFormatting>
  <conditionalFormatting sqref="AJ22">
    <cfRule type="cellIs" dxfId="250" priority="1536" operator="equal">
      <formula>"GS"</formula>
    </cfRule>
    <cfRule type="cellIs" dxfId="249" priority="1537" stopIfTrue="1" operator="equal">
      <formula>"SR"</formula>
    </cfRule>
    <cfRule type="cellIs" dxfId="248" priority="1538" stopIfTrue="1" operator="equal">
      <formula>"SG"</formula>
    </cfRule>
    <cfRule type="expression" dxfId="247" priority="1539" stopIfTrue="1">
      <formula>NOT(ISERROR(SEARCH("AL",AJ22)))</formula>
    </cfRule>
    <cfRule type="cellIs" dxfId="246" priority="1540" operator="equal">
      <formula>"SEC"</formula>
    </cfRule>
    <cfRule type="cellIs" dxfId="245" priority="1541" stopIfTrue="1" operator="equal">
      <formula>"SR"</formula>
    </cfRule>
    <cfRule type="cellIs" dxfId="244" priority="1542" stopIfTrue="1" operator="equal">
      <formula>"SG"</formula>
    </cfRule>
    <cfRule type="expression" dxfId="243" priority="1543" stopIfTrue="1">
      <formula>NOT(ISERROR(SEARCH("AL",AJ22)))</formula>
    </cfRule>
    <cfRule type="expression" dxfId="242" priority="1544" stopIfTrue="1">
      <formula>NOT(ISERROR(SEARCH("SEC",AJ22)))</formula>
    </cfRule>
    <cfRule type="cellIs" dxfId="241" priority="1545" operator="equal">
      <formula>"GS"</formula>
    </cfRule>
    <cfRule type="expression" dxfId="240" priority="1546" stopIfTrue="1">
      <formula>NOT(ISERROR(SEARCH("SL",AJ22)))</formula>
    </cfRule>
    <cfRule type="expression" dxfId="239" priority="1547" stopIfTrue="1">
      <formula>NOT(ISERROR(SEARCH("NP",AJ22)))</formula>
    </cfRule>
    <cfRule type="expression" dxfId="238" priority="1548" stopIfTrue="1">
      <formula>NOT(ISERROR(SEARCH("SH",AJ22)))</formula>
    </cfRule>
  </conditionalFormatting>
  <conditionalFormatting sqref="AJ31:AJ32">
    <cfRule type="expression" dxfId="237" priority="1792" stopIfTrue="1">
      <formula>NOT(ISERROR(SEARCH("WTT",AJ31)))</formula>
    </cfRule>
  </conditionalFormatting>
  <conditionalFormatting sqref="AJ46">
    <cfRule type="cellIs" dxfId="236" priority="173" operator="equal">
      <formula>"GS"</formula>
    </cfRule>
    <cfRule type="cellIs" dxfId="235" priority="174" stopIfTrue="1" operator="equal">
      <formula>"SR"</formula>
    </cfRule>
    <cfRule type="cellIs" dxfId="234" priority="175" stopIfTrue="1" operator="equal">
      <formula>"SG"</formula>
    </cfRule>
    <cfRule type="expression" dxfId="233" priority="176" stopIfTrue="1">
      <formula>NOT(ISERROR(SEARCH("AL",AJ46)))</formula>
    </cfRule>
    <cfRule type="cellIs" dxfId="232" priority="177" operator="equal">
      <formula>"SEC"</formula>
    </cfRule>
    <cfRule type="cellIs" dxfId="231" priority="178" stopIfTrue="1" operator="equal">
      <formula>"SR"</formula>
    </cfRule>
    <cfRule type="cellIs" dxfId="230" priority="179" stopIfTrue="1" operator="equal">
      <formula>"SG"</formula>
    </cfRule>
    <cfRule type="expression" dxfId="229" priority="180" stopIfTrue="1">
      <formula>NOT(ISERROR(SEARCH("AL",AJ46)))</formula>
    </cfRule>
    <cfRule type="expression" dxfId="228" priority="181" stopIfTrue="1">
      <formula>NOT(ISERROR(SEARCH("SEC",AJ46)))</formula>
    </cfRule>
    <cfRule type="cellIs" dxfId="227" priority="182" operator="equal">
      <formula>"GS"</formula>
    </cfRule>
    <cfRule type="expression" dxfId="226" priority="183" stopIfTrue="1">
      <formula>NOT(ISERROR(SEARCH("SL",AJ46)))</formula>
    </cfRule>
    <cfRule type="expression" dxfId="225" priority="184" stopIfTrue="1">
      <formula>NOT(ISERROR(SEARCH("NP",AJ46)))</formula>
    </cfRule>
    <cfRule type="expression" dxfId="224" priority="185" stopIfTrue="1">
      <formula>NOT(ISERROR(SEARCH("SH",AJ46)))</formula>
    </cfRule>
    <cfRule type="expression" dxfId="223" priority="186" stopIfTrue="1">
      <formula>NOT(ISERROR(SEARCH("WTT",AJ46)))</formula>
    </cfRule>
    <cfRule type="expression" dxfId="222" priority="187" stopIfTrue="1">
      <formula>NOT(ISERROR(SEARCH("FH",AJ46)))</formula>
    </cfRule>
  </conditionalFormatting>
  <conditionalFormatting sqref="AJ48">
    <cfRule type="cellIs" dxfId="221" priority="51" operator="equal">
      <formula>"GS"</formula>
    </cfRule>
    <cfRule type="cellIs" dxfId="220" priority="52" stopIfTrue="1" operator="equal">
      <formula>"SR"</formula>
    </cfRule>
    <cfRule type="cellIs" dxfId="219" priority="53" stopIfTrue="1" operator="equal">
      <formula>"SG"</formula>
    </cfRule>
    <cfRule type="expression" dxfId="218" priority="54" stopIfTrue="1">
      <formula>NOT(ISERROR(SEARCH("AL",AJ48)))</formula>
    </cfRule>
    <cfRule type="cellIs" dxfId="217" priority="55" operator="equal">
      <formula>"SEC"</formula>
    </cfRule>
    <cfRule type="cellIs" dxfId="216" priority="56" stopIfTrue="1" operator="equal">
      <formula>"SR"</formula>
    </cfRule>
    <cfRule type="cellIs" dxfId="215" priority="57" stopIfTrue="1" operator="equal">
      <formula>"SG"</formula>
    </cfRule>
    <cfRule type="expression" dxfId="214" priority="58" stopIfTrue="1">
      <formula>NOT(ISERROR(SEARCH("AL",AJ48)))</formula>
    </cfRule>
    <cfRule type="expression" dxfId="213" priority="59" stopIfTrue="1">
      <formula>NOT(ISERROR(SEARCH("SEC",AJ48)))</formula>
    </cfRule>
    <cfRule type="cellIs" dxfId="212" priority="60" operator="equal">
      <formula>"GS"</formula>
    </cfRule>
    <cfRule type="expression" dxfId="211" priority="61" stopIfTrue="1">
      <formula>NOT(ISERROR(SEARCH("SL",AJ48)))</formula>
    </cfRule>
    <cfRule type="expression" dxfId="210" priority="62" stopIfTrue="1">
      <formula>NOT(ISERROR(SEARCH("NP",AJ48)))</formula>
    </cfRule>
    <cfRule type="expression" dxfId="209" priority="63" stopIfTrue="1">
      <formula>NOT(ISERROR(SEARCH("SH",AJ48)))</formula>
    </cfRule>
    <cfRule type="expression" dxfId="208" priority="64" stopIfTrue="1">
      <formula>NOT(ISERROR(SEARCH("WTT",AJ48)))</formula>
    </cfRule>
    <cfRule type="expression" dxfId="207" priority="65" stopIfTrue="1">
      <formula>NOT(ISERROR(SEARCH("FH",AJ48)))</formula>
    </cfRule>
  </conditionalFormatting>
  <conditionalFormatting sqref="AJ26:AK27">
    <cfRule type="expression" dxfId="206" priority="1778" stopIfTrue="1">
      <formula>NOT(ISERROR(SEARCH("WTT",AJ26)))</formula>
    </cfRule>
  </conditionalFormatting>
  <conditionalFormatting sqref="AK10">
    <cfRule type="cellIs" dxfId="205" priority="1673" operator="equal">
      <formula>"GS"</formula>
    </cfRule>
    <cfRule type="cellIs" dxfId="204" priority="1674" stopIfTrue="1" operator="equal">
      <formula>"SR"</formula>
    </cfRule>
    <cfRule type="cellIs" dxfId="203" priority="1675" stopIfTrue="1" operator="equal">
      <formula>"SG"</formula>
    </cfRule>
    <cfRule type="expression" dxfId="202" priority="1676" stopIfTrue="1">
      <formula>NOT(ISERROR(SEARCH("AL",AK10)))</formula>
    </cfRule>
  </conditionalFormatting>
  <conditionalFormatting sqref="AK20">
    <cfRule type="cellIs" dxfId="201" priority="1636" operator="equal">
      <formula>"GS"</formula>
    </cfRule>
    <cfRule type="cellIs" dxfId="200" priority="1637" stopIfTrue="1" operator="equal">
      <formula>"SR"</formula>
    </cfRule>
    <cfRule type="cellIs" dxfId="199" priority="1638" stopIfTrue="1" operator="equal">
      <formula>"SG"</formula>
    </cfRule>
    <cfRule type="expression" dxfId="198" priority="1639" stopIfTrue="1">
      <formula>NOT(ISERROR(SEARCH("AL",AK20)))</formula>
    </cfRule>
  </conditionalFormatting>
  <conditionalFormatting sqref="AK29">
    <cfRule type="cellIs" dxfId="197" priority="1150" operator="equal">
      <formula>"GS"</formula>
    </cfRule>
    <cfRule type="cellIs" dxfId="196" priority="1151" stopIfTrue="1" operator="equal">
      <formula>"SR"</formula>
    </cfRule>
    <cfRule type="cellIs" dxfId="195" priority="1152" stopIfTrue="1" operator="equal">
      <formula>"SG"</formula>
    </cfRule>
    <cfRule type="expression" dxfId="194" priority="1153" stopIfTrue="1">
      <formula>NOT(ISERROR(SEARCH("AL",AK29)))</formula>
    </cfRule>
    <cfRule type="cellIs" dxfId="193" priority="1154" operator="equal">
      <formula>"SEC"</formula>
    </cfRule>
    <cfRule type="cellIs" dxfId="192" priority="1155" stopIfTrue="1" operator="equal">
      <formula>"SR"</formula>
    </cfRule>
    <cfRule type="cellIs" dxfId="191" priority="1156" stopIfTrue="1" operator="equal">
      <formula>"SG"</formula>
    </cfRule>
    <cfRule type="expression" dxfId="190" priority="1157" stopIfTrue="1">
      <formula>NOT(ISERROR(SEARCH("AL",AK29)))</formula>
    </cfRule>
    <cfRule type="expression" dxfId="189" priority="1158" stopIfTrue="1">
      <formula>NOT(ISERROR(SEARCH("SEC",AK29)))</formula>
    </cfRule>
    <cfRule type="cellIs" dxfId="188" priority="1159" operator="equal">
      <formula>"GS"</formula>
    </cfRule>
    <cfRule type="expression" dxfId="187" priority="1160" stopIfTrue="1">
      <formula>NOT(ISERROR(SEARCH("SL",AK29)))</formula>
    </cfRule>
    <cfRule type="expression" dxfId="186" priority="1161" stopIfTrue="1">
      <formula>NOT(ISERROR(SEARCH("NP",AK29)))</formula>
    </cfRule>
    <cfRule type="expression" dxfId="185" priority="1162" stopIfTrue="1">
      <formula>NOT(ISERROR(SEARCH("SH",AK29)))</formula>
    </cfRule>
    <cfRule type="expression" dxfId="184" priority="1163" stopIfTrue="1">
      <formula>NOT(ISERROR(SEARCH("WTT",AK29)))</formula>
    </cfRule>
    <cfRule type="expression" dxfId="183" priority="1164" stopIfTrue="1">
      <formula>NOT(ISERROR(SEARCH("FH",AK29)))</formula>
    </cfRule>
  </conditionalFormatting>
  <conditionalFormatting sqref="AK34:AK35">
    <cfRule type="expression" dxfId="182" priority="1800" stopIfTrue="1">
      <formula>NOT(ISERROR(SEARCH("WTT",AK34)))</formula>
    </cfRule>
  </conditionalFormatting>
  <conditionalFormatting sqref="AK40">
    <cfRule type="cellIs" dxfId="181" priority="519" operator="equal">
      <formula>"GS"</formula>
    </cfRule>
    <cfRule type="cellIs" dxfId="180" priority="520" stopIfTrue="1" operator="equal">
      <formula>"SR"</formula>
    </cfRule>
    <cfRule type="cellIs" dxfId="179" priority="521" stopIfTrue="1" operator="equal">
      <formula>"SG"</formula>
    </cfRule>
    <cfRule type="expression" dxfId="178" priority="522" stopIfTrue="1">
      <formula>NOT(ISERROR(SEARCH("AL",AK40)))</formula>
    </cfRule>
    <cfRule type="cellIs" dxfId="177" priority="523" operator="equal">
      <formula>"SEC"</formula>
    </cfRule>
    <cfRule type="cellIs" dxfId="176" priority="524" stopIfTrue="1" operator="equal">
      <formula>"SR"</formula>
    </cfRule>
    <cfRule type="cellIs" dxfId="175" priority="525" stopIfTrue="1" operator="equal">
      <formula>"SG"</formula>
    </cfRule>
    <cfRule type="expression" dxfId="174" priority="526" stopIfTrue="1">
      <formula>NOT(ISERROR(SEARCH("AL",AK40)))</formula>
    </cfRule>
    <cfRule type="expression" dxfId="173" priority="527" stopIfTrue="1">
      <formula>NOT(ISERROR(SEARCH("SEC",AK40)))</formula>
    </cfRule>
    <cfRule type="cellIs" dxfId="172" priority="528" operator="equal">
      <formula>"GS"</formula>
    </cfRule>
    <cfRule type="expression" dxfId="171" priority="529" stopIfTrue="1">
      <formula>NOT(ISERROR(SEARCH("SL",AK40)))</formula>
    </cfRule>
    <cfRule type="expression" dxfId="170" priority="530" stopIfTrue="1">
      <formula>NOT(ISERROR(SEARCH("NP",AK40)))</formula>
    </cfRule>
    <cfRule type="expression" dxfId="169" priority="531" stopIfTrue="1">
      <formula>NOT(ISERROR(SEARCH("SH",AK40)))</formula>
    </cfRule>
    <cfRule type="expression" dxfId="168" priority="532" stopIfTrue="1">
      <formula>NOT(ISERROR(SEARCH("WTT",AK40)))</formula>
    </cfRule>
    <cfRule type="expression" dxfId="167" priority="533" stopIfTrue="1">
      <formula>NOT(ISERROR(SEARCH("FH",AK40)))</formula>
    </cfRule>
  </conditionalFormatting>
  <conditionalFormatting sqref="AK43">
    <cfRule type="cellIs" dxfId="166" priority="323" operator="equal">
      <formula>"GS"</formula>
    </cfRule>
    <cfRule type="cellIs" dxfId="165" priority="324" stopIfTrue="1" operator="equal">
      <formula>"SR"</formula>
    </cfRule>
    <cfRule type="cellIs" dxfId="164" priority="325" stopIfTrue="1" operator="equal">
      <formula>"SG"</formula>
    </cfRule>
    <cfRule type="expression" dxfId="163" priority="326" stopIfTrue="1">
      <formula>NOT(ISERROR(SEARCH("AL",AK43)))</formula>
    </cfRule>
    <cfRule type="cellIs" dxfId="162" priority="327" operator="equal">
      <formula>"SEC"</formula>
    </cfRule>
    <cfRule type="cellIs" dxfId="161" priority="328" stopIfTrue="1" operator="equal">
      <formula>"SR"</formula>
    </cfRule>
    <cfRule type="cellIs" dxfId="160" priority="329" stopIfTrue="1" operator="equal">
      <formula>"SG"</formula>
    </cfRule>
    <cfRule type="expression" dxfId="159" priority="330" stopIfTrue="1">
      <formula>NOT(ISERROR(SEARCH("AL",AK43)))</formula>
    </cfRule>
    <cfRule type="expression" dxfId="158" priority="331" stopIfTrue="1">
      <formula>NOT(ISERROR(SEARCH("SEC",AK43)))</formula>
    </cfRule>
    <cfRule type="cellIs" dxfId="157" priority="332" operator="equal">
      <formula>"GS"</formula>
    </cfRule>
    <cfRule type="expression" dxfId="156" priority="333" stopIfTrue="1">
      <formula>NOT(ISERROR(SEARCH("SL",AK43)))</formula>
    </cfRule>
    <cfRule type="expression" dxfId="155" priority="334" stopIfTrue="1">
      <formula>NOT(ISERROR(SEARCH("NP",AK43)))</formula>
    </cfRule>
    <cfRule type="expression" dxfId="154" priority="335" stopIfTrue="1">
      <formula>NOT(ISERROR(SEARCH("SH",AK43)))</formula>
    </cfRule>
    <cfRule type="expression" dxfId="153" priority="336" stopIfTrue="1">
      <formula>NOT(ISERROR(SEARCH("WTT",AK43)))</formula>
    </cfRule>
    <cfRule type="expression" dxfId="152" priority="337" stopIfTrue="1">
      <formula>NOT(ISERROR(SEARCH("FH",AK43)))</formula>
    </cfRule>
  </conditionalFormatting>
  <conditionalFormatting sqref="AK47">
    <cfRule type="cellIs" dxfId="151" priority="111" operator="equal">
      <formula>"GS"</formula>
    </cfRule>
    <cfRule type="cellIs" dxfId="150" priority="112" stopIfTrue="1" operator="equal">
      <formula>"SR"</formula>
    </cfRule>
    <cfRule type="cellIs" dxfId="149" priority="113" stopIfTrue="1" operator="equal">
      <formula>"SG"</formula>
    </cfRule>
    <cfRule type="expression" dxfId="148" priority="114" stopIfTrue="1">
      <formula>NOT(ISERROR(SEARCH("AL",AK47)))</formula>
    </cfRule>
    <cfRule type="cellIs" dxfId="147" priority="115" operator="equal">
      <formula>"SEC"</formula>
    </cfRule>
    <cfRule type="cellIs" dxfId="146" priority="116" stopIfTrue="1" operator="equal">
      <formula>"SR"</formula>
    </cfRule>
    <cfRule type="cellIs" dxfId="145" priority="117" stopIfTrue="1" operator="equal">
      <formula>"SG"</formula>
    </cfRule>
    <cfRule type="expression" dxfId="144" priority="118" stopIfTrue="1">
      <formula>NOT(ISERROR(SEARCH("AL",AK47)))</formula>
    </cfRule>
    <cfRule type="expression" dxfId="143" priority="119" stopIfTrue="1">
      <formula>NOT(ISERROR(SEARCH("SEC",AK47)))</formula>
    </cfRule>
    <cfRule type="cellIs" dxfId="142" priority="120" operator="equal">
      <formula>"GS"</formula>
    </cfRule>
    <cfRule type="expression" dxfId="141" priority="121" stopIfTrue="1">
      <formula>NOT(ISERROR(SEARCH("SL",AK47)))</formula>
    </cfRule>
    <cfRule type="expression" dxfId="140" priority="122" stopIfTrue="1">
      <formula>NOT(ISERROR(SEARCH("NP",AK47)))</formula>
    </cfRule>
    <cfRule type="expression" dxfId="139" priority="123" stopIfTrue="1">
      <formula>NOT(ISERROR(SEARCH("SH",AK47)))</formula>
    </cfRule>
    <cfRule type="expression" dxfId="138" priority="124" stopIfTrue="1">
      <formula>NOT(ISERROR(SEARCH("WTT",AK47)))</formula>
    </cfRule>
    <cfRule type="expression" dxfId="137" priority="125" stopIfTrue="1">
      <formula>NOT(ISERROR(SEARCH("FH",AK47)))</formula>
    </cfRule>
  </conditionalFormatting>
  <conditionalFormatting sqref="AL9">
    <cfRule type="cellIs" dxfId="136" priority="1693" operator="equal">
      <formula>"GS"</formula>
    </cfRule>
    <cfRule type="cellIs" dxfId="135" priority="1694" stopIfTrue="1" operator="equal">
      <formula>"SR"</formula>
    </cfRule>
    <cfRule type="cellIs" dxfId="134" priority="1695" stopIfTrue="1" operator="equal">
      <formula>"SG"</formula>
    </cfRule>
    <cfRule type="expression" dxfId="133" priority="1696" stopIfTrue="1">
      <formula>NOT(ISERROR(SEARCH("AL",AL9)))</formula>
    </cfRule>
  </conditionalFormatting>
  <conditionalFormatting sqref="AL20">
    <cfRule type="containsText" dxfId="132" priority="4" operator="containsText" text="G">
      <formula>NOT(ISERROR(SEARCH("G",AL20)))</formula>
    </cfRule>
  </conditionalFormatting>
  <conditionalFormatting sqref="AL23">
    <cfRule type="cellIs" dxfId="131" priority="1484" operator="equal">
      <formula>"GS"</formula>
    </cfRule>
    <cfRule type="cellIs" dxfId="130" priority="1485" stopIfTrue="1" operator="equal">
      <formula>"SR"</formula>
    </cfRule>
    <cfRule type="cellIs" dxfId="129" priority="1486" stopIfTrue="1" operator="equal">
      <formula>"SG"</formula>
    </cfRule>
    <cfRule type="expression" dxfId="128" priority="1487" stopIfTrue="1">
      <formula>NOT(ISERROR(SEARCH("AL",AL23)))</formula>
    </cfRule>
    <cfRule type="cellIs" dxfId="127" priority="1488" operator="equal">
      <formula>"SEC"</formula>
    </cfRule>
    <cfRule type="cellIs" dxfId="126" priority="1489" stopIfTrue="1" operator="equal">
      <formula>"SR"</formula>
    </cfRule>
    <cfRule type="cellIs" dxfId="125" priority="1490" stopIfTrue="1" operator="equal">
      <formula>"SG"</formula>
    </cfRule>
    <cfRule type="expression" dxfId="124" priority="1491" stopIfTrue="1">
      <formula>NOT(ISERROR(SEARCH("AL",AL23)))</formula>
    </cfRule>
    <cfRule type="expression" dxfId="123" priority="1492" stopIfTrue="1">
      <formula>NOT(ISERROR(SEARCH("SEC",AL23)))</formula>
    </cfRule>
    <cfRule type="cellIs" dxfId="122" priority="1493" operator="equal">
      <formula>"GS"</formula>
    </cfRule>
    <cfRule type="expression" dxfId="121" priority="1494" stopIfTrue="1">
      <formula>NOT(ISERROR(SEARCH("SL",AL23)))</formula>
    </cfRule>
    <cfRule type="expression" dxfId="120" priority="1495" stopIfTrue="1">
      <formula>NOT(ISERROR(SEARCH("NP",AL23)))</formula>
    </cfRule>
    <cfRule type="expression" dxfId="119" priority="1496" stopIfTrue="1">
      <formula>NOT(ISERROR(SEARCH("SH",AL23)))</formula>
    </cfRule>
  </conditionalFormatting>
  <conditionalFormatting sqref="AL26">
    <cfRule type="cellIs" dxfId="118" priority="1337" operator="equal">
      <formula>"GS"</formula>
    </cfRule>
    <cfRule type="cellIs" dxfId="117" priority="1338" stopIfTrue="1" operator="equal">
      <formula>"SR"</formula>
    </cfRule>
    <cfRule type="cellIs" dxfId="116" priority="1339" stopIfTrue="1" operator="equal">
      <formula>"SG"</formula>
    </cfRule>
    <cfRule type="expression" dxfId="115" priority="1340" stopIfTrue="1">
      <formula>NOT(ISERROR(SEARCH("AL",AL26)))</formula>
    </cfRule>
    <cfRule type="cellIs" dxfId="114" priority="1341" operator="equal">
      <formula>"SEC"</formula>
    </cfRule>
    <cfRule type="cellIs" dxfId="113" priority="1342" stopIfTrue="1" operator="equal">
      <formula>"SR"</formula>
    </cfRule>
    <cfRule type="cellIs" dxfId="112" priority="1343" stopIfTrue="1" operator="equal">
      <formula>"SG"</formula>
    </cfRule>
    <cfRule type="expression" dxfId="111" priority="1344" stopIfTrue="1">
      <formula>NOT(ISERROR(SEARCH("AL",AL26)))</formula>
    </cfRule>
    <cfRule type="expression" dxfId="110" priority="1345" stopIfTrue="1">
      <formula>NOT(ISERROR(SEARCH("SEC",AL26)))</formula>
    </cfRule>
    <cfRule type="cellIs" dxfId="109" priority="1346" operator="equal">
      <formula>"GS"</formula>
    </cfRule>
    <cfRule type="expression" dxfId="108" priority="1347" stopIfTrue="1">
      <formula>NOT(ISERROR(SEARCH("SL",AL26)))</formula>
    </cfRule>
    <cfRule type="expression" dxfId="107" priority="1348" stopIfTrue="1">
      <formula>NOT(ISERROR(SEARCH("NP",AL26)))</formula>
    </cfRule>
    <cfRule type="expression" dxfId="106" priority="1349" stopIfTrue="1">
      <formula>NOT(ISERROR(SEARCH("SH",AL26)))</formula>
    </cfRule>
    <cfRule type="expression" dxfId="105" priority="1350" stopIfTrue="1">
      <formula>NOT(ISERROR(SEARCH("WTT",AL26)))</formula>
    </cfRule>
  </conditionalFormatting>
  <conditionalFormatting sqref="AL35">
    <cfRule type="cellIs" dxfId="104" priority="819" operator="equal">
      <formula>"GS"</formula>
    </cfRule>
    <cfRule type="cellIs" dxfId="103" priority="820" stopIfTrue="1" operator="equal">
      <formula>"SR"</formula>
    </cfRule>
    <cfRule type="cellIs" dxfId="102" priority="821" stopIfTrue="1" operator="equal">
      <formula>"SG"</formula>
    </cfRule>
    <cfRule type="expression" dxfId="101" priority="822" stopIfTrue="1">
      <formula>NOT(ISERROR(SEARCH("AL",AL35)))</formula>
    </cfRule>
    <cfRule type="cellIs" dxfId="100" priority="823" operator="equal">
      <formula>"SEC"</formula>
    </cfRule>
    <cfRule type="cellIs" dxfId="99" priority="824" stopIfTrue="1" operator="equal">
      <formula>"SR"</formula>
    </cfRule>
    <cfRule type="cellIs" dxfId="98" priority="825" stopIfTrue="1" operator="equal">
      <formula>"SG"</formula>
    </cfRule>
    <cfRule type="expression" dxfId="97" priority="826" stopIfTrue="1">
      <formula>NOT(ISERROR(SEARCH("AL",AL35)))</formula>
    </cfRule>
    <cfRule type="expression" dxfId="96" priority="827" stopIfTrue="1">
      <formula>NOT(ISERROR(SEARCH("SEC",AL35)))</formula>
    </cfRule>
    <cfRule type="cellIs" dxfId="95" priority="828" operator="equal">
      <formula>"GS"</formula>
    </cfRule>
    <cfRule type="expression" dxfId="94" priority="829" stopIfTrue="1">
      <formula>NOT(ISERROR(SEARCH("SL",AL35)))</formula>
    </cfRule>
    <cfRule type="expression" dxfId="93" priority="830" stopIfTrue="1">
      <formula>NOT(ISERROR(SEARCH("NP",AL35)))</formula>
    </cfRule>
    <cfRule type="expression" dxfId="92" priority="831" stopIfTrue="1">
      <formula>NOT(ISERROR(SEARCH("SH",AL35)))</formula>
    </cfRule>
    <cfRule type="expression" dxfId="91" priority="832" stopIfTrue="1">
      <formula>NOT(ISERROR(SEARCH("WTT",AL35)))</formula>
    </cfRule>
    <cfRule type="expression" dxfId="90" priority="833" stopIfTrue="1">
      <formula>NOT(ISERROR(SEARCH("FH",AL35)))</formula>
    </cfRule>
  </conditionalFormatting>
  <conditionalFormatting sqref="AL45">
    <cfRule type="cellIs" dxfId="89" priority="233" operator="equal">
      <formula>"GS"</formula>
    </cfRule>
    <cfRule type="cellIs" dxfId="88" priority="234" stopIfTrue="1" operator="equal">
      <formula>"SR"</formula>
    </cfRule>
    <cfRule type="cellIs" dxfId="87" priority="235" stopIfTrue="1" operator="equal">
      <formula>"SG"</formula>
    </cfRule>
    <cfRule type="expression" dxfId="86" priority="236" stopIfTrue="1">
      <formula>NOT(ISERROR(SEARCH("AL",AL45)))</formula>
    </cfRule>
    <cfRule type="cellIs" dxfId="85" priority="237" operator="equal">
      <formula>"SEC"</formula>
    </cfRule>
    <cfRule type="cellIs" dxfId="84" priority="238" stopIfTrue="1" operator="equal">
      <formula>"SR"</formula>
    </cfRule>
    <cfRule type="cellIs" dxfId="83" priority="239" stopIfTrue="1" operator="equal">
      <formula>"SG"</formula>
    </cfRule>
    <cfRule type="expression" dxfId="82" priority="240" stopIfTrue="1">
      <formula>NOT(ISERROR(SEARCH("AL",AL45)))</formula>
    </cfRule>
    <cfRule type="expression" dxfId="81" priority="241" stopIfTrue="1">
      <formula>NOT(ISERROR(SEARCH("SEC",AL45)))</formula>
    </cfRule>
    <cfRule type="cellIs" dxfId="80" priority="242" operator="equal">
      <formula>"GS"</formula>
    </cfRule>
    <cfRule type="expression" dxfId="79" priority="243" stopIfTrue="1">
      <formula>NOT(ISERROR(SEARCH("SL",AL45)))</formula>
    </cfRule>
    <cfRule type="expression" dxfId="78" priority="244" stopIfTrue="1">
      <formula>NOT(ISERROR(SEARCH("NP",AL45)))</formula>
    </cfRule>
    <cfRule type="expression" dxfId="77" priority="245" stopIfTrue="1">
      <formula>NOT(ISERROR(SEARCH("SH",AL45)))</formula>
    </cfRule>
    <cfRule type="expression" dxfId="76" priority="246" stopIfTrue="1">
      <formula>NOT(ISERROR(SEARCH("WTT",AL45)))</formula>
    </cfRule>
    <cfRule type="expression" dxfId="75" priority="247" stopIfTrue="1">
      <formula>NOT(ISERROR(SEARCH("FH",AL45)))</formula>
    </cfRule>
  </conditionalFormatting>
  <conditionalFormatting sqref="AM10">
    <cfRule type="containsText" dxfId="74" priority="15" operator="containsText" text="G">
      <formula>NOT(ISERROR(SEARCH("G",AM10)))</formula>
    </cfRule>
  </conditionalFormatting>
  <conditionalFormatting sqref="AM36">
    <cfRule type="cellIs" dxfId="73" priority="760" stopIfTrue="1" operator="equal">
      <formula>"SR"</formula>
    </cfRule>
    <cfRule type="cellIs" dxfId="72" priority="761" stopIfTrue="1" operator="equal">
      <formula>"SG"</formula>
    </cfRule>
    <cfRule type="expression" dxfId="71" priority="762" stopIfTrue="1">
      <formula>NOT(ISERROR(SEARCH("AL",AM36)))</formula>
    </cfRule>
    <cfRule type="cellIs" dxfId="70" priority="763" operator="equal">
      <formula>"SEC"</formula>
    </cfRule>
    <cfRule type="cellIs" dxfId="69" priority="764" stopIfTrue="1" operator="equal">
      <formula>"SR"</formula>
    </cfRule>
    <cfRule type="cellIs" dxfId="68" priority="765" stopIfTrue="1" operator="equal">
      <formula>"SG"</formula>
    </cfRule>
    <cfRule type="expression" dxfId="67" priority="766" stopIfTrue="1">
      <formula>NOT(ISERROR(SEARCH("AL",AM36)))</formula>
    </cfRule>
    <cfRule type="expression" dxfId="66" priority="767" stopIfTrue="1">
      <formula>NOT(ISERROR(SEARCH("SEC",AM36)))</formula>
    </cfRule>
    <cfRule type="cellIs" dxfId="65" priority="768" operator="equal">
      <formula>"GS"</formula>
    </cfRule>
    <cfRule type="expression" dxfId="64" priority="769" stopIfTrue="1">
      <formula>NOT(ISERROR(SEARCH("SL",AM36)))</formula>
    </cfRule>
    <cfRule type="expression" dxfId="63" priority="770" stopIfTrue="1">
      <formula>NOT(ISERROR(SEARCH("NP",AM36)))</formula>
    </cfRule>
    <cfRule type="expression" dxfId="62" priority="771" stopIfTrue="1">
      <formula>NOT(ISERROR(SEARCH("SH",AM36)))</formula>
    </cfRule>
    <cfRule type="expression" dxfId="61" priority="772" stopIfTrue="1">
      <formula>NOT(ISERROR(SEARCH("WTT",AM36)))</formula>
    </cfRule>
    <cfRule type="expression" dxfId="60" priority="773" stopIfTrue="1">
      <formula>NOT(ISERROR(SEARCH("FH",AM36)))</formula>
    </cfRule>
  </conditionalFormatting>
  <conditionalFormatting sqref="AM36:AM37">
    <cfRule type="cellIs" dxfId="59" priority="708" operator="equal">
      <formula>"GS"</formula>
    </cfRule>
  </conditionalFormatting>
  <conditionalFormatting sqref="AM37">
    <cfRule type="cellIs" dxfId="58" priority="700" stopIfTrue="1" operator="equal">
      <formula>"SR"</formula>
    </cfRule>
    <cfRule type="cellIs" dxfId="57" priority="701" stopIfTrue="1" operator="equal">
      <formula>"SG"</formula>
    </cfRule>
    <cfRule type="expression" dxfId="56" priority="702" stopIfTrue="1">
      <formula>NOT(ISERROR(SEARCH("AL",AM37)))</formula>
    </cfRule>
    <cfRule type="cellIs" dxfId="55" priority="703" operator="equal">
      <formula>"SEC"</formula>
    </cfRule>
    <cfRule type="cellIs" dxfId="54" priority="704" stopIfTrue="1" operator="equal">
      <formula>"SR"</formula>
    </cfRule>
    <cfRule type="cellIs" dxfId="53" priority="705" stopIfTrue="1" operator="equal">
      <formula>"SG"</formula>
    </cfRule>
    <cfRule type="expression" dxfId="52" priority="706" stopIfTrue="1">
      <formula>NOT(ISERROR(SEARCH("AL",AM37)))</formula>
    </cfRule>
    <cfRule type="expression" dxfId="51" priority="707" stopIfTrue="1">
      <formula>NOT(ISERROR(SEARCH("SEC",AM37)))</formula>
    </cfRule>
    <cfRule type="expression" dxfId="50" priority="709" stopIfTrue="1">
      <formula>NOT(ISERROR(SEARCH("SL",AM37)))</formula>
    </cfRule>
    <cfRule type="expression" dxfId="49" priority="710" stopIfTrue="1">
      <formula>NOT(ISERROR(SEARCH("NP",AM37)))</formula>
    </cfRule>
    <cfRule type="expression" dxfId="48" priority="711" stopIfTrue="1">
      <formula>NOT(ISERROR(SEARCH("SH",AM37)))</formula>
    </cfRule>
    <cfRule type="expression" dxfId="47" priority="712" stopIfTrue="1">
      <formula>NOT(ISERROR(SEARCH("WTT",AM37)))</formula>
    </cfRule>
    <cfRule type="expression" dxfId="46" priority="713" stopIfTrue="1">
      <formula>NOT(ISERROR(SEARCH("FH",AM37)))</formula>
    </cfRule>
  </conditionalFormatting>
  <conditionalFormatting sqref="AM37:AM38">
    <cfRule type="cellIs" dxfId="45" priority="648" operator="equal">
      <formula>"GS"</formula>
    </cfRule>
  </conditionalFormatting>
  <conditionalFormatting sqref="AM38">
    <cfRule type="cellIs" dxfId="44" priority="639" operator="equal">
      <formula>"GS"</formula>
    </cfRule>
    <cfRule type="cellIs" dxfId="43" priority="640" stopIfTrue="1" operator="equal">
      <formula>"SR"</formula>
    </cfRule>
    <cfRule type="cellIs" dxfId="42" priority="641" stopIfTrue="1" operator="equal">
      <formula>"SG"</formula>
    </cfRule>
    <cfRule type="expression" dxfId="41" priority="642" stopIfTrue="1">
      <formula>NOT(ISERROR(SEARCH("AL",AM38)))</formula>
    </cfRule>
    <cfRule type="cellIs" dxfId="40" priority="643" operator="equal">
      <formula>"SEC"</formula>
    </cfRule>
    <cfRule type="cellIs" dxfId="39" priority="644" stopIfTrue="1" operator="equal">
      <formula>"SR"</formula>
    </cfRule>
    <cfRule type="cellIs" dxfId="38" priority="645" stopIfTrue="1" operator="equal">
      <formula>"SG"</formula>
    </cfRule>
    <cfRule type="expression" dxfId="37" priority="646" stopIfTrue="1">
      <formula>NOT(ISERROR(SEARCH("AL",AM38)))</formula>
    </cfRule>
    <cfRule type="expression" dxfId="36" priority="647" stopIfTrue="1">
      <formula>NOT(ISERROR(SEARCH("SEC",AM38)))</formula>
    </cfRule>
    <cfRule type="expression" dxfId="35" priority="649" stopIfTrue="1">
      <formula>NOT(ISERROR(SEARCH("SL",AM38)))</formula>
    </cfRule>
    <cfRule type="expression" dxfId="34" priority="650" stopIfTrue="1">
      <formula>NOT(ISERROR(SEARCH("NP",AM38)))</formula>
    </cfRule>
    <cfRule type="expression" dxfId="33" priority="651" stopIfTrue="1">
      <formula>NOT(ISERROR(SEARCH("SH",AM38)))</formula>
    </cfRule>
    <cfRule type="expression" dxfId="32" priority="652" stopIfTrue="1">
      <formula>NOT(ISERROR(SEARCH("WTT",AM38)))</formula>
    </cfRule>
    <cfRule type="expression" dxfId="31" priority="653" stopIfTrue="1">
      <formula>NOT(ISERROR(SEARCH("FH",AM38)))</formula>
    </cfRule>
  </conditionalFormatting>
  <conditionalFormatting sqref="AM41">
    <cfRule type="cellIs" dxfId="30" priority="459" stopIfTrue="1" operator="equal">
      <formula>"SR"</formula>
    </cfRule>
    <cfRule type="cellIs" dxfId="29" priority="460" stopIfTrue="1" operator="equal">
      <formula>"SG"</formula>
    </cfRule>
    <cfRule type="expression" dxfId="28" priority="461" stopIfTrue="1">
      <formula>NOT(ISERROR(SEARCH("AL",AM41)))</formula>
    </cfRule>
    <cfRule type="cellIs" dxfId="27" priority="462" operator="equal">
      <formula>"SEC"</formula>
    </cfRule>
    <cfRule type="cellIs" dxfId="26" priority="463" stopIfTrue="1" operator="equal">
      <formula>"SR"</formula>
    </cfRule>
    <cfRule type="cellIs" dxfId="25" priority="464" stopIfTrue="1" operator="equal">
      <formula>"SG"</formula>
    </cfRule>
    <cfRule type="expression" dxfId="24" priority="465" stopIfTrue="1">
      <formula>NOT(ISERROR(SEARCH("AL",AM41)))</formula>
    </cfRule>
    <cfRule type="expression" dxfId="23" priority="466" stopIfTrue="1">
      <formula>NOT(ISERROR(SEARCH("SEC",AM41)))</formula>
    </cfRule>
    <cfRule type="cellIs" dxfId="22" priority="467" operator="equal">
      <formula>"GS"</formula>
    </cfRule>
    <cfRule type="expression" dxfId="21" priority="468" stopIfTrue="1">
      <formula>NOT(ISERROR(SEARCH("SL",AM41)))</formula>
    </cfRule>
    <cfRule type="expression" dxfId="20" priority="469" stopIfTrue="1">
      <formula>NOT(ISERROR(SEARCH("NP",AM41)))</formula>
    </cfRule>
    <cfRule type="expression" dxfId="19" priority="470" stopIfTrue="1">
      <formula>NOT(ISERROR(SEARCH("SH",AM41)))</formula>
    </cfRule>
    <cfRule type="expression" dxfId="18" priority="471" stopIfTrue="1">
      <formula>NOT(ISERROR(SEARCH("WTT",AM41)))</formula>
    </cfRule>
    <cfRule type="expression" dxfId="17" priority="472" stopIfTrue="1">
      <formula>NOT(ISERROR(SEARCH("FH",AM41)))</formula>
    </cfRule>
  </conditionalFormatting>
  <conditionalFormatting sqref="AM41:AM42">
    <cfRule type="cellIs" dxfId="16" priority="392" operator="equal">
      <formula>"GS"</formula>
    </cfRule>
  </conditionalFormatting>
  <conditionalFormatting sqref="AM42">
    <cfRule type="cellIs" dxfId="15" priority="383" operator="equal">
      <formula>"GS"</formula>
    </cfRule>
    <cfRule type="cellIs" dxfId="14" priority="384" stopIfTrue="1" operator="equal">
      <formula>"SR"</formula>
    </cfRule>
    <cfRule type="cellIs" dxfId="13" priority="385" stopIfTrue="1" operator="equal">
      <formula>"SG"</formula>
    </cfRule>
    <cfRule type="expression" dxfId="12" priority="386" stopIfTrue="1">
      <formula>NOT(ISERROR(SEARCH("AL",AM42)))</formula>
    </cfRule>
    <cfRule type="cellIs" dxfId="11" priority="387" operator="equal">
      <formula>"SEC"</formula>
    </cfRule>
    <cfRule type="cellIs" dxfId="10" priority="388" stopIfTrue="1" operator="equal">
      <formula>"SR"</formula>
    </cfRule>
    <cfRule type="cellIs" dxfId="9" priority="389" stopIfTrue="1" operator="equal">
      <formula>"SG"</formula>
    </cfRule>
    <cfRule type="expression" dxfId="8" priority="390" stopIfTrue="1">
      <formula>NOT(ISERROR(SEARCH("AL",AM42)))</formula>
    </cfRule>
    <cfRule type="expression" dxfId="7" priority="391" stopIfTrue="1">
      <formula>NOT(ISERROR(SEARCH("SEC",AM42)))</formula>
    </cfRule>
    <cfRule type="expression" dxfId="6" priority="393" stopIfTrue="1">
      <formula>NOT(ISERROR(SEARCH("SL",AM42)))</formula>
    </cfRule>
    <cfRule type="expression" dxfId="5" priority="394" stopIfTrue="1">
      <formula>NOT(ISERROR(SEARCH("NP",AM42)))</formula>
    </cfRule>
    <cfRule type="expression" dxfId="4" priority="395" stopIfTrue="1">
      <formula>NOT(ISERROR(SEARCH("SH",AM42)))</formula>
    </cfRule>
    <cfRule type="expression" dxfId="3" priority="396" stopIfTrue="1">
      <formula>NOT(ISERROR(SEARCH("WTT",AM42)))</formula>
    </cfRule>
    <cfRule type="expression" dxfId="2" priority="397" stopIfTrue="1">
      <formula>NOT(ISERROR(SEARCH("FH",AM42)))</formula>
    </cfRule>
  </conditionalFormatting>
  <conditionalFormatting sqref="AV20:BB48">
    <cfRule type="cellIs" dxfId="1" priority="1772" stopIfTrue="1" operator="equal">
      <formula>0</formula>
    </cfRule>
  </conditionalFormatting>
  <conditionalFormatting sqref="AV6:BC11 AV18:BC19 AV49:BC49">
    <cfRule type="cellIs" dxfId="0" priority="1773" stopIfTrue="1" operator="equal">
      <formula>0</formula>
    </cfRule>
  </conditionalFormatting>
  <printOptions horizontalCentered="1"/>
  <pageMargins left="0.25" right="0.25" top="0.75" bottom="0.75" header="0.3" footer="0.3"/>
  <pageSetup paperSize="9" scale="56" fitToHeight="0" orientation="landscape" r:id="rId1"/>
  <rowBreaks count="1" manualBreakCount="1">
    <brk id="34" min="1" max="4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B2FD50A70C29AB4E8E0538F10AFDE37E" ma:contentTypeVersion="13" ma:contentTypeDescription="建立新的文件。" ma:contentTypeScope="" ma:versionID="f4c8f6d19a6fe4d939716df53ffe3b75">
  <xsd:schema xmlns:xsd="http://www.w3.org/2001/XMLSchema" xmlns:xs="http://www.w3.org/2001/XMLSchema" xmlns:p="http://schemas.microsoft.com/office/2006/metadata/properties" xmlns:ns2="4f538b32-06c5-43a0-848a-5f51d4484390" xmlns:ns3="b582a10e-23ff-4b63-aa4f-d0dc4b81a241" targetNamespace="http://schemas.microsoft.com/office/2006/metadata/properties" ma:root="true" ma:fieldsID="8353a52dbb1d5fb357047c46f88e12d7" ns2:_="" ns3:_="">
    <xsd:import namespace="4f538b32-06c5-43a0-848a-5f51d4484390"/>
    <xsd:import namespace="b582a10e-23ff-4b63-aa4f-d0dc4b81a2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38b32-06c5-43a0-848a-5f51d4484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影像標籤" ma:readOnly="false" ma:fieldId="{5cf76f15-5ced-4ddc-b409-7134ff3c332f}" ma:taxonomyMulti="true" ma:sspId="cb191ca6-d0c8-440c-a22a-fe50e3d28c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2a10e-23ff-4b63-aa4f-d0dc4b81a24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0eb9d52-a930-4afc-9496-9a4410ffcf66}" ma:internalName="TaxCatchAll" ma:showField="CatchAllData" ma:web="b582a10e-23ff-4b63-aa4f-d0dc4b81a2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538b32-06c5-43a0-848a-5f51d4484390">
      <Terms xmlns="http://schemas.microsoft.com/office/infopath/2007/PartnerControls"/>
    </lcf76f155ced4ddcb4097134ff3c332f>
    <TaxCatchAll xmlns="b582a10e-23ff-4b63-aa4f-d0dc4b81a241" xsi:nil="true"/>
  </documentManagement>
</p:properties>
</file>

<file path=customXml/itemProps1.xml><?xml version="1.0" encoding="utf-8"?>
<ds:datastoreItem xmlns:ds="http://schemas.openxmlformats.org/officeDocument/2006/customXml" ds:itemID="{B73DA52F-FC88-48CA-92EB-2AA44E1DE291}">
  <ds:schemaRefs/>
</ds:datastoreItem>
</file>

<file path=customXml/itemProps2.xml><?xml version="1.0" encoding="utf-8"?>
<ds:datastoreItem xmlns:ds="http://schemas.openxmlformats.org/officeDocument/2006/customXml" ds:itemID="{C6E66AA7-FAB8-4275-B4B9-FABECA594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538b32-06c5-43a0-848a-5f51d4484390"/>
    <ds:schemaRef ds:uri="b582a10e-23ff-4b63-aa4f-d0dc4b81a2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F2DDDF-8EEB-49E3-8C1E-AB4D798761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早</vt:lpstr>
      <vt:lpstr>中</vt:lpstr>
      <vt:lpstr>夜</vt:lpstr>
      <vt:lpstr>夜!Print_Area</vt:lpstr>
      <vt:lpstr>早!Print_Area</vt:lpstr>
      <vt:lpstr>中!Print_Area</vt:lpstr>
      <vt:lpstr>夜!Print_Titles</vt:lpstr>
      <vt:lpstr>早!Print_Titles</vt:lpstr>
      <vt:lpstr>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Hui Ying</dc:creator>
  <cp:lastModifiedBy>Qing</cp:lastModifiedBy>
  <cp:lastPrinted>2026-05-07T07:25:37Z</cp:lastPrinted>
  <dcterms:created xsi:type="dcterms:W3CDTF">2024-11-15T04:23:00Z</dcterms:created>
  <dcterms:modified xsi:type="dcterms:W3CDTF">2026-06-05T07:56:07Z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0x010100B2FD50A70C29AB4E8E0538F10AFDE37E</vt:lpwstr>
  </property>
  <property fmtid="{D5CDD505-2E9C-101B-9397-08002B2CF9AE}" pid="4" name="KSOProductBuildVer">
    <vt:lpwstr>2052-9.1.0.5119</vt:lpwstr>
  </property>
</Properties>
</file>