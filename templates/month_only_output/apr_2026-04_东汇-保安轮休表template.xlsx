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早" sheetId="1" state="visible" r:id="rId1"/>
    <sheet xmlns:r="http://schemas.openxmlformats.org/officeDocument/2006/relationships" name="中" sheetId="2" state="visible" r:id="rId2"/>
    <sheet xmlns:r="http://schemas.openxmlformats.org/officeDocument/2006/relationships" name="夜" sheetId="3" state="visible" r:id="rId3"/>
  </sheets>
  <definedNames>
    <definedName name="_xlnm._FilterDatabase" localSheetId="0" hidden="1">'早'!$D$7:$D$30</definedName>
    <definedName name="_xlnm.Print_Titles" localSheetId="0">'早'!$1:$7</definedName>
    <definedName name="_xlnm.Print_Area" localSheetId="0">'早'!$A$1:$AN$46</definedName>
    <definedName name="_xlnm._FilterDatabase" localSheetId="1" hidden="1">'中'!$D$7:$D$32</definedName>
    <definedName name="_xlnm.Print_Titles" localSheetId="1">'中'!$1:$7</definedName>
    <definedName name="_xlnm.Print_Area" localSheetId="1">'中'!$A$1:$BD$47</definedName>
    <definedName name="_xlnm._FilterDatabase" localSheetId="2" hidden="1">'夜'!$D$8:$D$31</definedName>
    <definedName name="_xlnm.Print_Titles" localSheetId="2">'夜'!$1:$8</definedName>
    <definedName name="_xlnm.Print_Area" localSheetId="2">'夜'!$A$1:$AO$47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"/>
    <numFmt numFmtId="165" formatCode="0_ ;[Red]\-0\ "/>
    <numFmt numFmtId="166" formatCode="0_);[Red]\(0\)"/>
    <numFmt numFmtId="167" formatCode="yyyy-mm-dd"/>
  </numFmts>
  <fonts count="48">
    <font>
      <name val="等线"/>
      <charset val="136"/>
      <family val="2"/>
      <color theme="1"/>
      <sz val="12"/>
      <scheme val="minor"/>
    </font>
    <font>
      <name val="等线"/>
      <charset val="136"/>
      <family val="2"/>
      <sz val="9"/>
      <scheme val="minor"/>
    </font>
    <font>
      <name val="新細明體"/>
      <charset val="136"/>
      <family val="1"/>
      <sz val="9"/>
    </font>
    <font>
      <name val="新細明體"/>
      <charset val="136"/>
      <family val="1"/>
      <sz val="12"/>
    </font>
    <font>
      <name val="細明體"/>
      <charset val="136"/>
      <family val="3"/>
      <sz val="9"/>
    </font>
    <font>
      <name val="等线"/>
      <charset val="136"/>
      <family val="2"/>
      <color theme="1"/>
      <sz val="11"/>
      <scheme val="minor"/>
    </font>
    <font>
      <name val="等线"/>
      <charset val="136"/>
      <family val="2"/>
      <i val="1"/>
      <color rgb="FF7F7F7F"/>
      <sz val="12"/>
      <scheme val="minor"/>
    </font>
    <font>
      <name val="Microsoft JhengHei UI"/>
      <charset val="136"/>
      <family val="2"/>
      <sz val="11"/>
    </font>
    <font>
      <name val="Microsoft JhengHei UI"/>
      <charset val="136"/>
      <family val="2"/>
      <color theme="1"/>
      <sz val="16"/>
    </font>
    <font>
      <name val="Microsoft JhengHei UI"/>
      <charset val="136"/>
      <family val="2"/>
      <sz val="12"/>
    </font>
    <font>
      <name val="Microsoft JhengHei UI"/>
      <charset val="136"/>
      <family val="2"/>
      <sz val="9"/>
    </font>
    <font>
      <name val="Microsoft JhengHei UI"/>
      <charset val="136"/>
      <family val="2"/>
      <sz val="10"/>
    </font>
    <font>
      <name val="Microsoft JhengHei UI"/>
      <charset val="136"/>
      <family val="2"/>
      <color theme="1"/>
      <sz val="11"/>
    </font>
    <font>
      <name val="Microsoft YaHei"/>
      <charset val="134"/>
      <family val="2"/>
      <sz val="11"/>
    </font>
    <font>
      <name val="Calibri"/>
      <family val="2"/>
      <sz val="12"/>
    </font>
    <font>
      <name val="Calibri"/>
      <family val="2"/>
      <sz val="16"/>
    </font>
    <font>
      <name val="Calibri"/>
      <family val="2"/>
      <b val="1"/>
      <sz val="16"/>
    </font>
    <font>
      <name val="Microsoft JhengHei UI"/>
      <charset val="136"/>
      <family val="2"/>
      <b val="1"/>
      <sz val="16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rgb="FFFF0000"/>
      <sz val="16"/>
    </font>
    <font>
      <name val="Calibri"/>
      <family val="2"/>
      <color indexed="8"/>
      <sz val="16"/>
    </font>
    <font>
      <name val="微軟正黑體"/>
      <charset val="136"/>
      <family val="2"/>
      <b val="1"/>
      <color theme="1"/>
      <sz val="16"/>
    </font>
    <font>
      <name val="Microsoft JhengHei UI"/>
      <charset val="136"/>
      <family val="2"/>
      <color theme="1"/>
      <sz val="11"/>
    </font>
    <font>
      <name val="Calibri"/>
      <family val="2"/>
      <sz val="15"/>
    </font>
    <font>
      <name val="Microsoft JhengHei UI"/>
      <charset val="136"/>
      <family val="2"/>
      <sz val="15"/>
    </font>
    <font>
      <name val="Calibri"/>
      <family val="2"/>
      <color theme="1"/>
      <sz val="14"/>
    </font>
    <font>
      <name val="Microsoft JhengHei UI"/>
      <charset val="136"/>
      <family val="2"/>
      <color theme="1"/>
      <sz val="14"/>
    </font>
    <font>
      <name val="Calibri"/>
      <family val="2"/>
      <sz val="14"/>
    </font>
    <font>
      <name val="Calibri"/>
      <family val="2"/>
      <b val="1"/>
      <color theme="1"/>
      <sz val="14"/>
    </font>
    <font>
      <name val="Microsoft JhengHei UI"/>
      <charset val="136"/>
      <family val="2"/>
      <sz val="14"/>
    </font>
    <font>
      <name val="微軟正黑體"/>
      <charset val="136"/>
      <family val="2"/>
      <sz val="14"/>
    </font>
    <font>
      <name val="Microsoft YaHei"/>
      <charset val="134"/>
      <family val="2"/>
      <color theme="1"/>
      <sz val="14"/>
    </font>
    <font>
      <name val="細明體"/>
      <charset val="136"/>
      <family val="3"/>
      <sz val="14"/>
    </font>
    <font>
      <name val="Calibri"/>
      <family val="2"/>
      <b val="1"/>
      <sz val="14"/>
    </font>
    <font>
      <name val="Microsoft JhengHei UI"/>
      <charset val="136"/>
      <family val="2"/>
      <b val="1"/>
      <sz val="14"/>
    </font>
    <font>
      <name val="細明體"/>
      <charset val="136"/>
      <family val="2"/>
      <sz val="14"/>
    </font>
    <font>
      <name val="Microsoft JhengHei UI"/>
      <charset val="134"/>
      <family val="2"/>
      <color theme="1"/>
      <sz val="14"/>
    </font>
    <font>
      <name val="細明體"/>
      <charset val="136"/>
      <family val="3"/>
      <color theme="1"/>
      <sz val="14"/>
    </font>
    <font>
      <name val="Calibri"/>
      <family val="2"/>
      <color rgb="FFFF0000"/>
      <sz val="14"/>
    </font>
    <font>
      <name val="Calibri"/>
      <charset val="136"/>
      <family val="2"/>
      <sz val="14"/>
    </font>
    <font>
      <name val="Microsoft JhengHei UI"/>
      <charset val="136"/>
      <family val="2"/>
      <sz val="11"/>
    </font>
    <font>
      <name val="Calibri"/>
      <family val="2"/>
      <sz val="14"/>
    </font>
    <font>
      <name val="Calibri"/>
      <family val="2"/>
      <color theme="1"/>
      <sz val="14"/>
    </font>
    <font>
      <name val="Microsoft JhengHei UI"/>
      <charset val="136"/>
      <family val="2"/>
      <sz val="12"/>
    </font>
    <font>
      <name val="Calibri"/>
      <family val="2"/>
      <sz val="12"/>
    </font>
    <font>
      <name val="Calibri"/>
      <family val="2"/>
      <b val="1"/>
      <sz val="14"/>
    </font>
    <font>
      <name val="Microsoft JhengHei UI"/>
      <charset val="136"/>
      <family val="2"/>
      <color theme="1"/>
      <sz val="11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7DF98C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</fills>
  <borders count="8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</borders>
  <cellStyleXfs count="6">
    <xf numFmtId="0" fontId="0" fillId="0" borderId="0" applyAlignment="1">
      <alignment vertical="center"/>
    </xf>
    <xf numFmtId="0" fontId="3" fillId="0" borderId="0"/>
    <xf numFmtId="0" fontId="5" fillId="0" borderId="0"/>
    <xf numFmtId="0" fontId="6" fillId="0" borderId="0" applyAlignment="1">
      <alignment vertical="center"/>
    </xf>
    <xf numFmtId="0" fontId="3" fillId="0" borderId="0"/>
    <xf numFmtId="0" fontId="3" fillId="0" borderId="0"/>
  </cellStyleXfs>
  <cellXfs count="545">
    <xf numFmtId="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 wrapText="1"/>
    </xf>
    <xf numFmtId="0" fontId="7" fillId="2" borderId="3" applyAlignment="1" pivotButton="0" quotePrefix="0" xfId="3">
      <alignment horizontal="center" vertical="center" shrinkToFit="1"/>
    </xf>
    <xf numFmtId="0" fontId="7" fillId="0" borderId="9" applyAlignment="1" pivotButton="0" quotePrefix="0" xfId="0">
      <alignment horizontal="center" vertical="center"/>
    </xf>
    <xf numFmtId="0" fontId="7" fillId="2" borderId="9" applyAlignment="1" pivotButton="0" quotePrefix="0" xfId="3">
      <alignment horizontal="center" vertical="center" shrinkToFit="1"/>
    </xf>
    <xf numFmtId="0" fontId="7" fillId="0" borderId="10" applyAlignment="1" pivotButton="0" quotePrefix="0" xfId="0">
      <alignment horizontal="center" vertical="center"/>
    </xf>
    <xf numFmtId="0" fontId="7" fillId="2" borderId="16" applyAlignment="1" pivotButton="0" quotePrefix="0" xfId="3">
      <alignment horizontal="center" vertical="center" shrinkToFit="1"/>
    </xf>
    <xf numFmtId="0" fontId="7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9" fillId="0" borderId="3" applyAlignment="1" pivotButton="0" quotePrefix="0" xfId="3">
      <alignment horizontal="center" vertical="center" shrinkToFit="1"/>
    </xf>
    <xf numFmtId="0" fontId="9" fillId="0" borderId="3" applyAlignment="1" pivotButton="0" quotePrefix="0" xfId="0">
      <alignment horizontal="center" vertical="center"/>
    </xf>
    <xf numFmtId="0" fontId="9" fillId="0" borderId="12" applyAlignment="1" pivotButton="0" quotePrefix="0" xfId="3">
      <alignment horizontal="center" vertical="center" shrinkToFit="1"/>
    </xf>
    <xf numFmtId="0" fontId="7" fillId="0" borderId="6" applyAlignment="1" pivotButton="0" quotePrefix="0" xfId="3">
      <alignment horizontal="center" vertical="center" shrinkToFit="1"/>
    </xf>
    <xf numFmtId="0" fontId="7" fillId="2" borderId="6" applyAlignment="1" pivotButton="0" quotePrefix="0" xfId="3">
      <alignment horizontal="center" vertical="center" shrinkToFit="1"/>
    </xf>
    <xf numFmtId="0" fontId="9" fillId="0" borderId="6" applyAlignment="1" pivotButton="0" quotePrefix="0" xfId="3">
      <alignment horizontal="center" vertical="center" shrinkToFit="1"/>
    </xf>
    <xf numFmtId="0" fontId="12" fillId="2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9" fillId="2" borderId="3" applyAlignment="1" pivotButton="0" quotePrefix="0" xfId="3">
      <alignment horizontal="center" vertical="center" shrinkToFit="1"/>
    </xf>
    <xf numFmtId="0" fontId="9" fillId="2" borderId="6" applyAlignment="1" pivotButton="0" quotePrefix="0" xfId="3">
      <alignment horizontal="center" vertical="center" shrinkToFit="1"/>
    </xf>
    <xf numFmtId="0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left" vertical="center"/>
    </xf>
    <xf numFmtId="0" fontId="15" fillId="0" borderId="0" applyAlignment="1" pivotButton="0" quotePrefix="0" xfId="1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5" fillId="2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2" fontId="21" fillId="0" borderId="0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/>
    </xf>
    <xf numFmtId="0" fontId="7" fillId="0" borderId="12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/>
    </xf>
    <xf numFmtId="0" fontId="9" fillId="0" borderId="9" applyAlignment="1" pivotButton="0" quotePrefix="0" xfId="3">
      <alignment horizontal="center" vertical="center" shrinkToFit="1"/>
    </xf>
    <xf numFmtId="0" fontId="9" fillId="2" borderId="9" applyAlignment="1" pivotButton="0" quotePrefix="0" xfId="3">
      <alignment horizontal="center" vertical="center" shrinkToFi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14" fillId="6" borderId="30" applyAlignment="1" pivotButton="0" quotePrefix="0" xfId="0">
      <alignment horizontal="center" vertical="center"/>
    </xf>
    <xf numFmtId="0" fontId="14" fillId="6" borderId="10" applyAlignment="1" pivotButton="0" quotePrefix="0" xfId="0">
      <alignment horizontal="center" vertical="center"/>
    </xf>
    <xf numFmtId="0" fontId="14" fillId="6" borderId="7" applyAlignment="1" pivotButton="0" quotePrefix="0" xfId="0">
      <alignment horizontal="center" vertical="center"/>
    </xf>
    <xf numFmtId="0" fontId="14" fillId="6" borderId="4" applyAlignment="1" pivotButton="0" quotePrefix="0" xfId="0">
      <alignment horizontal="center" vertical="center"/>
    </xf>
    <xf numFmtId="0" fontId="7" fillId="0" borderId="70" applyAlignment="1" pivotButton="0" quotePrefix="0" xfId="0">
      <alignment horizontal="center" vertical="center"/>
    </xf>
    <xf numFmtId="0" fontId="7" fillId="0" borderId="63" applyAlignment="1" pivotButton="0" quotePrefix="0" xfId="0">
      <alignment horizontal="center" vertical="center"/>
    </xf>
    <xf numFmtId="0" fontId="7" fillId="2" borderId="63" applyAlignment="1" pivotButton="0" quotePrefix="0" xfId="3">
      <alignment horizontal="center" vertical="center" shrinkToFit="1"/>
    </xf>
    <xf numFmtId="0" fontId="14" fillId="6" borderId="71" applyAlignment="1" pivotButton="0" quotePrefix="0" xfId="0">
      <alignment horizontal="center" vertical="center"/>
    </xf>
    <xf numFmtId="0" fontId="7" fillId="0" borderId="13" applyAlignment="1" pivotButton="0" quotePrefix="0" xfId="3">
      <alignment horizontal="center" vertical="center" shrinkToFit="1"/>
    </xf>
    <xf numFmtId="0" fontId="7" fillId="2" borderId="17" applyAlignment="1" pivotButton="0" quotePrefix="0" xfId="3">
      <alignment horizontal="center" vertical="center" shrinkToFit="1"/>
    </xf>
    <xf numFmtId="0" fontId="7" fillId="2" borderId="72" applyAlignment="1" pivotButton="0" quotePrefix="0" xfId="3">
      <alignment horizontal="center" vertical="center" shrinkToFit="1"/>
    </xf>
    <xf numFmtId="0" fontId="7" fillId="0" borderId="10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/>
    </xf>
    <xf numFmtId="0" fontId="9" fillId="0" borderId="72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7" fillId="0" borderId="71" applyAlignment="1" pivotButton="0" quotePrefix="0" xfId="0">
      <alignment horizontal="center" vertical="center"/>
    </xf>
    <xf numFmtId="0" fontId="24" fillId="0" borderId="4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/>
    </xf>
    <xf numFmtId="0" fontId="9" fillId="6" borderId="30" applyAlignment="1" pivotButton="0" quotePrefix="0" xfId="0">
      <alignment horizontal="center" vertical="center"/>
    </xf>
    <xf numFmtId="0" fontId="9" fillId="6" borderId="7" applyAlignment="1" pivotButton="0" quotePrefix="0" xfId="0">
      <alignment horizontal="center" vertical="center"/>
    </xf>
    <xf numFmtId="0" fontId="9" fillId="6" borderId="7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0" fontId="28" fillId="0" borderId="18" applyAlignment="1" pivotButton="0" quotePrefix="0" xfId="0">
      <alignment vertical="center"/>
    </xf>
    <xf numFmtId="0" fontId="28" fillId="0" borderId="18" applyAlignment="1" pivotButton="0" quotePrefix="0" xfId="0">
      <alignment horizontal="center" vertical="center"/>
    </xf>
    <xf numFmtId="0" fontId="28" fillId="0" borderId="38" applyAlignment="1" pivotButton="0" quotePrefix="0" xfId="0">
      <alignment horizontal="center" vertical="center"/>
    </xf>
    <xf numFmtId="0" fontId="28" fillId="0" borderId="2" applyAlignment="1" pivotButton="0" quotePrefix="0" xfId="0">
      <alignment horizontal="center" vertical="center"/>
    </xf>
    <xf numFmtId="0" fontId="28" fillId="0" borderId="3" applyAlignment="1" pivotButton="0" quotePrefix="0" xfId="0">
      <alignment horizontal="center" vertical="center"/>
    </xf>
    <xf numFmtId="0" fontId="28" fillId="0" borderId="26" applyAlignment="1" pivotButton="0" quotePrefix="0" xfId="0">
      <alignment horizontal="center" vertical="center"/>
    </xf>
    <xf numFmtId="164" fontId="29" fillId="2" borderId="3" applyAlignment="1" pivotButton="0" quotePrefix="0" xfId="0">
      <alignment horizontal="center" vertical="center" wrapText="1"/>
    </xf>
    <xf numFmtId="164" fontId="29" fillId="2" borderId="4" applyAlignment="1" pivotButton="0" quotePrefix="0" xfId="0">
      <alignment horizontal="center" vertical="center" wrapText="1"/>
    </xf>
    <xf numFmtId="164" fontId="29" fillId="2" borderId="9" applyAlignment="1" pivotButton="0" quotePrefix="0" xfId="0">
      <alignment horizontal="center" vertical="center" wrapText="1"/>
    </xf>
    <xf numFmtId="164" fontId="29" fillId="2" borderId="10" applyAlignment="1" pivotButton="0" quotePrefix="0" xfId="0">
      <alignment horizontal="center" vertical="center" wrapText="1"/>
    </xf>
    <xf numFmtId="0" fontId="28" fillId="0" borderId="19" applyAlignment="1" pivotButton="0" quotePrefix="0" xfId="0">
      <alignment horizontal="center" vertical="center"/>
    </xf>
    <xf numFmtId="0" fontId="28" fillId="0" borderId="40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6" applyAlignment="1" pivotButton="0" quotePrefix="0" xfId="0">
      <alignment horizontal="center" vertical="center"/>
    </xf>
    <xf numFmtId="0" fontId="28" fillId="0" borderId="27" applyAlignment="1" pivotButton="0" quotePrefix="0" xfId="0">
      <alignment horizontal="center" vertical="center"/>
    </xf>
    <xf numFmtId="164" fontId="29" fillId="2" borderId="6" applyAlignment="1" pivotButton="0" quotePrefix="0" xfId="0">
      <alignment horizontal="center" vertical="center"/>
    </xf>
    <xf numFmtId="164" fontId="29" fillId="2" borderId="7" applyAlignment="1" pivotButton="0" quotePrefix="0" xfId="0">
      <alignment horizontal="center" vertical="center"/>
    </xf>
    <xf numFmtId="0" fontId="28" fillId="0" borderId="57" applyAlignment="1" pivotButton="0" quotePrefix="0" xfId="0">
      <alignment horizontal="center" vertical="center"/>
    </xf>
    <xf numFmtId="0" fontId="28" fillId="0" borderId="58" applyAlignment="1" pivotButton="0" quotePrefix="0" xfId="0">
      <alignment horizontal="center" vertical="center"/>
    </xf>
    <xf numFmtId="0" fontId="28" fillId="0" borderId="59" applyAlignment="1" pivotButton="0" quotePrefix="0" xfId="0">
      <alignment horizontal="center" vertical="center"/>
    </xf>
    <xf numFmtId="0" fontId="28" fillId="0" borderId="68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 wrapText="1"/>
    </xf>
    <xf numFmtId="0" fontId="26" fillId="0" borderId="3" applyAlignment="1" pivotButton="0" quotePrefix="0" xfId="0">
      <alignment horizontal="center" vertical="center" wrapText="1"/>
    </xf>
    <xf numFmtId="0" fontId="26" fillId="0" borderId="3" applyAlignment="1" pivotButton="0" quotePrefix="0" xfId="1">
      <alignment horizontal="center" vertical="center"/>
    </xf>
    <xf numFmtId="0" fontId="26" fillId="0" borderId="4" applyAlignment="1" pivotButton="0" quotePrefix="0" xfId="0">
      <alignment horizontal="center" vertical="center" wrapText="1"/>
    </xf>
    <xf numFmtId="0" fontId="28" fillId="0" borderId="49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 vertical="center"/>
    </xf>
    <xf numFmtId="0" fontId="26" fillId="0" borderId="9" applyAlignment="1" pivotButton="0" quotePrefix="0" xfId="0">
      <alignment horizontal="center" vertical="center"/>
    </xf>
    <xf numFmtId="0" fontId="26" fillId="0" borderId="8" applyAlignment="1" pivotButton="0" quotePrefix="0" xfId="0">
      <alignment horizontal="center" vertical="center" wrapText="1"/>
    </xf>
    <xf numFmtId="0" fontId="26" fillId="0" borderId="9" applyAlignment="1" pivotButton="0" quotePrefix="0" xfId="0">
      <alignment horizontal="center" vertical="center" wrapText="1"/>
    </xf>
    <xf numFmtId="0" fontId="26" fillId="0" borderId="9" applyAlignment="1" pivotButton="0" quotePrefix="0" xfId="1">
      <alignment horizontal="center" vertical="center"/>
    </xf>
    <xf numFmtId="0" fontId="26" fillId="0" borderId="10" applyAlignment="1" pivotButton="0" quotePrefix="0" xfId="0">
      <alignment horizontal="center" vertical="center" wrapText="1"/>
    </xf>
    <xf numFmtId="0" fontId="28" fillId="0" borderId="60" applyAlignment="1" pivotButton="0" quotePrefix="0" xfId="0">
      <alignment horizontal="center" vertical="center"/>
    </xf>
    <xf numFmtId="0" fontId="28" fillId="0" borderId="61" applyAlignment="1" pivotButton="0" quotePrefix="0" xfId="0">
      <alignment horizontal="center" vertical="center"/>
    </xf>
    <xf numFmtId="0" fontId="28" fillId="0" borderId="62" applyAlignment="1" pivotButton="0" quotePrefix="0" xfId="0">
      <alignment horizontal="center" vertical="center"/>
    </xf>
    <xf numFmtId="0" fontId="28" fillId="0" borderId="69" applyAlignment="1" pivotButton="0" quotePrefix="0" xfId="0">
      <alignment horizontal="center" vertical="center"/>
    </xf>
    <xf numFmtId="0" fontId="28" fillId="0" borderId="5" applyAlignment="1" pivotButton="0" quotePrefix="0" xfId="1">
      <alignment horizontal="center" vertical="center"/>
    </xf>
    <xf numFmtId="0" fontId="26" fillId="0" borderId="6" applyAlignment="1" pivotButton="0" quotePrefix="0" xfId="0">
      <alignment horizontal="center" vertical="center" wrapText="1"/>
    </xf>
    <xf numFmtId="0" fontId="26" fillId="0" borderId="6" applyAlignment="1" pivotButton="0" quotePrefix="0" xfId="1">
      <alignment horizontal="center" vertical="center"/>
    </xf>
    <xf numFmtId="0" fontId="26" fillId="0" borderId="7" applyAlignment="1" pivotButton="0" quotePrefix="0" xfId="0">
      <alignment horizontal="center" vertical="center" wrapText="1"/>
    </xf>
    <xf numFmtId="0" fontId="28" fillId="0" borderId="36" applyAlignment="1" pivotButton="0" quotePrefix="0" xfId="0">
      <alignment horizontal="center" vertical="center"/>
    </xf>
    <xf numFmtId="0" fontId="28" fillId="0" borderId="0" applyAlignment="1" pivotButton="0" quotePrefix="0" xfId="1">
      <alignment horizontal="center" vertical="center"/>
    </xf>
    <xf numFmtId="0" fontId="26" fillId="0" borderId="29" applyAlignment="1" pivotButton="0" quotePrefix="0" xfId="0">
      <alignment horizontal="center" vertical="center"/>
    </xf>
    <xf numFmtId="0" fontId="26" fillId="0" borderId="36" applyAlignment="1" pivotButton="0" quotePrefix="0" xfId="0">
      <alignment horizontal="center" vertical="center"/>
    </xf>
    <xf numFmtId="0" fontId="28" fillId="0" borderId="33" applyAlignment="1" pivotButton="0" quotePrefix="0" xfId="0">
      <alignment horizontal="center" vertical="center"/>
    </xf>
    <xf numFmtId="0" fontId="28" fillId="0" borderId="51" applyAlignment="1" pivotButton="0" quotePrefix="0" xfId="0">
      <alignment horizontal="center" vertical="center"/>
    </xf>
    <xf numFmtId="0" fontId="28" fillId="2" borderId="21" applyAlignment="1" pivotButton="0" quotePrefix="0" xfId="0">
      <alignment vertical="center"/>
    </xf>
    <xf numFmtId="0" fontId="28" fillId="2" borderId="22" applyAlignment="1" pivotButton="0" quotePrefix="0" xfId="0">
      <alignment vertical="center"/>
    </xf>
    <xf numFmtId="0" fontId="28" fillId="2" borderId="38" applyAlignment="1" pivotButton="0" quotePrefix="0" xfId="0">
      <alignment vertical="center"/>
    </xf>
    <xf numFmtId="0" fontId="28" fillId="2" borderId="18" applyAlignment="1" pivotButton="0" quotePrefix="0" xfId="0">
      <alignment horizontal="center" vertical="center"/>
    </xf>
    <xf numFmtId="0" fontId="28" fillId="2" borderId="12" applyAlignment="1" pivotButton="0" quotePrefix="0" xfId="0">
      <alignment horizontal="center" vertical="center"/>
    </xf>
    <xf numFmtId="0" fontId="28" fillId="2" borderId="3" applyAlignment="1" pivotButton="0" quotePrefix="0" xfId="0">
      <alignment horizontal="center" vertical="center"/>
    </xf>
    <xf numFmtId="1" fontId="28" fillId="2" borderId="18" applyAlignment="1" pivotButton="0" quotePrefix="0" xfId="0">
      <alignment horizontal="center" vertical="center"/>
    </xf>
    <xf numFmtId="0" fontId="28" fillId="2" borderId="38" applyAlignment="1" pivotButton="0" quotePrefix="0" xfId="0">
      <alignment horizontal="center" vertical="center"/>
    </xf>
    <xf numFmtId="0" fontId="28" fillId="3" borderId="23" applyAlignment="1" pivotButton="0" quotePrefix="0" xfId="0">
      <alignment vertical="center"/>
    </xf>
    <xf numFmtId="0" fontId="28" fillId="3" borderId="15" applyAlignment="1" pivotButton="0" quotePrefix="0" xfId="0">
      <alignment vertical="center"/>
    </xf>
    <xf numFmtId="0" fontId="28" fillId="3" borderId="39" applyAlignment="1" pivotButton="0" quotePrefix="0" xfId="0">
      <alignment vertical="center"/>
    </xf>
    <xf numFmtId="0" fontId="28" fillId="3" borderId="11" applyAlignment="1" pivotButton="0" quotePrefix="0" xfId="0">
      <alignment horizontal="center" vertical="center"/>
    </xf>
    <xf numFmtId="0" fontId="28" fillId="3" borderId="14" applyAlignment="1" pivotButton="0" quotePrefix="0" xfId="0">
      <alignment horizontal="center" vertical="center"/>
    </xf>
    <xf numFmtId="0" fontId="28" fillId="3" borderId="9" applyAlignment="1" pivotButton="0" quotePrefix="0" xfId="0">
      <alignment horizontal="center" vertical="center"/>
    </xf>
    <xf numFmtId="1" fontId="28" fillId="3" borderId="11" applyAlignment="1" pivotButton="0" quotePrefix="0" xfId="0">
      <alignment horizontal="center" vertical="center"/>
    </xf>
    <xf numFmtId="0" fontId="28" fillId="3" borderId="39" applyAlignment="1" pivotButton="0" quotePrefix="0" xfId="0">
      <alignment horizontal="center" vertical="center"/>
    </xf>
    <xf numFmtId="0" fontId="34" fillId="2" borderId="24" applyAlignment="1" pivotButton="0" quotePrefix="0" xfId="0">
      <alignment vertical="center"/>
    </xf>
    <xf numFmtId="0" fontId="34" fillId="2" borderId="25" applyAlignment="1" pivotButton="0" quotePrefix="0" xfId="0">
      <alignment vertical="center"/>
    </xf>
    <xf numFmtId="0" fontId="34" fillId="2" borderId="40" applyAlignment="1" pivotButton="0" quotePrefix="0" xfId="0">
      <alignment vertical="center"/>
    </xf>
    <xf numFmtId="0" fontId="34" fillId="2" borderId="19" applyAlignment="1" pivotButton="0" quotePrefix="0" xfId="0">
      <alignment horizontal="center" vertical="center"/>
    </xf>
    <xf numFmtId="165" fontId="34" fillId="2" borderId="13" applyAlignment="1" pivotButton="0" quotePrefix="0" xfId="0">
      <alignment horizontal="center" vertical="center"/>
    </xf>
    <xf numFmtId="165" fontId="34" fillId="2" borderId="6" applyAlignment="1" pivotButton="0" quotePrefix="0" xfId="0">
      <alignment horizontal="center" vertical="center"/>
    </xf>
    <xf numFmtId="1" fontId="26" fillId="2" borderId="19" applyAlignment="1" pivotButton="0" quotePrefix="0" xfId="0">
      <alignment horizontal="center" vertical="center"/>
    </xf>
    <xf numFmtId="165" fontId="29" fillId="2" borderId="40" applyAlignment="1" pivotButton="0" quotePrefix="0" xfId="0">
      <alignment horizontal="center" vertical="center"/>
    </xf>
    <xf numFmtId="0" fontId="34" fillId="0" borderId="0" applyAlignment="1" pivotButton="0" quotePrefix="0" xfId="0">
      <alignment vertical="center"/>
    </xf>
    <xf numFmtId="0" fontId="34" fillId="0" borderId="0" applyAlignment="1" pivotButton="0" quotePrefix="0" xfId="0">
      <alignment horizontal="center" vertical="center"/>
    </xf>
    <xf numFmtId="165" fontId="34" fillId="0" borderId="0" applyAlignment="1" pivotButton="0" quotePrefix="0" xfId="0">
      <alignment horizontal="center" vertical="center"/>
    </xf>
    <xf numFmtId="1" fontId="26" fillId="0" borderId="0" applyAlignment="1" pivotButton="0" quotePrefix="0" xfId="0">
      <alignment horizontal="center" vertical="center"/>
    </xf>
    <xf numFmtId="0" fontId="28" fillId="0" borderId="48" applyAlignment="1" pivotButton="0" quotePrefix="0" xfId="0">
      <alignment horizontal="center" vertical="center"/>
    </xf>
    <xf numFmtId="0" fontId="28" fillId="6" borderId="21" applyAlignment="1" pivotButton="0" quotePrefix="0" xfId="0">
      <alignment horizontal="center" vertical="center"/>
    </xf>
    <xf numFmtId="0" fontId="26" fillId="0" borderId="2" applyAlignment="1" pivotButton="0" quotePrefix="0" xfId="1">
      <alignment horizontal="center" vertical="center"/>
    </xf>
    <xf numFmtId="0" fontId="26" fillId="0" borderId="26" applyAlignment="1" pivotButton="0" quotePrefix="0" xfId="1">
      <alignment horizontal="center" vertical="center"/>
    </xf>
    <xf numFmtId="0" fontId="26" fillId="0" borderId="54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8" fillId="0" borderId="39" applyAlignment="1" pivotButton="0" quotePrefix="0" xfId="0">
      <alignment horizontal="center" vertical="center"/>
    </xf>
    <xf numFmtId="0" fontId="28" fillId="0" borderId="11" applyAlignment="1" pivotButton="0" quotePrefix="0" xfId="0">
      <alignment horizontal="center" vertical="center"/>
    </xf>
    <xf numFmtId="0" fontId="28" fillId="2" borderId="8" applyAlignment="1" pivotButton="0" quotePrefix="0" xfId="0">
      <alignment horizontal="center" vertical="center"/>
    </xf>
    <xf numFmtId="0" fontId="28" fillId="2" borderId="9" applyAlignment="1" pivotButton="0" quotePrefix="0" xfId="0">
      <alignment horizontal="center" vertical="center"/>
    </xf>
    <xf numFmtId="0" fontId="28" fillId="2" borderId="28" applyAlignment="1" pivotButton="0" quotePrefix="0" xfId="0">
      <alignment horizontal="center" vertical="center"/>
    </xf>
    <xf numFmtId="0" fontId="28" fillId="2" borderId="11" applyAlignment="1" pivotButton="0" quotePrefix="0" xfId="0">
      <alignment horizontal="center" vertical="center"/>
    </xf>
    <xf numFmtId="0" fontId="26" fillId="0" borderId="8" applyAlignment="1" pivotButton="0" quotePrefix="0" xfId="1">
      <alignment horizontal="center" vertical="center"/>
    </xf>
    <xf numFmtId="0" fontId="28" fillId="0" borderId="9" applyAlignment="1" pivotButton="0" quotePrefix="0" xfId="0">
      <alignment horizontal="center" vertical="center"/>
    </xf>
    <xf numFmtId="0" fontId="28" fillId="0" borderId="28" applyAlignment="1" pivotButton="0" quotePrefix="0" xfId="0">
      <alignment horizontal="center" vertical="center"/>
    </xf>
    <xf numFmtId="0" fontId="26" fillId="0" borderId="5" applyAlignment="1" pivotButton="0" quotePrefix="0" xfId="1">
      <alignment horizontal="center" vertical="center"/>
    </xf>
    <xf numFmtId="0" fontId="28" fillId="0" borderId="43" applyAlignment="1" pivotButton="0" quotePrefix="0" xfId="0">
      <alignment horizontal="center" vertical="center"/>
    </xf>
    <xf numFmtId="0" fontId="28" fillId="2" borderId="26" applyAlignment="1" pivotButton="0" quotePrefix="0" xfId="0">
      <alignment horizontal="center" vertical="center"/>
    </xf>
    <xf numFmtId="1" fontId="28" fillId="2" borderId="35" applyAlignment="1" pivotButton="0" quotePrefix="0" xfId="0">
      <alignment horizontal="center" vertical="center"/>
    </xf>
    <xf numFmtId="0" fontId="28" fillId="2" borderId="20" applyAlignment="1" pivotButton="0" quotePrefix="0" xfId="0">
      <alignment horizontal="center" vertical="center"/>
    </xf>
    <xf numFmtId="0" fontId="28" fillId="3" borderId="28" applyAlignment="1" pivotButton="0" quotePrefix="0" xfId="0">
      <alignment horizontal="center" vertical="center"/>
    </xf>
    <xf numFmtId="165" fontId="34" fillId="2" borderId="27" applyAlignment="1" pivotButton="0" quotePrefix="0" xfId="0">
      <alignment horizontal="center" vertical="center"/>
    </xf>
    <xf numFmtId="1" fontId="29" fillId="2" borderId="19" applyAlignment="1" pivotButton="0" quotePrefix="0" xfId="0">
      <alignment horizontal="center" vertical="center"/>
    </xf>
    <xf numFmtId="165" fontId="29" fillId="2" borderId="19" applyAlignment="1" pivotButton="0" quotePrefix="0" xfId="0">
      <alignment horizontal="center" vertical="center"/>
    </xf>
    <xf numFmtId="0" fontId="28" fillId="2" borderId="1" applyAlignment="1" pivotButton="0" quotePrefix="0" xfId="0">
      <alignment vertical="center"/>
    </xf>
    <xf numFmtId="0" fontId="34" fillId="2" borderId="31" applyAlignment="1" pivotButton="0" quotePrefix="0" xfId="0">
      <alignment vertical="center"/>
    </xf>
    <xf numFmtId="0" fontId="34" fillId="2" borderId="41" applyAlignment="1" pivotButton="0" quotePrefix="0" xfId="0">
      <alignment horizontal="center" vertical="center"/>
    </xf>
    <xf numFmtId="165" fontId="34" fillId="2" borderId="41" applyAlignment="1" pivotButton="0" quotePrefix="0" xfId="0">
      <alignment horizontal="center" vertical="center"/>
    </xf>
    <xf numFmtId="165" fontId="29" fillId="2" borderId="41" applyAlignment="1" pivotButton="0" quotePrefix="0" xfId="0">
      <alignment horizontal="center" vertical="center"/>
    </xf>
    <xf numFmtId="0" fontId="28" fillId="4" borderId="22" applyAlignment="1" pivotButton="0" quotePrefix="0" xfId="0">
      <alignment vertical="center"/>
    </xf>
    <xf numFmtId="0" fontId="28" fillId="4" borderId="18" applyAlignment="1" pivotButton="0" quotePrefix="0" xfId="0">
      <alignment horizontal="center" vertical="center"/>
    </xf>
    <xf numFmtId="0" fontId="28" fillId="4" borderId="17" applyAlignment="1" pivotButton="0" quotePrefix="0" xfId="0">
      <alignment horizontal="center" vertical="center"/>
    </xf>
    <xf numFmtId="0" fontId="28" fillId="4" borderId="16" applyAlignment="1" pivotButton="0" quotePrefix="0" xfId="0">
      <alignment horizontal="center" vertical="center"/>
    </xf>
    <xf numFmtId="0" fontId="28" fillId="4" borderId="74" applyAlignment="1" pivotButton="0" quotePrefix="0" xfId="0">
      <alignment horizontal="center" vertical="center"/>
    </xf>
    <xf numFmtId="0" fontId="34" fillId="4" borderId="25" applyAlignment="1" pivotButton="0" quotePrefix="0" xfId="0">
      <alignment vertical="center"/>
    </xf>
    <xf numFmtId="0" fontId="34" fillId="4" borderId="19" applyAlignment="1" pivotButton="0" quotePrefix="0" xfId="0">
      <alignment horizontal="center" vertical="center"/>
    </xf>
    <xf numFmtId="165" fontId="34" fillId="4" borderId="13" applyAlignment="1" pivotButton="0" quotePrefix="0" xfId="0">
      <alignment horizontal="center" vertical="center"/>
    </xf>
    <xf numFmtId="165" fontId="34" fillId="4" borderId="6" applyAlignment="1" pivotButton="0" quotePrefix="0" xfId="0">
      <alignment horizontal="center" vertical="center"/>
    </xf>
    <xf numFmtId="165" fontId="34" fillId="4" borderId="27" applyAlignment="1" pivotButton="0" quotePrefix="0" xfId="0">
      <alignment horizontal="center" vertical="center"/>
    </xf>
    <xf numFmtId="165" fontId="34" fillId="2" borderId="19" applyAlignment="1" pivotButton="0" quotePrefix="0" xfId="0">
      <alignment horizontal="center" vertical="center"/>
    </xf>
    <xf numFmtId="165" fontId="34" fillId="4" borderId="19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right" vertical="center"/>
    </xf>
    <xf numFmtId="0" fontId="28" fillId="0" borderId="0" applyAlignment="1" pivotButton="0" quotePrefix="0" xfId="0">
      <alignment horizontal="left" vertical="center"/>
    </xf>
    <xf numFmtId="166" fontId="28" fillId="0" borderId="0" applyAlignment="1" pivotButton="0" quotePrefix="0" xfId="0">
      <alignment horizontal="center" vertical="center" wrapText="1"/>
    </xf>
    <xf numFmtId="0" fontId="28" fillId="8" borderId="9" applyAlignment="1" pivotButton="0" quotePrefix="0" xfId="1">
      <alignment horizontal="center" vertical="center"/>
    </xf>
    <xf numFmtId="0" fontId="28" fillId="9" borderId="9" applyAlignment="1" pivotButton="0" quotePrefix="0" xfId="1">
      <alignment horizontal="center" vertical="center"/>
    </xf>
    <xf numFmtId="2" fontId="28" fillId="5" borderId="9" applyAlignment="1" pivotButton="0" quotePrefix="0" xfId="0">
      <alignment horizontal="center" vertical="center" wrapText="1"/>
    </xf>
    <xf numFmtId="2" fontId="28" fillId="7" borderId="9" applyAlignment="1" pivotButton="0" quotePrefix="0" xfId="0">
      <alignment horizontal="center" vertical="center" wrapText="1"/>
    </xf>
    <xf numFmtId="0" fontId="28" fillId="2" borderId="9" applyAlignment="1" pivotButton="0" quotePrefix="0" xfId="1">
      <alignment horizontal="center" vertical="center"/>
    </xf>
    <xf numFmtId="165" fontId="16" fillId="6" borderId="54" applyAlignment="1" pivotButton="0" quotePrefix="0" xfId="0">
      <alignment vertical="center"/>
    </xf>
    <xf numFmtId="165" fontId="16" fillId="6" borderId="0" applyAlignment="1" pivotButton="0" quotePrefix="0" xfId="0">
      <alignment vertical="center"/>
    </xf>
    <xf numFmtId="165" fontId="16" fillId="0" borderId="0" applyAlignment="1" pivotButton="0" quotePrefix="0" xfId="0">
      <alignment horizontal="center" vertical="center"/>
    </xf>
    <xf numFmtId="0" fontId="26" fillId="0" borderId="18" applyAlignment="1" pivotButton="0" quotePrefix="0" xfId="0">
      <alignment vertical="center"/>
    </xf>
    <xf numFmtId="0" fontId="26" fillId="0" borderId="18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6" fillId="0" borderId="3" applyAlignment="1" pivotButton="0" quotePrefix="0" xfId="0">
      <alignment horizontal="center" vertical="center"/>
    </xf>
    <xf numFmtId="0" fontId="26" fillId="0" borderId="26" applyAlignment="1" pivotButton="0" quotePrefix="0" xfId="0">
      <alignment horizontal="center" vertical="center"/>
    </xf>
    <xf numFmtId="0" fontId="26" fillId="0" borderId="64" applyAlignment="1" pivotButton="0" quotePrefix="0" xfId="0">
      <alignment vertical="center"/>
    </xf>
    <xf numFmtId="0" fontId="26" fillId="0" borderId="67" applyAlignment="1" pivotButton="0" quotePrefix="0" xfId="0">
      <alignment horizontal="center" vertical="center"/>
    </xf>
    <xf numFmtId="0" fontId="26" fillId="0" borderId="37" applyAlignment="1" pivotButton="0" quotePrefix="0" xfId="0">
      <alignment horizontal="center" vertical="center"/>
    </xf>
    <xf numFmtId="0" fontId="26" fillId="0" borderId="19" applyAlignment="1" pivotButton="0" quotePrefix="0" xfId="0">
      <alignment horizontal="center" vertical="center"/>
    </xf>
    <xf numFmtId="0" fontId="26" fillId="0" borderId="32" applyAlignment="1" pivotButton="0" quotePrefix="0" xfId="0">
      <alignment horizontal="center" vertical="center"/>
    </xf>
    <xf numFmtId="0" fontId="26" fillId="0" borderId="56" applyAlignment="1" pivotButton="0" quotePrefix="0" xfId="0">
      <alignment horizontal="center" vertical="center"/>
    </xf>
    <xf numFmtId="0" fontId="26" fillId="0" borderId="42" applyAlignment="1" pivotButton="0" quotePrefix="0" xfId="0">
      <alignment horizontal="center" vertical="center"/>
    </xf>
    <xf numFmtId="0" fontId="26" fillId="2" borderId="0" applyAlignment="1" pivotButton="0" quotePrefix="0" xfId="0">
      <alignment vertical="center"/>
    </xf>
    <xf numFmtId="0" fontId="26" fillId="2" borderId="18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 wrapText="1"/>
    </xf>
    <xf numFmtId="0" fontId="26" fillId="2" borderId="38" applyAlignment="1" pivotButton="0" quotePrefix="0" xfId="0">
      <alignment horizontal="center" vertical="center"/>
    </xf>
    <xf numFmtId="0" fontId="26" fillId="0" borderId="11" applyAlignment="1" pivotButton="0" quotePrefix="0" xfId="0">
      <alignment horizontal="center" vertical="center"/>
    </xf>
    <xf numFmtId="0" fontId="28" fillId="0" borderId="14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 wrapText="1"/>
    </xf>
    <xf numFmtId="0" fontId="26" fillId="0" borderId="39" applyAlignment="1" pivotButton="0" quotePrefix="0" xfId="0">
      <alignment horizontal="center" vertical="center"/>
    </xf>
    <xf numFmtId="0" fontId="26" fillId="0" borderId="23" applyAlignment="1" pivotButton="0" quotePrefix="0" xfId="0">
      <alignment horizontal="center" vertical="center"/>
    </xf>
    <xf numFmtId="0" fontId="26" fillId="6" borderId="19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6" applyAlignment="1" pivotButton="0" quotePrefix="0" xfId="0">
      <alignment horizontal="center" vertical="center"/>
    </xf>
    <xf numFmtId="0" fontId="26" fillId="0" borderId="27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 wrapText="1"/>
    </xf>
    <xf numFmtId="0" fontId="26" fillId="2" borderId="6" applyAlignment="1" pivotButton="0" quotePrefix="0" xfId="1">
      <alignment horizontal="center" vertical="center"/>
    </xf>
    <xf numFmtId="0" fontId="26" fillId="2" borderId="6" applyAlignment="1" pivotButton="0" quotePrefix="0" xfId="0">
      <alignment horizontal="center" vertical="center" wrapText="1"/>
    </xf>
    <xf numFmtId="0" fontId="26" fillId="0" borderId="43" applyAlignment="1" pivotButton="0" quotePrefix="0" xfId="0">
      <alignment horizontal="center" vertical="center"/>
    </xf>
    <xf numFmtId="0" fontId="26" fillId="0" borderId="33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8" fillId="3" borderId="8" applyAlignment="1" pivotButton="0" quotePrefix="0" xfId="0">
      <alignment horizontal="center" vertical="center"/>
    </xf>
    <xf numFmtId="165" fontId="34" fillId="2" borderId="5" applyAlignment="1" pivotButton="0" quotePrefix="0" xfId="0">
      <alignment horizontal="center" vertical="center"/>
    </xf>
    <xf numFmtId="0" fontId="28" fillId="2" borderId="19" applyAlignment="1" pivotButton="0" quotePrefix="0" xfId="0">
      <alignment horizontal="center" vertical="center"/>
    </xf>
    <xf numFmtId="0" fontId="26" fillId="0" borderId="21" applyAlignment="1" pivotButton="0" quotePrefix="0" xfId="0">
      <alignment horizontal="center" vertical="center"/>
    </xf>
    <xf numFmtId="0" fontId="26" fillId="0" borderId="38" applyAlignment="1" pivotButton="0" quotePrefix="0" xfId="0">
      <alignment horizontal="center" vertical="center"/>
    </xf>
    <xf numFmtId="0" fontId="26" fillId="2" borderId="12" applyAlignment="1" pivotButton="0" quotePrefix="0" xfId="1">
      <alignment horizontal="center" vertical="center"/>
    </xf>
    <xf numFmtId="0" fontId="26" fillId="2" borderId="3" applyAlignment="1" pivotButton="0" quotePrefix="0" xfId="0">
      <alignment horizontal="center" vertical="center" wrapText="1"/>
    </xf>
    <xf numFmtId="0" fontId="26" fillId="2" borderId="3" applyAlignment="1" pivotButton="0" quotePrefix="0" xfId="1">
      <alignment horizontal="center" vertical="center"/>
    </xf>
    <xf numFmtId="0" fontId="26" fillId="2" borderId="4" applyAlignment="1" pivotButton="0" quotePrefix="0" xfId="1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6" fillId="0" borderId="28" applyAlignment="1" pivotButton="0" quotePrefix="0" xfId="0">
      <alignment horizontal="center" vertical="center"/>
    </xf>
    <xf numFmtId="0" fontId="26" fillId="2" borderId="14" applyAlignment="1" pivotButton="0" quotePrefix="0" xfId="1">
      <alignment horizontal="center" vertical="center"/>
    </xf>
    <xf numFmtId="0" fontId="26" fillId="2" borderId="9" applyAlignment="1" pivotButton="0" quotePrefix="0" xfId="1">
      <alignment horizontal="center" vertical="center"/>
    </xf>
    <xf numFmtId="0" fontId="26" fillId="2" borderId="9" applyAlignment="1" pivotButton="0" quotePrefix="0" xfId="0">
      <alignment horizontal="center" vertical="center" wrapText="1"/>
    </xf>
    <xf numFmtId="0" fontId="26" fillId="2" borderId="10" applyAlignment="1" pivotButton="0" quotePrefix="0" xfId="1">
      <alignment horizontal="center" vertical="center"/>
    </xf>
    <xf numFmtId="0" fontId="26" fillId="2" borderId="14" applyAlignment="1" pivotButton="0" quotePrefix="0" xfId="0">
      <alignment horizontal="center" vertical="center" wrapText="1"/>
    </xf>
    <xf numFmtId="0" fontId="26" fillId="2" borderId="23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 wrapText="1"/>
    </xf>
    <xf numFmtId="0" fontId="26" fillId="0" borderId="24" applyAlignment="1" pivotButton="0" quotePrefix="0" xfId="0">
      <alignment horizontal="center" vertical="center"/>
    </xf>
    <xf numFmtId="0" fontId="26" fillId="0" borderId="40" applyAlignment="1" pivotButton="0" quotePrefix="0" xfId="0">
      <alignment horizontal="center" vertical="center"/>
    </xf>
    <xf numFmtId="0" fontId="28" fillId="2" borderId="0" applyAlignment="1" pivotButton="0" quotePrefix="0" xfId="0">
      <alignment horizontal="center" vertical="center"/>
    </xf>
    <xf numFmtId="165" fontId="28" fillId="2" borderId="16" applyAlignment="1" pivotButton="0" quotePrefix="0" xfId="0">
      <alignment horizontal="center" vertical="center"/>
    </xf>
    <xf numFmtId="0" fontId="28" fillId="4" borderId="3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26" fillId="0" borderId="21" applyAlignment="1" pivotButton="0" quotePrefix="0" xfId="0">
      <alignment vertical="center"/>
    </xf>
    <xf numFmtId="0" fontId="26" fillId="0" borderId="65" applyAlignment="1" pivotButton="0" quotePrefix="0" xfId="0">
      <alignment horizontal="center" vertical="center"/>
    </xf>
    <xf numFmtId="0" fontId="26" fillId="0" borderId="66" applyAlignment="1" pivotButton="0" quotePrefix="0" xfId="0">
      <alignment horizontal="center" vertical="center"/>
    </xf>
    <xf numFmtId="0" fontId="26" fillId="0" borderId="73" applyAlignment="1" pivotButton="0" quotePrefix="0" xfId="0">
      <alignment vertical="center"/>
    </xf>
    <xf numFmtId="0" fontId="26" fillId="0" borderId="5" applyAlignment="1" pivotButton="0" quotePrefix="0" xfId="0">
      <alignment horizontal="center" vertical="center"/>
    </xf>
    <xf numFmtId="0" fontId="26" fillId="0" borderId="20" applyAlignment="1" pivotButton="0" quotePrefix="0" xfId="0">
      <alignment horizontal="center" vertical="center"/>
    </xf>
    <xf numFmtId="0" fontId="26" fillId="0" borderId="55" applyAlignment="1" pivotButton="0" quotePrefix="0" xfId="0">
      <alignment horizontal="center" vertical="center"/>
    </xf>
    <xf numFmtId="0" fontId="26" fillId="6" borderId="40" applyAlignment="1" pivotButton="0" quotePrefix="0" xfId="0">
      <alignment horizontal="center" vertical="center"/>
    </xf>
    <xf numFmtId="0" fontId="26" fillId="0" borderId="7" applyAlignment="1" pivotButton="0" quotePrefix="0" xfId="1">
      <alignment horizontal="center" vertical="center"/>
    </xf>
    <xf numFmtId="0" fontId="26" fillId="0" borderId="51" applyAlignment="1" pivotButton="0" quotePrefix="0" xfId="0">
      <alignment horizontal="center" vertical="center"/>
    </xf>
    <xf numFmtId="1" fontId="28" fillId="3" borderId="39" applyAlignment="1" pivotButton="0" quotePrefix="0" xfId="0">
      <alignment horizontal="center" vertical="center"/>
    </xf>
    <xf numFmtId="0" fontId="26" fillId="6" borderId="39" applyAlignment="1" pivotButton="0" quotePrefix="0" xfId="0">
      <alignment horizontal="center" vertical="center"/>
    </xf>
    <xf numFmtId="0" fontId="26" fillId="0" borderId="8" applyAlignment="1" pivotButton="0" quotePrefix="0" xfId="0">
      <alignment horizontal="center" vertical="center"/>
    </xf>
    <xf numFmtId="0" fontId="26" fillId="0" borderId="10" applyAlignment="1" pivotButton="0" quotePrefix="0" xfId="1">
      <alignment horizontal="center" vertical="center"/>
    </xf>
    <xf numFmtId="1" fontId="26" fillId="0" borderId="33" applyAlignment="1" pivotButton="0" quotePrefix="0" xfId="0">
      <alignment horizontal="center" vertical="center"/>
    </xf>
    <xf numFmtId="0" fontId="28" fillId="4" borderId="46" applyAlignment="1" pivotButton="0" quotePrefix="0" xfId="0">
      <alignment vertical="center"/>
    </xf>
    <xf numFmtId="165" fontId="28" fillId="4" borderId="50" applyAlignment="1" pivotButton="0" quotePrefix="0" xfId="0">
      <alignment horizontal="center" vertical="center"/>
    </xf>
    <xf numFmtId="165" fontId="28" fillId="3" borderId="11" applyAlignment="1" pivotButton="0" quotePrefix="0" xfId="0">
      <alignment horizontal="center" vertical="center"/>
    </xf>
    <xf numFmtId="0" fontId="34" fillId="4" borderId="44" applyAlignment="1" pivotButton="0" quotePrefix="0" xfId="0">
      <alignment vertical="center"/>
    </xf>
    <xf numFmtId="0" fontId="39" fillId="0" borderId="0" applyAlignment="1" pivotButton="0" quotePrefix="0" xfId="0">
      <alignment horizontal="right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/>
    </xf>
    <xf numFmtId="0" fontId="28" fillId="2" borderId="0" applyAlignment="1" pivotButton="0" quotePrefix="0" xfId="0">
      <alignment vertical="center" wrapText="1"/>
    </xf>
    <xf numFmtId="0" fontId="28" fillId="2" borderId="0" applyAlignment="1" pivotButton="0" quotePrefix="0" xfId="0">
      <alignment horizontal="center" vertical="center" wrapText="1"/>
    </xf>
    <xf numFmtId="164" fontId="29" fillId="2" borderId="2" applyAlignment="1" pivotButton="0" quotePrefix="0" xfId="0">
      <alignment horizontal="center" vertical="center" wrapText="1"/>
    </xf>
    <xf numFmtId="164" fontId="29" fillId="2" borderId="8" applyAlignment="1" pivotButton="0" quotePrefix="0" xfId="0">
      <alignment horizontal="center" vertical="center" wrapText="1"/>
    </xf>
    <xf numFmtId="164" fontId="29" fillId="2" borderId="5" applyAlignment="1" pivotButton="0" quotePrefix="0" xfId="0">
      <alignment horizontal="center" vertical="center"/>
    </xf>
    <xf numFmtId="165" fontId="28" fillId="2" borderId="17" applyAlignment="1" pivotButton="0" quotePrefix="0" xfId="0">
      <alignment horizontal="center" vertical="center"/>
    </xf>
    <xf numFmtId="0" fontId="28" fillId="4" borderId="50" applyAlignment="1" pivotButton="0" quotePrefix="0" xfId="0">
      <alignment horizontal="center" vertical="center"/>
    </xf>
    <xf numFmtId="165" fontId="28" fillId="2" borderId="74" applyAlignment="1" pivotButton="0" quotePrefix="0" xfId="0">
      <alignment horizontal="center" vertical="center"/>
    </xf>
    <xf numFmtId="165" fontId="28" fillId="4" borderId="75" applyAlignment="1" pivotButton="0" quotePrefix="0" xfId="0">
      <alignment horizontal="center" vertical="center"/>
    </xf>
    <xf numFmtId="0" fontId="28" fillId="0" borderId="76" applyAlignment="1" pivotButton="0" quotePrefix="0" xfId="0">
      <alignment horizontal="center" vertical="center"/>
    </xf>
    <xf numFmtId="0" fontId="28" fillId="0" borderId="23" applyAlignment="1" pivotButton="0" quotePrefix="0" xfId="0">
      <alignment horizontal="center" vertical="center"/>
    </xf>
    <xf numFmtId="0" fontId="28" fillId="0" borderId="24" applyAlignment="1" pivotButton="0" quotePrefix="0" xfId="0">
      <alignment horizontal="center" vertical="center"/>
    </xf>
    <xf numFmtId="0" fontId="26" fillId="2" borderId="55" applyAlignment="1" pivotButton="0" quotePrefix="0" xfId="0">
      <alignment horizontal="center" vertical="center"/>
    </xf>
    <xf numFmtId="0" fontId="28" fillId="6" borderId="40" applyAlignment="1" pivotButton="0" quotePrefix="0" xfId="0">
      <alignment horizontal="center" vertical="center"/>
    </xf>
    <xf numFmtId="0" fontId="26" fillId="6" borderId="11" applyAlignment="1" pivotButton="0" quotePrefix="0" xfId="0">
      <alignment horizontal="center" vertical="center"/>
    </xf>
    <xf numFmtId="0" fontId="28" fillId="0" borderId="17" applyAlignment="1" pivotButton="0" quotePrefix="0" xfId="0">
      <alignment horizontal="center" vertical="center"/>
    </xf>
    <xf numFmtId="0" fontId="28" fillId="0" borderId="16" applyAlignment="1" pivotButton="0" quotePrefix="0" xfId="0">
      <alignment horizontal="center" vertical="center"/>
    </xf>
    <xf numFmtId="0" fontId="28" fillId="0" borderId="74" applyAlignment="1" pivotButton="0" quotePrefix="0" xfId="0">
      <alignment horizontal="center" vertical="center"/>
    </xf>
    <xf numFmtId="1" fontId="28" fillId="0" borderId="20" applyAlignment="1" pivotButton="0" quotePrefix="0" xfId="0">
      <alignment horizontal="center" vertical="center"/>
    </xf>
    <xf numFmtId="165" fontId="28" fillId="4" borderId="12" applyAlignment="1" pivotButton="0" quotePrefix="0" xfId="0">
      <alignment horizontal="center" vertical="center"/>
    </xf>
    <xf numFmtId="165" fontId="28" fillId="4" borderId="17" applyAlignment="1" pivotButton="0" quotePrefix="0" xfId="0">
      <alignment horizontal="center" vertical="center"/>
    </xf>
    <xf numFmtId="165" fontId="28" fillId="4" borderId="3" applyAlignment="1" pivotButton="0" quotePrefix="0" xfId="0">
      <alignment horizontal="center" vertical="center"/>
    </xf>
    <xf numFmtId="165" fontId="34" fillId="2" borderId="40" applyAlignment="1" pivotButton="0" quotePrefix="0" xfId="0">
      <alignment horizontal="center" vertical="center"/>
    </xf>
    <xf numFmtId="0" fontId="28" fillId="0" borderId="77" applyAlignment="1" pivotButton="0" quotePrefix="0" xfId="0">
      <alignment horizontal="center" vertical="center"/>
    </xf>
    <xf numFmtId="0" fontId="28" fillId="0" borderId="70" applyAlignment="1" pivotButton="0" quotePrefix="0" xfId="0">
      <alignment horizontal="center" vertical="center"/>
    </xf>
    <xf numFmtId="0" fontId="28" fillId="0" borderId="63" applyAlignment="1" pivotButton="0" quotePrefix="0" xfId="0">
      <alignment horizontal="center" vertical="center"/>
    </xf>
    <xf numFmtId="0" fontId="28" fillId="0" borderId="78" applyAlignment="1" pivotButton="0" quotePrefix="0" xfId="0">
      <alignment horizontal="center" vertical="center"/>
    </xf>
    <xf numFmtId="0" fontId="26" fillId="0" borderId="70" applyAlignment="1" pivotButton="0" quotePrefix="0" xfId="1">
      <alignment horizontal="center" vertical="center"/>
    </xf>
    <xf numFmtId="0" fontId="26" fillId="0" borderId="63" applyAlignment="1" pivotButton="0" quotePrefix="0" xfId="1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24" fillId="0" borderId="13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28" fillId="0" borderId="73" applyAlignment="1" pivotButton="0" quotePrefix="0" xfId="0">
      <alignment horizontal="center" vertical="center"/>
    </xf>
    <xf numFmtId="0" fontId="28" fillId="0" borderId="65" applyAlignment="1" pivotButton="0" quotePrefix="0" xfId="0">
      <alignment horizontal="center" vertical="center"/>
    </xf>
    <xf numFmtId="0" fontId="34" fillId="0" borderId="73" applyAlignment="1" pivotButton="0" quotePrefix="0" xfId="0">
      <alignment vertical="center"/>
    </xf>
    <xf numFmtId="165" fontId="29" fillId="0" borderId="65" applyAlignment="1" pivotButton="0" quotePrefix="0" xfId="0">
      <alignment horizontal="center" vertical="center"/>
    </xf>
    <xf numFmtId="0" fontId="26" fillId="0" borderId="73" applyAlignment="1" pivotButton="0" quotePrefix="0" xfId="0">
      <alignment horizontal="left" vertical="center"/>
    </xf>
    <xf numFmtId="0" fontId="28" fillId="0" borderId="21" applyAlignment="1" pivotButton="0" quotePrefix="0" xfId="0">
      <alignment horizontal="center" vertical="center"/>
    </xf>
    <xf numFmtId="0" fontId="28" fillId="2" borderId="23" applyAlignment="1" pivotButton="0" quotePrefix="0" xfId="0">
      <alignment horizontal="center" vertical="center"/>
    </xf>
    <xf numFmtId="0" fontId="28" fillId="4" borderId="1" applyAlignment="1" pivotButton="0" quotePrefix="0" xfId="0">
      <alignment vertical="center"/>
    </xf>
    <xf numFmtId="0" fontId="28" fillId="4" borderId="20" applyAlignment="1" pivotButton="0" quotePrefix="0" xfId="0">
      <alignment horizontal="center" vertical="center"/>
    </xf>
    <xf numFmtId="165" fontId="28" fillId="4" borderId="16" applyAlignment="1" pivotButton="0" quotePrefix="0" xfId="0">
      <alignment horizontal="center" vertical="center"/>
    </xf>
    <xf numFmtId="0" fontId="28" fillId="0" borderId="29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0" fontId="41" fillId="0" borderId="14" applyAlignment="1" pivotButton="0" quotePrefix="0" xfId="0">
      <alignment horizontal="center" vertical="center"/>
    </xf>
    <xf numFmtId="0" fontId="41" fillId="0" borderId="9" applyAlignment="1" pivotButton="0" quotePrefix="0" xfId="0">
      <alignment horizontal="center" vertical="center"/>
    </xf>
    <xf numFmtId="0" fontId="41" fillId="0" borderId="10" applyAlignment="1" pivotButton="0" quotePrefix="0" xfId="0">
      <alignment horizontal="center" vertical="center"/>
    </xf>
    <xf numFmtId="0" fontId="44" fillId="0" borderId="17" applyAlignment="1" pivotButton="0" quotePrefix="0" xfId="0">
      <alignment horizontal="center" vertical="center"/>
    </xf>
    <xf numFmtId="0" fontId="41" fillId="2" borderId="9" applyAlignment="1" pivotButton="0" quotePrefix="0" xfId="3">
      <alignment horizontal="center" vertical="center" shrinkToFit="1"/>
    </xf>
    <xf numFmtId="0" fontId="45" fillId="6" borderId="1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0" fontId="26" fillId="0" borderId="80" applyAlignment="1" pivotButton="0" quotePrefix="0" xfId="0">
      <alignment horizontal="center" vertical="center"/>
    </xf>
    <xf numFmtId="0" fontId="26" fillId="0" borderId="41" applyAlignment="1" pivotButton="0" quotePrefix="0" xfId="0">
      <alignment horizontal="center" vertical="center"/>
    </xf>
    <xf numFmtId="0" fontId="27" fillId="0" borderId="41" applyAlignment="1" pivotButton="0" quotePrefix="0" xfId="0">
      <alignment horizontal="center" vertical="center"/>
    </xf>
    <xf numFmtId="0" fontId="26" fillId="2" borderId="32" applyAlignment="1" pivotButton="0" quotePrefix="0" xfId="0">
      <alignment horizontal="center" vertical="center" wrapText="1"/>
    </xf>
    <xf numFmtId="0" fontId="26" fillId="2" borderId="56" applyAlignment="1" pivotButton="0" quotePrefix="0" xfId="0">
      <alignment horizontal="center" vertical="center" wrapText="1"/>
    </xf>
    <xf numFmtId="0" fontId="26" fillId="2" borderId="56" applyAlignment="1" pivotButton="0" quotePrefix="0" xfId="1">
      <alignment horizontal="center" vertical="center"/>
    </xf>
    <xf numFmtId="0" fontId="26" fillId="2" borderId="81" applyAlignment="1" pivotButton="0" quotePrefix="0" xfId="0">
      <alignment horizontal="center" vertical="center" wrapText="1"/>
    </xf>
    <xf numFmtId="0" fontId="42" fillId="0" borderId="11" applyAlignment="1" pivotButton="0" quotePrefix="0" xfId="0">
      <alignment horizontal="center" vertical="center"/>
    </xf>
    <xf numFmtId="0" fontId="42" fillId="0" borderId="39" applyAlignment="1" pivotButton="0" quotePrefix="0" xfId="0">
      <alignment horizontal="center" vertical="center"/>
    </xf>
    <xf numFmtId="0" fontId="42" fillId="0" borderId="8" applyAlignment="1" pivotButton="0" quotePrefix="0" xfId="0">
      <alignment horizontal="center" vertical="center"/>
    </xf>
    <xf numFmtId="0" fontId="42" fillId="0" borderId="9" applyAlignment="1" pivotButton="0" quotePrefix="0" xfId="0">
      <alignment horizontal="center" vertical="center"/>
    </xf>
    <xf numFmtId="0" fontId="42" fillId="0" borderId="28" applyAlignment="1" pivotButton="0" quotePrefix="0" xfId="0">
      <alignment horizontal="center" vertical="center"/>
    </xf>
    <xf numFmtId="0" fontId="43" fillId="0" borderId="9" applyAlignment="1" pivotButton="0" quotePrefix="0" xfId="1">
      <alignment horizontal="center" vertical="center"/>
    </xf>
    <xf numFmtId="0" fontId="42" fillId="0" borderId="23" applyAlignment="1" pivotButton="0" quotePrefix="0" xfId="0">
      <alignment horizontal="center" vertical="center"/>
    </xf>
    <xf numFmtId="0" fontId="28" fillId="2" borderId="28" applyAlignment="1" pivotButton="0" quotePrefix="0" xfId="1">
      <alignment horizontal="center" vertical="center"/>
    </xf>
    <xf numFmtId="0" fontId="26" fillId="15" borderId="9" applyAlignment="1" pivotButton="0" quotePrefix="0" xfId="0">
      <alignment horizontal="center" vertical="center"/>
    </xf>
    <xf numFmtId="0" fontId="43" fillId="15" borderId="8" applyAlignment="1" pivotButton="0" quotePrefix="0" xfId="1">
      <alignment horizontal="center" vertical="center"/>
    </xf>
    <xf numFmtId="0" fontId="43" fillId="15" borderId="9" applyAlignment="1" pivotButton="0" quotePrefix="0" xfId="1">
      <alignment horizontal="center" vertical="center"/>
    </xf>
    <xf numFmtId="165" fontId="46" fillId="4" borderId="6" applyAlignment="1" pivotButton="0" quotePrefix="0" xfId="0">
      <alignment horizontal="center" vertical="center"/>
    </xf>
    <xf numFmtId="0" fontId="42" fillId="4" borderId="16" applyAlignment="1" pivotButton="0" quotePrefix="0" xfId="0">
      <alignment horizontal="center" vertical="center"/>
    </xf>
    <xf numFmtId="0" fontId="42" fillId="4" borderId="3" applyAlignment="1" pivotButton="0" quotePrefix="0" xfId="0">
      <alignment horizontal="center" vertical="center"/>
    </xf>
    <xf numFmtId="165" fontId="42" fillId="2" borderId="16" applyAlignment="1" pivotButton="0" quotePrefix="0" xfId="0">
      <alignment horizontal="center" vertical="center"/>
    </xf>
    <xf numFmtId="165" fontId="46" fillId="2" borderId="6" applyAlignment="1" pivotButton="0" quotePrefix="0" xfId="0">
      <alignment horizontal="center" vertical="center"/>
    </xf>
    <xf numFmtId="0" fontId="42" fillId="3" borderId="9" applyAlignment="1" pivotButton="0" quotePrefix="0" xfId="0">
      <alignment horizontal="center" vertical="center"/>
    </xf>
    <xf numFmtId="0" fontId="47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43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right" vertical="center"/>
    </xf>
    <xf numFmtId="0" fontId="42" fillId="0" borderId="0" applyAlignment="1" pivotButton="0" quotePrefix="0" xfId="0">
      <alignment horizontal="left" vertical="center"/>
    </xf>
    <xf numFmtId="166" fontId="42" fillId="0" borderId="0" applyAlignment="1" pivotButton="0" quotePrefix="0" xfId="0">
      <alignment horizontal="center" vertical="center" wrapText="1"/>
    </xf>
    <xf numFmtId="0" fontId="42" fillId="8" borderId="9" applyAlignment="1" pivotButton="0" quotePrefix="0" xfId="1">
      <alignment horizontal="center" vertical="center"/>
    </xf>
    <xf numFmtId="0" fontId="42" fillId="9" borderId="9" applyAlignment="1" pivotButton="0" quotePrefix="0" xfId="1">
      <alignment horizontal="center" vertical="center"/>
    </xf>
    <xf numFmtId="2" fontId="42" fillId="5" borderId="9" applyAlignment="1" pivotButton="0" quotePrefix="0" xfId="0">
      <alignment horizontal="center" vertical="center" wrapText="1"/>
    </xf>
    <xf numFmtId="2" fontId="42" fillId="7" borderId="9" applyAlignment="1" pivotButton="0" quotePrefix="0" xfId="0">
      <alignment horizontal="center" vertical="center" wrapText="1"/>
    </xf>
    <xf numFmtId="0" fontId="42" fillId="2" borderId="9" applyAlignment="1" pivotButton="0" quotePrefix="0" xfId="1">
      <alignment horizontal="center" vertical="center"/>
    </xf>
    <xf numFmtId="0" fontId="43" fillId="15" borderId="9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0" fontId="26" fillId="15" borderId="6" applyAlignment="1" pivotButton="0" quotePrefix="0" xfId="1">
      <alignment horizontal="center" vertical="center"/>
    </xf>
    <xf numFmtId="0" fontId="28" fillId="0" borderId="82" applyAlignment="1" pivotButton="0" quotePrefix="0" xfId="0">
      <alignment horizontal="center" vertical="center"/>
    </xf>
    <xf numFmtId="0" fontId="28" fillId="13" borderId="0" applyAlignment="1" pivotButton="0" quotePrefix="0" xfId="0">
      <alignment horizontal="center" vertical="center"/>
    </xf>
    <xf numFmtId="0" fontId="28" fillId="14" borderId="0" applyAlignment="1" pivotButton="0" quotePrefix="0" xfId="0">
      <alignment horizontal="center" vertical="center"/>
    </xf>
    <xf numFmtId="0" fontId="28" fillId="2" borderId="21" applyAlignment="1" pivotButton="0" quotePrefix="0" xfId="0">
      <alignment vertical="center"/>
    </xf>
    <xf numFmtId="0" fontId="28" fillId="2" borderId="22" applyAlignment="1" pivotButton="0" quotePrefix="0" xfId="0">
      <alignment vertical="center"/>
    </xf>
    <xf numFmtId="0" fontId="28" fillId="2" borderId="38" applyAlignment="1" pivotButton="0" quotePrefix="0" xfId="0">
      <alignment vertical="center"/>
    </xf>
    <xf numFmtId="0" fontId="28" fillId="3" borderId="23" applyAlignment="1" pivotButton="0" quotePrefix="0" xfId="0">
      <alignment vertical="center"/>
    </xf>
    <xf numFmtId="0" fontId="28" fillId="3" borderId="15" applyAlignment="1" pivotButton="0" quotePrefix="0" xfId="0">
      <alignment vertical="center"/>
    </xf>
    <xf numFmtId="0" fontId="28" fillId="3" borderId="39" applyAlignment="1" pivotButton="0" quotePrefix="0" xfId="0">
      <alignment vertical="center"/>
    </xf>
    <xf numFmtId="165" fontId="16" fillId="0" borderId="54" applyAlignment="1" pivotButton="0" quotePrefix="0" xfId="0">
      <alignment horizontal="center" vertical="center"/>
    </xf>
    <xf numFmtId="0" fontId="42" fillId="10" borderId="28" applyAlignment="1" pivotButton="0" quotePrefix="0" xfId="1">
      <alignment horizontal="center" vertical="center"/>
    </xf>
    <xf numFmtId="0" fontId="42" fillId="10" borderId="14" applyAlignment="1" pivotButton="0" quotePrefix="0" xfId="1">
      <alignment horizontal="center" vertical="center"/>
    </xf>
    <xf numFmtId="0" fontId="34" fillId="2" borderId="24" applyAlignment="1" pivotButton="0" quotePrefix="0" xfId="0">
      <alignment vertical="center"/>
    </xf>
    <xf numFmtId="0" fontId="34" fillId="2" borderId="25" applyAlignment="1" pivotButton="0" quotePrefix="0" xfId="0">
      <alignment vertical="center"/>
    </xf>
    <xf numFmtId="0" fontId="34" fillId="2" borderId="40" applyAlignment="1" pivotButton="0" quotePrefix="0" xfId="0">
      <alignment vertical="center"/>
    </xf>
    <xf numFmtId="0" fontId="34" fillId="4" borderId="24" applyAlignment="1" pivotButton="0" quotePrefix="0" xfId="0">
      <alignment vertical="center"/>
    </xf>
    <xf numFmtId="0" fontId="34" fillId="4" borderId="25" applyAlignment="1" pivotButton="0" quotePrefix="0" xfId="0">
      <alignment vertical="center"/>
    </xf>
    <xf numFmtId="0" fontId="34" fillId="4" borderId="40" applyAlignment="1" pivotButton="0" quotePrefix="0" xfId="0">
      <alignment vertical="center"/>
    </xf>
    <xf numFmtId="0" fontId="28" fillId="4" borderId="21" applyAlignment="1" pivotButton="0" quotePrefix="0" xfId="0">
      <alignment vertical="center"/>
    </xf>
    <xf numFmtId="0" fontId="28" fillId="4" borderId="22" applyAlignment="1" pivotButton="0" quotePrefix="0" xfId="0">
      <alignment vertical="center"/>
    </xf>
    <xf numFmtId="0" fontId="28" fillId="4" borderId="38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6" borderId="7" applyAlignment="1" pivotButton="0" quotePrefix="0" xfId="0">
      <alignment horizontal="center" vertical="center" wrapText="1"/>
    </xf>
    <xf numFmtId="164" fontId="28" fillId="0" borderId="35" applyAlignment="1" pivotButton="0" quotePrefix="0" xfId="0">
      <alignment horizontal="center" vertical="center" wrapText="1"/>
    </xf>
    <xf numFmtId="164" fontId="28" fillId="0" borderId="36" applyAlignment="1" pivotButton="0" quotePrefix="0" xfId="0">
      <alignment horizontal="center" vertical="center" wrapText="1"/>
    </xf>
    <xf numFmtId="0" fontId="30" fillId="0" borderId="35" applyAlignment="1" pivotButton="0" quotePrefix="0" xfId="0">
      <alignment horizontal="center" vertical="center" wrapText="1"/>
    </xf>
    <xf numFmtId="0" fontId="30" fillId="0" borderId="36" applyAlignment="1" pivotButton="0" quotePrefix="0" xfId="0">
      <alignment horizontal="center" vertical="center" wrapText="1"/>
    </xf>
    <xf numFmtId="0" fontId="28" fillId="10" borderId="28" applyAlignment="1" pivotButton="0" quotePrefix="0" xfId="1">
      <alignment horizontal="center" vertical="center"/>
    </xf>
    <xf numFmtId="0" fontId="28" fillId="10" borderId="14" applyAlignment="1" pivotButton="0" quotePrefix="0" xfId="1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40" fillId="13" borderId="0" applyAlignment="1" pivotButton="0" quotePrefix="0" xfId="0">
      <alignment horizontal="center" vertical="center"/>
    </xf>
    <xf numFmtId="0" fontId="28" fillId="12" borderId="0" applyAlignment="1" pivotButton="0" quotePrefix="0" xfId="0">
      <alignment horizontal="center" vertical="center"/>
    </xf>
    <xf numFmtId="0" fontId="0" fillId="0" borderId="79" applyAlignment="1" pivotButton="0" quotePrefix="0" xfId="0">
      <alignment vertical="center"/>
    </xf>
    <xf numFmtId="0" fontId="0" fillId="0" borderId="73" applyAlignment="1" pivotButton="0" quotePrefix="0" xfId="0">
      <alignment vertical="center"/>
    </xf>
    <xf numFmtId="0" fontId="28" fillId="4" borderId="15" applyAlignment="1" pivotButton="0" quotePrefix="0" xfId="0">
      <alignment horizontal="left" vertical="center"/>
    </xf>
    <xf numFmtId="0" fontId="28" fillId="4" borderId="39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26" fillId="0" borderId="18" applyAlignment="1" pivotButton="0" quotePrefix="0" xfId="0">
      <alignment horizontal="center" vertical="center" wrapText="1"/>
    </xf>
    <xf numFmtId="0" fontId="26" fillId="0" borderId="19" applyAlignment="1" pivotButton="0" quotePrefix="0" xfId="0">
      <alignment horizontal="center" vertical="center" wrapText="1"/>
    </xf>
    <xf numFmtId="0" fontId="39" fillId="0" borderId="0" applyAlignment="1" pivotButton="0" quotePrefix="0" xfId="0">
      <alignment horizontal="left" vertical="center"/>
    </xf>
    <xf numFmtId="0" fontId="39" fillId="2" borderId="0" applyAlignment="1" pivotButton="0" quotePrefix="0" xfId="0">
      <alignment horizontal="left" vertical="center"/>
    </xf>
    <xf numFmtId="0" fontId="34" fillId="2" borderId="47" applyAlignment="1" pivotButton="0" quotePrefix="0" xfId="0">
      <alignment vertical="center"/>
    </xf>
    <xf numFmtId="0" fontId="34" fillId="2" borderId="44" applyAlignment="1" pivotButton="0" quotePrefix="0" xfId="0">
      <alignment vertical="center"/>
    </xf>
    <xf numFmtId="0" fontId="34" fillId="2" borderId="52" applyAlignment="1" pivotButton="0" quotePrefix="0" xfId="0">
      <alignment vertical="center"/>
    </xf>
    <xf numFmtId="0" fontId="28" fillId="4" borderId="45" applyAlignment="1" pivotButton="0" quotePrefix="0" xfId="0">
      <alignment vertical="center"/>
    </xf>
    <xf numFmtId="0" fontId="28" fillId="4" borderId="46" applyAlignment="1" pivotButton="0" quotePrefix="0" xfId="0">
      <alignment vertical="center"/>
    </xf>
    <xf numFmtId="0" fontId="28" fillId="4" borderId="53" applyAlignment="1" pivotButton="0" quotePrefix="0" xfId="0">
      <alignment vertical="center"/>
    </xf>
    <xf numFmtId="0" fontId="7" fillId="11" borderId="4" applyAlignment="1" pivotButton="0" quotePrefix="0" xfId="0">
      <alignment horizontal="center" vertical="center" wrapText="1"/>
    </xf>
    <xf numFmtId="0" fontId="7" fillId="11" borderId="10" applyAlignment="1" pivotButton="0" quotePrefix="0" xfId="0">
      <alignment horizontal="center" vertical="center" wrapText="1"/>
    </xf>
    <xf numFmtId="0" fontId="7" fillId="11" borderId="7" applyAlignment="1" pivotButton="0" quotePrefix="0" xfId="0">
      <alignment horizontal="center" vertical="center" wrapText="1"/>
    </xf>
    <xf numFmtId="0" fontId="26" fillId="0" borderId="64" applyAlignment="1" pivotButton="0" quotePrefix="0" xfId="0">
      <alignment horizontal="center" vertical="center" wrapText="1"/>
    </xf>
    <xf numFmtId="164" fontId="29" fillId="2" borderId="26" applyAlignment="1" pivotButton="0" quotePrefix="0" xfId="0">
      <alignment horizontal="center" vertical="center" wrapText="1"/>
    </xf>
    <xf numFmtId="164" fontId="29" fillId="2" borderId="27" applyAlignment="1" pivotButton="0" quotePrefix="0" xfId="0">
      <alignment horizontal="center" vertical="center"/>
    </xf>
    <xf numFmtId="0" fontId="26" fillId="0" borderId="26" applyAlignment="1" pivotButton="0" quotePrefix="0" xfId="0">
      <alignment horizontal="center" vertical="center" wrapText="1"/>
    </xf>
    <xf numFmtId="0" fontId="26" fillId="0" borderId="28" applyAlignment="1" pivotButton="0" quotePrefix="0" xfId="0">
      <alignment horizontal="center" vertical="center" wrapText="1"/>
    </xf>
    <xf numFmtId="0" fontId="26" fillId="0" borderId="27" applyAlignment="1" pivotButton="0" quotePrefix="0" xfId="0">
      <alignment horizontal="center" vertical="center" wrapText="1"/>
    </xf>
    <xf numFmtId="164" fontId="26" fillId="0" borderId="18" applyAlignment="1" pivotButton="0" quotePrefix="0" xfId="0">
      <alignment horizontal="center" vertical="center" wrapText="1"/>
    </xf>
    <xf numFmtId="164" fontId="26" fillId="0" borderId="19" applyAlignment="1" pivotButton="0" quotePrefix="0" xfId="0">
      <alignment horizontal="center" vertical="center" wrapText="1"/>
    </xf>
    <xf numFmtId="164" fontId="26" fillId="0" borderId="21" applyAlignment="1" pivotButton="0" quotePrefix="0" xfId="0">
      <alignment horizontal="center" vertical="center" wrapText="1"/>
    </xf>
    <xf numFmtId="164" fontId="26" fillId="0" borderId="73" applyAlignment="1" pivotButton="0" quotePrefix="0" xfId="0">
      <alignment horizontal="center" vertical="center" wrapText="1"/>
    </xf>
    <xf numFmtId="164" fontId="26" fillId="0" borderId="24" applyAlignment="1" pivotButton="0" quotePrefix="0" xfId="0">
      <alignment horizontal="center" vertical="center" wrapText="1"/>
    </xf>
    <xf numFmtId="1" fontId="26" fillId="0" borderId="76" applyAlignment="1" pivotButton="0" quotePrefix="0" xfId="0">
      <alignment horizontal="center" vertical="center"/>
    </xf>
    <xf numFmtId="1" fontId="26" fillId="0" borderId="23" applyAlignment="1" pivotButton="0" quotePrefix="0" xfId="0">
      <alignment horizontal="center" vertical="center"/>
    </xf>
    <xf numFmtId="1" fontId="26" fillId="2" borderId="18" applyAlignment="1" pivotButton="0" quotePrefix="0" xfId="0">
      <alignment horizontal="center" vertical="center"/>
    </xf>
    <xf numFmtId="1" fontId="26" fillId="2" borderId="11" applyAlignment="1" pivotButton="0" quotePrefix="0" xfId="0">
      <alignment horizontal="center" vertical="center"/>
    </xf>
    <xf numFmtId="1" fontId="26" fillId="0" borderId="11" applyAlignment="1" pivotButton="0" quotePrefix="0" xfId="0">
      <alignment horizontal="center" vertical="center"/>
    </xf>
    <xf numFmtId="1" fontId="26" fillId="0" borderId="19" applyAlignment="1" pivotButton="0" quotePrefix="0" xfId="0">
      <alignment horizontal="center" vertical="center"/>
    </xf>
    <xf numFmtId="0" fontId="0" fillId="0" borderId="0" pivotButton="0" quotePrefix="0" xfId="0"/>
    <xf numFmtId="167" fontId="28" fillId="0" borderId="38" applyAlignment="1" pivotButton="0" quotePrefix="0" xfId="0">
      <alignment horizontal="center" vertical="center"/>
    </xf>
    <xf numFmtId="164" fontId="29" fillId="2" borderId="3" applyAlignment="1" pivotButton="0" quotePrefix="0" xfId="0">
      <alignment horizontal="center" vertical="center" wrapText="1"/>
    </xf>
    <xf numFmtId="164" fontId="29" fillId="2" borderId="4" applyAlignment="1" pivotButton="0" quotePrefix="0" xfId="0">
      <alignment horizontal="center" vertical="center" wrapText="1"/>
    </xf>
    <xf numFmtId="164" fontId="42" fillId="0" borderId="33" applyAlignment="1" pivotButton="0" quotePrefix="0" xfId="0">
      <alignment horizontal="center" vertical="center" wrapText="1"/>
    </xf>
    <xf numFmtId="0" fontId="30" fillId="0" borderId="33" applyAlignment="1" pivotButton="0" quotePrefix="0" xfId="0">
      <alignment horizontal="center" vertical="center" wrapText="1"/>
    </xf>
    <xf numFmtId="0" fontId="41" fillId="6" borderId="4" applyAlignment="1" pivotButton="0" quotePrefix="0" xfId="0">
      <alignment horizontal="center" vertical="center" wrapText="1"/>
    </xf>
    <xf numFmtId="164" fontId="29" fillId="2" borderId="6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6" pivotButton="0" quotePrefix="0" xfId="0"/>
    <xf numFmtId="0" fontId="0" fillId="0" borderId="16" pivotButton="0" quotePrefix="0" xfId="0"/>
    <xf numFmtId="165" fontId="34" fillId="2" borderId="13" applyAlignment="1" pivotButton="0" quotePrefix="0" xfId="0">
      <alignment horizontal="center" vertical="center"/>
    </xf>
    <xf numFmtId="165" fontId="34" fillId="2" borderId="6" applyAlignment="1" pivotButton="0" quotePrefix="0" xfId="0">
      <alignment horizontal="center" vertical="center"/>
    </xf>
    <xf numFmtId="165" fontId="29" fillId="2" borderId="40" applyAlignment="1" pivotButton="0" quotePrefix="0" xfId="0">
      <alignment horizontal="center" vertical="center"/>
    </xf>
    <xf numFmtId="165" fontId="34" fillId="0" borderId="0" applyAlignment="1" pivotButton="0" quotePrefix="0" xfId="0">
      <alignment horizontal="center" vertical="center"/>
    </xf>
    <xf numFmtId="165" fontId="29" fillId="0" borderId="65" applyAlignment="1" pivotButton="0" quotePrefix="0" xfId="0">
      <alignment horizontal="center" vertical="center"/>
    </xf>
    <xf numFmtId="0" fontId="28" fillId="2" borderId="18" applyAlignment="1" pivotButton="0" quotePrefix="0" xfId="0">
      <alignment vertical="center"/>
    </xf>
    <xf numFmtId="0" fontId="0" fillId="0" borderId="22" pivotButton="0" quotePrefix="0" xfId="0"/>
    <xf numFmtId="0" fontId="0" fillId="0" borderId="38" pivotButton="0" quotePrefix="0" xfId="0"/>
    <xf numFmtId="0" fontId="28" fillId="3" borderId="11" applyAlignment="1" pivotButton="0" quotePrefix="0" xfId="0">
      <alignment vertical="center"/>
    </xf>
    <xf numFmtId="0" fontId="0" fillId="0" borderId="15" pivotButton="0" quotePrefix="0" xfId="0"/>
    <xf numFmtId="0" fontId="0" fillId="0" borderId="39" pivotButton="0" quotePrefix="0" xfId="0"/>
    <xf numFmtId="0" fontId="34" fillId="2" borderId="19" applyAlignment="1" pivotButton="0" quotePrefix="0" xfId="0">
      <alignment vertical="center"/>
    </xf>
    <xf numFmtId="0" fontId="0" fillId="0" borderId="25" pivotButton="0" quotePrefix="0" xfId="0"/>
    <xf numFmtId="0" fontId="0" fillId="0" borderId="40" pivotButton="0" quotePrefix="0" xfId="0"/>
    <xf numFmtId="165" fontId="34" fillId="2" borderId="27" applyAlignment="1" pivotButton="0" quotePrefix="0" xfId="0">
      <alignment horizontal="center" vertical="center"/>
    </xf>
    <xf numFmtId="165" fontId="29" fillId="2" borderId="19" applyAlignment="1" pivotButton="0" quotePrefix="0" xfId="0">
      <alignment horizontal="center" vertical="center"/>
    </xf>
    <xf numFmtId="165" fontId="34" fillId="2" borderId="41" applyAlignment="1" pivotButton="0" quotePrefix="0" xfId="0">
      <alignment horizontal="center" vertical="center"/>
    </xf>
    <xf numFmtId="165" fontId="29" fillId="2" borderId="41" applyAlignment="1" pivotButton="0" quotePrefix="0" xfId="0">
      <alignment horizontal="center" vertical="center"/>
    </xf>
    <xf numFmtId="0" fontId="28" fillId="4" borderId="18" applyAlignment="1" pivotButton="0" quotePrefix="0" xfId="0">
      <alignment vertical="center"/>
    </xf>
    <xf numFmtId="0" fontId="34" fillId="4" borderId="19" applyAlignment="1" pivotButton="0" quotePrefix="0" xfId="0">
      <alignment vertical="center"/>
    </xf>
    <xf numFmtId="165" fontId="34" fillId="2" borderId="19" applyAlignment="1" pivotButton="0" quotePrefix="0" xfId="0">
      <alignment horizontal="center" vertical="center"/>
    </xf>
    <xf numFmtId="165" fontId="16" fillId="0" borderId="54" applyAlignment="1" pivotButton="0" quotePrefix="0" xfId="0">
      <alignment horizontal="center" vertical="center"/>
    </xf>
    <xf numFmtId="0" fontId="0" fillId="0" borderId="54" pivotButton="0" quotePrefix="0" xfId="0"/>
    <xf numFmtId="165" fontId="16" fillId="6" borderId="54" applyAlignment="1" pivotButton="0" quotePrefix="0" xfId="0">
      <alignment vertical="center"/>
    </xf>
    <xf numFmtId="165" fontId="16" fillId="0" borderId="0" applyAlignment="1" pivotButton="0" quotePrefix="0" xfId="0">
      <alignment horizontal="center" vertical="center"/>
    </xf>
    <xf numFmtId="165" fontId="16" fillId="6" borderId="0" applyAlignment="1" pivotButton="0" quotePrefix="0" xfId="0">
      <alignment vertical="center"/>
    </xf>
    <xf numFmtId="166" fontId="42" fillId="0" borderId="0" applyAlignment="1" pivotButton="0" quotePrefix="0" xfId="0">
      <alignment horizontal="center" vertical="center" wrapText="1"/>
    </xf>
    <xf numFmtId="0" fontId="42" fillId="10" borderId="9" applyAlignment="1" pivotButton="0" quotePrefix="0" xfId="1">
      <alignment horizontal="center" vertical="center"/>
    </xf>
    <xf numFmtId="0" fontId="0" fillId="0" borderId="14" pivotButton="0" quotePrefix="0" xfId="0"/>
    <xf numFmtId="164" fontId="29" fillId="2" borderId="26" applyAlignment="1" pivotButton="0" quotePrefix="0" xfId="0">
      <alignment horizontal="center" vertical="center" wrapText="1"/>
    </xf>
    <xf numFmtId="164" fontId="26" fillId="0" borderId="18" applyAlignment="1" pivotButton="0" quotePrefix="0" xfId="0">
      <alignment horizontal="center" vertical="center" wrapText="1"/>
    </xf>
    <xf numFmtId="164" fontId="29" fillId="2" borderId="27" applyAlignment="1" pivotButton="0" quotePrefix="0" xfId="0">
      <alignment horizontal="center" vertical="center"/>
    </xf>
    <xf numFmtId="0" fontId="0" fillId="0" borderId="20" pivotButton="0" quotePrefix="0" xfId="0"/>
    <xf numFmtId="165" fontId="34" fillId="2" borderId="5" applyAlignment="1" pivotButton="0" quotePrefix="0" xfId="0">
      <alignment horizontal="center" vertical="center"/>
    </xf>
    <xf numFmtId="165" fontId="46" fillId="2" borderId="6" applyAlignment="1" pivotButton="0" quotePrefix="0" xfId="0">
      <alignment horizontal="center" vertical="center"/>
    </xf>
    <xf numFmtId="165" fontId="28" fillId="2" borderId="16" applyAlignment="1" pivotButton="0" quotePrefix="0" xfId="0">
      <alignment horizontal="center" vertical="center"/>
    </xf>
    <xf numFmtId="165" fontId="42" fillId="2" borderId="16" applyAlignment="1" pivotButton="0" quotePrefix="0" xfId="0">
      <alignment horizontal="center" vertical="center"/>
    </xf>
    <xf numFmtId="0" fontId="0" fillId="0" borderId="18" applyAlignment="1" pivotButton="0" quotePrefix="0" xfId="0">
      <alignment vertical="center"/>
    </xf>
    <xf numFmtId="165" fontId="28" fillId="4" borderId="12" applyAlignment="1" pivotButton="0" quotePrefix="0" xfId="0">
      <alignment horizontal="center" vertical="center"/>
    </xf>
    <xf numFmtId="165" fontId="28" fillId="4" borderId="3" applyAlignment="1" pivotButton="0" quotePrefix="0" xfId="0">
      <alignment horizontal="center" vertical="center"/>
    </xf>
    <xf numFmtId="0" fontId="0" fillId="0" borderId="20" applyAlignment="1" pivotButton="0" quotePrefix="0" xfId="0">
      <alignment vertical="center"/>
    </xf>
    <xf numFmtId="0" fontId="0" fillId="0" borderId="1" pivotButton="0" quotePrefix="0" xfId="0"/>
    <xf numFmtId="0" fontId="0" fillId="0" borderId="55" pivotButton="0" quotePrefix="0" xfId="0"/>
    <xf numFmtId="165" fontId="28" fillId="4" borderId="17" applyAlignment="1" pivotButton="0" quotePrefix="0" xfId="0">
      <alignment horizontal="center" vertical="center"/>
    </xf>
    <xf numFmtId="165" fontId="28" fillId="4" borderId="16" applyAlignment="1" pivotButton="0" quotePrefix="0" xfId="0">
      <alignment horizontal="center" vertical="center"/>
    </xf>
    <xf numFmtId="165" fontId="34" fillId="4" borderId="13" applyAlignment="1" pivotButton="0" quotePrefix="0" xfId="0">
      <alignment horizontal="center" vertical="center"/>
    </xf>
    <xf numFmtId="165" fontId="34" fillId="4" borderId="6" applyAlignment="1" pivotButton="0" quotePrefix="0" xfId="0">
      <alignment horizontal="center" vertical="center"/>
    </xf>
    <xf numFmtId="165" fontId="46" fillId="4" borderId="6" applyAlignment="1" pivotButton="0" quotePrefix="0" xfId="0">
      <alignment horizontal="center" vertical="center"/>
    </xf>
    <xf numFmtId="165" fontId="34" fillId="4" borderId="19" applyAlignment="1" pivotButton="0" quotePrefix="0" xfId="0">
      <alignment horizontal="center" vertical="center"/>
    </xf>
    <xf numFmtId="166" fontId="28" fillId="0" borderId="0" applyAlignment="1" pivotButton="0" quotePrefix="0" xfId="0">
      <alignment horizontal="center" vertical="center" wrapText="1"/>
    </xf>
    <xf numFmtId="0" fontId="28" fillId="10" borderId="9" applyAlignment="1" pivotButton="0" quotePrefix="0" xfId="1">
      <alignment horizontal="center" vertical="center"/>
    </xf>
    <xf numFmtId="164" fontId="29" fillId="2" borderId="2" applyAlignment="1" pivotButton="0" quotePrefix="0" xfId="0">
      <alignment horizontal="center" vertical="center" wrapText="1"/>
    </xf>
    <xf numFmtId="164" fontId="26" fillId="0" borderId="21" applyAlignment="1" pivotButton="0" quotePrefix="0" xfId="0">
      <alignment horizontal="center" vertical="center" wrapText="1"/>
    </xf>
    <xf numFmtId="164" fontId="29" fillId="2" borderId="8" applyAlignment="1" pivotButton="0" quotePrefix="0" xfId="0">
      <alignment horizontal="center" vertical="center" wrapText="1"/>
    </xf>
    <xf numFmtId="164" fontId="29" fillId="2" borderId="9" applyAlignment="1" pivotButton="0" quotePrefix="0" xfId="0">
      <alignment horizontal="center" vertical="center" wrapText="1"/>
    </xf>
    <xf numFmtId="164" fontId="29" fillId="2" borderId="10" applyAlignment="1" pivotButton="0" quotePrefix="0" xfId="0">
      <alignment horizontal="center" vertical="center" wrapText="1"/>
    </xf>
    <xf numFmtId="0" fontId="0" fillId="0" borderId="73" pivotButton="0" quotePrefix="0" xfId="0"/>
    <xf numFmtId="0" fontId="0" fillId="0" borderId="64" pivotButton="0" quotePrefix="0" xfId="0"/>
    <xf numFmtId="0" fontId="0" fillId="0" borderId="83" pivotButton="0" quotePrefix="0" xfId="0"/>
    <xf numFmtId="164" fontId="29" fillId="2" borderId="5" applyAlignment="1" pivotButton="0" quotePrefix="0" xfId="0">
      <alignment horizontal="center" vertical="center"/>
    </xf>
    <xf numFmtId="164" fontId="29" fillId="2" borderId="7" applyAlignment="1" pivotButton="0" quotePrefix="0" xfId="0">
      <alignment horizontal="center" vertical="center"/>
    </xf>
    <xf numFmtId="0" fontId="0" fillId="0" borderId="76" pivotButton="0" quotePrefix="0" xfId="0"/>
    <xf numFmtId="165" fontId="34" fillId="2" borderId="40" applyAlignment="1" pivotButton="0" quotePrefix="0" xfId="0">
      <alignment horizontal="center" vertical="center"/>
    </xf>
    <xf numFmtId="165" fontId="28" fillId="2" borderId="17" applyAlignment="1" pivotButton="0" quotePrefix="0" xfId="0">
      <alignment horizontal="center" vertical="center"/>
    </xf>
    <xf numFmtId="165" fontId="28" fillId="2" borderId="74" applyAlignment="1" pivotButton="0" quotePrefix="0" xfId="0">
      <alignment horizontal="center" vertical="center"/>
    </xf>
    <xf numFmtId="0" fontId="34" fillId="2" borderId="86" applyAlignment="1" pivotButton="0" quotePrefix="0" xfId="0">
      <alignment vertical="center"/>
    </xf>
    <xf numFmtId="0" fontId="0" fillId="0" borderId="44" pivotButton="0" quotePrefix="0" xfId="0"/>
    <xf numFmtId="0" fontId="0" fillId="0" borderId="52" pivotButton="0" quotePrefix="0" xfId="0"/>
    <xf numFmtId="0" fontId="28" fillId="4" borderId="50" applyAlignment="1" pivotButton="0" quotePrefix="0" xfId="0">
      <alignment vertical="center"/>
    </xf>
    <xf numFmtId="0" fontId="0" fillId="0" borderId="46" pivotButton="0" quotePrefix="0" xfId="0"/>
    <xf numFmtId="0" fontId="0" fillId="0" borderId="53" pivotButton="0" quotePrefix="0" xfId="0"/>
    <xf numFmtId="165" fontId="28" fillId="4" borderId="75" applyAlignment="1" pivotButton="0" quotePrefix="0" xfId="0">
      <alignment horizontal="center" vertical="center"/>
    </xf>
    <xf numFmtId="165" fontId="28" fillId="4" borderId="50" applyAlignment="1" pivotButton="0" quotePrefix="0" xfId="0">
      <alignment horizontal="center" vertical="center"/>
    </xf>
    <xf numFmtId="165" fontId="28" fillId="3" borderId="11" applyAlignment="1" pivotButton="0" quotePrefix="0" xfId="0">
      <alignment horizontal="center" vertical="center"/>
    </xf>
    <xf numFmtId="165" fontId="34" fillId="4" borderId="27" applyAlignment="1" pivotButton="0" quotePrefix="0" xfId="0">
      <alignment horizontal="center" vertical="center"/>
    </xf>
  </cellXfs>
  <cellStyles count="6">
    <cellStyle name="常规" xfId="0" builtinId="0"/>
    <cellStyle name="Normal 2 2" xfId="1"/>
    <cellStyle name="一般 5" xfId="2"/>
    <cellStyle name="解释性文本" xfId="3" builtinId="53"/>
    <cellStyle name="一般 10" xfId="4"/>
    <cellStyle name="Excel Built-in Normal" xfId="5"/>
  </cellStyles>
  <dxfs count="1363">
    <dxf>
      <fill>
        <patternFill>
          <bgColor rgb="FFFFFF99"/>
        </patternFill>
      </fill>
    </dxf>
    <dxf>
      <fill>
        <patternFill>
          <bgColor theme="2" tint="-0.09994811853389081"/>
        </patternFill>
      </fill>
    </dxf>
    <dxf>
      <fill>
        <patternFill>
          <bgColor theme="0" tint="-0.1499679555650502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rgb="FFFFFF00"/>
        </patternFill>
      </fill>
    </dxf>
    <dxf>
      <fill>
        <patternFill>
          <bgColor theme="0" tint="-0.249946592608417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2" tint="-0.09994811853389081"/>
        </patternFill>
      </fill>
    </dxf>
    <dxf>
      <fill>
        <patternFill>
          <bgColor theme="2" tint="-0.09994811853389081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theme="2" tint="-0.09994811853389081"/>
        </patternFill>
      </fill>
    </dxf>
    <dxf>
      <fill>
        <patternFill>
          <bgColor theme="0" tint="-0.1499679555650502"/>
        </patternFill>
      </fill>
    </dxf>
    <dxf>
      <fill>
        <patternFill>
          <bgColor theme="2" tint="-0.09994811853389081"/>
        </patternFill>
      </fill>
    </dxf>
    <dxf>
      <fill>
        <patternFill>
          <bgColor rgb="FFFFFF99"/>
        </patternFill>
      </fill>
    </dxf>
    <dxf>
      <fill>
        <patternFill>
          <bgColor theme="2" tint="-0.09994811853389081"/>
        </patternFill>
      </fill>
    </dxf>
    <dxf>
      <fill>
        <patternFill>
          <bgColor theme="0" tint="-0.1499679555650502"/>
        </patternFill>
      </fill>
    </dxf>
    <dxf>
      <fill>
        <patternFill>
          <bgColor theme="2" tint="-0.09994811853389081"/>
        </patternFill>
      </fill>
    </dxf>
    <dxf>
      <font>
        <color rgb="FFBFBFBF"/>
      </font>
    </dxf>
    <dxf>
      <font>
        <color rgb="FFBFBFBF"/>
      </font>
    </dxf>
    <dxf>
      <font>
        <color rgb="FFBFBFBF"/>
      </font>
    </dxf>
    <dxf>
      <font>
        <color rgb="FFBFBFBF"/>
      </font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6" tint="0.3999450666829432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FF9999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rgb="FFFFFF00"/>
        </patternFill>
      </fill>
    </dxf>
    <dxf>
      <fill>
        <patternFill>
          <bgColor theme="0" tint="-0.249946592608417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FF9999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3499862666707358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FF999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249946592608417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rgb="FFFFC000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7"/>
        </patternFill>
      </fill>
    </dxf>
    <dxf>
      <fill>
        <patternFill>
          <bgColor theme="0" tint="-0.249946592608417"/>
        </patternFill>
      </fill>
    </dxf>
    <dxf>
      <fill>
        <patternFill>
          <bgColor theme="3" tint="0.7999816888943144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249946592608417"/>
        </patternFill>
      </fill>
    </dxf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0" tint="-0.1499679555650502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FF9999"/>
        </patternFill>
      </fill>
    </dxf>
    <dxf>
      <font>
        <color rgb="FFBFBFBF"/>
      </font>
    </dxf>
    <dxf>
      <font>
        <color rgb="FFBFBFBF"/>
      </font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6" tint="0.3999450666829432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rgb="FFFFC000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7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rgb="FFFFC000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7"/>
        </patternFill>
      </fill>
    </dxf>
    <dxf>
      <fill>
        <patternFill>
          <bgColor theme="0" tint="-0.249946592608417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249946592608417"/>
        </patternFill>
      </fill>
    </dxf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FF9999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6" tint="0.5999633777886288"/>
        </patternFill>
      </fill>
    </dxf>
    <dxf>
      <fill>
        <patternFill>
          <bgColor theme="7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249946592608417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rgb="FFFFFF00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rgb="FFFFC000"/>
        </patternFill>
      </fill>
    </dxf>
    <dxf>
      <fill>
        <patternFill>
          <bgColor theme="2" tint="-0.09994811853389081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rgb="FFFFC000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1499679555650502"/>
        </patternFill>
      </fill>
    </dxf>
    <dxf>
      <fill>
        <patternFill>
          <bgColor theme="2" tint="-0.09994811853389081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6" tint="0.5999633777886288"/>
        </patternFill>
      </fill>
    </dxf>
    <dxf>
      <fill>
        <patternFill>
          <bgColor rgb="FFFFC000"/>
        </patternFill>
      </fill>
    </dxf>
    <dxf>
      <font>
        <color rgb="FFBFBFBF"/>
      </font>
    </dxf>
    <dxf>
      <font>
        <color rgb="FFBFBFBF"/>
      </font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6" tint="0.3999450666829432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6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rgb="FFFFC000"/>
        </patternFill>
      </fill>
    </dxf>
    <dxf>
      <fill>
        <patternFill>
          <bgColor theme="2" tint="-0.09994811853389081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rgb="FFFFC000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6" tint="0.5999633777886288"/>
        </patternFill>
      </fill>
    </dxf>
    <dxf>
      <fill>
        <patternFill>
          <bgColor rgb="FFFFC000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FF9999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3" tint="0.7999816888943144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8" tint="0.7999816888943144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249946592608417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FFFF"/>
        </patternFill>
      </fill>
    </dxf>
    <dxf>
      <fill>
        <patternFill>
          <bgColor theme="0" tint="-0.3499862666707358"/>
        </patternFill>
      </fill>
    </dxf>
    <dxf>
      <fill>
        <patternFill>
          <bgColor theme="5" tint="0.5999633777886288"/>
        </patternFill>
      </fill>
    </dxf>
    <dxf>
      <fill>
        <patternFill>
          <bgColor theme="3" tint="0.799981688894314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249946592608417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653143</colOff>
      <row>0</row>
      <rowOff>81642</rowOff>
    </from>
    <to>
      <col>3</col>
      <colOff>36763</colOff>
      <row>3</row>
      <rowOff>10797</rowOff>
    </to>
    <pic>
      <nvPicPr>
        <cNvPr id="4" name="圖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75607" y="81642"/>
          <a:ext cx="1438299" cy="7455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2</col>
      <colOff>31750</colOff>
      <row>0</row>
      <rowOff>88446</rowOff>
    </from>
    <to>
      <col>2</col>
      <colOff>1488684</colOff>
      <row>2</row>
      <rowOff>259442</rowOff>
    </to>
    <pic>
      <nvPicPr>
        <cNvPr id="2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4571" y="88446"/>
          <a:ext cx="1456934" cy="71528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621393</colOff>
      <row>0</row>
      <rowOff>104321</rowOff>
    </from>
    <to>
      <col>3</col>
      <colOff>76716</colOff>
      <row>3</row>
      <rowOff>6349</rowOff>
    </to>
    <pic>
      <nvPicPr>
        <cNvPr id="2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30250" y="104321"/>
          <a:ext cx="1578037" cy="71845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C53"/>
  <sheetViews>
    <sheetView tabSelected="1" view="pageBreakPreview" zoomScale="60" zoomScaleNormal="70" workbookViewId="0">
      <pane xSplit="8" ySplit="7" topLeftCell="I8" activePane="bottomRight" state="frozen"/>
      <selection pane="topRight" activeCell="H1" sqref="H1"/>
      <selection pane="bottomLeft" activeCell="A5" sqref="A5"/>
      <selection pane="bottomRight" activeCell="AK39" sqref="AK39"/>
    </sheetView>
  </sheetViews>
  <sheetFormatPr baseColWidth="8" defaultColWidth="9" defaultRowHeight="21"/>
  <cols>
    <col width="1.625" customWidth="1" style="12" min="1" max="1"/>
    <col width="9" customWidth="1" style="31" min="2" max="2"/>
    <col width="18" customWidth="1" style="32" min="3" max="3"/>
    <col width="19.25" customWidth="1" style="32" min="4" max="4"/>
    <col hidden="1" outlineLevel="1" width="7.625" customWidth="1" style="32" min="5" max="5"/>
    <col hidden="1" outlineLevel="1" width="15.5" customWidth="1" style="32" min="6" max="6"/>
    <col hidden="1" outlineLevel="1" width="13.375" customWidth="1" style="32" min="7" max="7"/>
    <col collapsed="1" width="8.375" customWidth="1" style="31" min="8" max="8"/>
    <col width="6.625" customWidth="1" style="31" min="9" max="31"/>
    <col width="6.625" customWidth="1" style="38" min="32" max="35"/>
    <col width="6.625" customWidth="1" style="31" min="36" max="39"/>
    <col width="9.625" customWidth="1" style="32" min="40" max="41"/>
    <col hidden="1" outlineLevel="1" width="9.5" customWidth="1" style="12" min="42" max="42"/>
    <col hidden="1" outlineLevel="1" width="9" customWidth="1" style="12" min="43" max="55"/>
    <col collapsed="1" width="9" customWidth="1" style="12" min="56" max="56"/>
    <col width="9" customWidth="1" style="12" min="57" max="16384"/>
  </cols>
  <sheetData>
    <row r="1" ht="21.95" customHeight="1" s="459">
      <c r="B1" s="411" t="inlineStr">
        <is>
          <t>泓 建 物 業 管 理 有 限 公 司</t>
        </is>
      </c>
    </row>
    <row r="2" ht="21.95" customHeight="1" s="459">
      <c r="B2" s="411" t="inlineStr">
        <is>
          <t>Pacific Extend Properties Management Limited</t>
        </is>
      </c>
    </row>
    <row r="3" ht="21.95" customHeight="1" s="459">
      <c r="B3" s="411">
        <f>YEAR(P6)&amp;"年"&amp;MONTH(P6)&amp;"月保安出勤及休假記錄  (早更 07:30 - 15:30)"</f>
        <v/>
      </c>
    </row>
    <row r="4" ht="21.95" customHeight="1" s="459">
      <c r="C4" s="33" t="inlineStr">
        <is>
          <t>(C - 352108)</t>
        </is>
      </c>
      <c r="I4" s="88" t="n"/>
      <c r="J4" s="88" t="n"/>
      <c r="K4" s="88" t="n"/>
      <c r="L4" s="88" t="n"/>
      <c r="M4" s="88" t="n"/>
      <c r="N4" s="88" t="n"/>
      <c r="O4" s="412" t="inlineStr">
        <is>
          <t>東匯邨</t>
        </is>
      </c>
      <c r="Z4" s="88" t="n"/>
      <c r="AA4" s="88" t="n"/>
      <c r="AB4" s="88" t="n"/>
      <c r="AC4" s="88" t="n"/>
      <c r="AD4" s="88" t="n"/>
      <c r="AE4" s="88" t="n"/>
      <c r="AF4" s="88" t="n"/>
      <c r="AG4" s="88" t="n"/>
      <c r="AH4" s="88" t="n"/>
      <c r="AI4" s="88" t="n"/>
      <c r="AJ4" s="88" t="n"/>
      <c r="AK4" s="88" t="n"/>
      <c r="AL4" s="88" t="n"/>
      <c r="AM4" s="34" t="n"/>
      <c r="AN4" s="34" t="n"/>
    </row>
    <row r="5" ht="21.95" customHeight="1" s="459" thickBot="1">
      <c r="B5" s="89" t="inlineStr">
        <is>
          <t>1. 保安主管出勤時數</t>
        </is>
      </c>
      <c r="C5" s="90" t="n"/>
      <c r="D5" s="90" t="n"/>
      <c r="E5" s="90" t="n"/>
      <c r="F5" s="90" t="n"/>
      <c r="G5" s="90" t="n"/>
      <c r="H5" s="91" t="n"/>
      <c r="I5" s="91" t="n"/>
      <c r="J5" s="91" t="n"/>
      <c r="K5" s="91" t="n"/>
      <c r="L5" s="91" t="n"/>
      <c r="M5" s="91" t="n"/>
      <c r="N5" s="91" t="n"/>
      <c r="O5" s="91" t="n"/>
      <c r="P5" s="91" t="n"/>
      <c r="Q5" s="91" t="n"/>
      <c r="R5" s="91" t="n"/>
      <c r="S5" s="91" t="n"/>
      <c r="T5" s="91" t="n"/>
      <c r="U5" s="91" t="n"/>
      <c r="V5" s="91" t="n"/>
      <c r="W5" s="91" t="n"/>
      <c r="X5" s="91" t="n"/>
      <c r="Y5" s="91" t="n"/>
      <c r="Z5" s="91" t="n"/>
      <c r="AA5" s="91" t="n"/>
      <c r="AB5" s="91" t="n"/>
      <c r="AC5" s="91" t="n"/>
      <c r="AD5" s="91" t="n"/>
      <c r="AE5" s="91" t="n"/>
      <c r="AF5" s="91" t="n"/>
      <c r="AG5" s="91" t="n"/>
      <c r="AH5" s="91" t="n"/>
      <c r="AI5" s="91" t="n"/>
      <c r="AJ5" s="91" t="n"/>
      <c r="AK5" s="91" t="n"/>
      <c r="AL5" s="91" t="n"/>
      <c r="AM5" s="90" t="n"/>
      <c r="AN5" s="90" t="n"/>
    </row>
    <row r="6" ht="21.75" customHeight="1" s="459">
      <c r="B6" s="92" t="n"/>
      <c r="C6" s="93" t="n"/>
      <c r="D6" s="460" t="n">
        <v>46113</v>
      </c>
      <c r="E6" s="95" t="n"/>
      <c r="F6" s="96" t="n"/>
      <c r="G6" s="97" t="n"/>
      <c r="H6" s="92" t="n"/>
      <c r="I6" s="461" t="n">
        <v>46082</v>
      </c>
      <c r="J6" s="461">
        <f>I6+1</f>
        <v/>
      </c>
      <c r="K6" s="461">
        <f>J6+1</f>
        <v/>
      </c>
      <c r="L6" s="461">
        <f>K6+1</f>
        <v/>
      </c>
      <c r="M6" s="461">
        <f>L6+1</f>
        <v/>
      </c>
      <c r="N6" s="461">
        <f>M6+1</f>
        <v/>
      </c>
      <c r="O6" s="461">
        <f>N6+1</f>
        <v/>
      </c>
      <c r="P6" s="461">
        <f>O6+1</f>
        <v/>
      </c>
      <c r="Q6" s="461">
        <f>P6+1</f>
        <v/>
      </c>
      <c r="R6" s="461">
        <f>Q6+1</f>
        <v/>
      </c>
      <c r="S6" s="461">
        <f>R6+1</f>
        <v/>
      </c>
      <c r="T6" s="461">
        <f>S6+1</f>
        <v/>
      </c>
      <c r="U6" s="461">
        <f>T6+1</f>
        <v/>
      </c>
      <c r="V6" s="461">
        <f>U6+1</f>
        <v/>
      </c>
      <c r="W6" s="461">
        <f>V6+1</f>
        <v/>
      </c>
      <c r="X6" s="461">
        <f>W6+1</f>
        <v/>
      </c>
      <c r="Y6" s="461">
        <f>X6+1</f>
        <v/>
      </c>
      <c r="Z6" s="461">
        <f>Y6+1</f>
        <v/>
      </c>
      <c r="AA6" s="461">
        <f>Z6+1</f>
        <v/>
      </c>
      <c r="AB6" s="461">
        <f>AA6+1</f>
        <v/>
      </c>
      <c r="AC6" s="461">
        <f>AB6+1</f>
        <v/>
      </c>
      <c r="AD6" s="461">
        <f>AC6+1</f>
        <v/>
      </c>
      <c r="AE6" s="461">
        <f>AD6+1</f>
        <v/>
      </c>
      <c r="AF6" s="461">
        <f>AE6+1</f>
        <v/>
      </c>
      <c r="AG6" s="461">
        <f>AF6+1</f>
        <v/>
      </c>
      <c r="AH6" s="461">
        <f>AH6+1</f>
        <v/>
      </c>
      <c r="AI6" s="461">
        <f>AH6+1</f>
        <v/>
      </c>
      <c r="AJ6" s="461">
        <f>AI6+1</f>
        <v/>
      </c>
      <c r="AK6" s="461">
        <f>AJ6+1</f>
        <v/>
      </c>
      <c r="AL6" s="462">
        <f>AK6+1</f>
        <v/>
      </c>
      <c r="AM6" s="463" t="inlineStr">
        <is>
          <t>工作總
日數</t>
        </is>
      </c>
      <c r="AN6" s="464" t="inlineStr">
        <is>
          <t>工作總
時數</t>
        </is>
      </c>
      <c r="AO6" s="328" t="inlineStr">
        <is>
          <t>NSH/SH</t>
        </is>
      </c>
      <c r="AP6" s="57" t="inlineStr">
        <is>
          <t>RD</t>
        </is>
      </c>
      <c r="AQ6" s="57" t="inlineStr">
        <is>
          <t>NP</t>
        </is>
      </c>
      <c r="AR6" s="57" t="inlineStr">
        <is>
          <t>SL</t>
        </is>
      </c>
      <c r="AS6" s="79" t="inlineStr">
        <is>
          <t>AL</t>
        </is>
      </c>
      <c r="AT6" s="43" t="inlineStr">
        <is>
          <t>RD</t>
        </is>
      </c>
      <c r="AU6" s="16" t="inlineStr">
        <is>
          <t>RD</t>
        </is>
      </c>
      <c r="AV6" s="29" t="inlineStr">
        <is>
          <t>OT</t>
        </is>
      </c>
      <c r="AW6" s="16" t="inlineStr">
        <is>
          <t>NSH</t>
        </is>
      </c>
      <c r="AX6" s="17" t="inlineStr">
        <is>
          <t>SL</t>
        </is>
      </c>
      <c r="AY6" s="16" t="inlineStr">
        <is>
          <t>NP</t>
        </is>
      </c>
      <c r="AZ6" s="16" t="inlineStr">
        <is>
          <t>AL</t>
        </is>
      </c>
      <c r="BA6" s="16" t="inlineStr">
        <is>
          <t>NC</t>
        </is>
      </c>
      <c r="BB6" s="465" t="inlineStr">
        <is>
          <t>已放年假</t>
        </is>
      </c>
    </row>
    <row r="7" ht="21.95" customHeight="1" s="459" thickBot="1">
      <c r="B7" s="102" t="inlineStr">
        <is>
          <t>排位</t>
        </is>
      </c>
      <c r="C7" s="102" t="inlineStr">
        <is>
          <t>員工編號</t>
        </is>
      </c>
      <c r="D7" s="103" t="inlineStr">
        <is>
          <t>姓名</t>
        </is>
      </c>
      <c r="E7" s="104" t="inlineStr">
        <is>
          <t>Rank</t>
        </is>
      </c>
      <c r="F7" s="105" t="inlineStr">
        <is>
          <t>職銜</t>
        </is>
      </c>
      <c r="G7" s="106" t="inlineStr">
        <is>
          <t>工作時數</t>
        </is>
      </c>
      <c r="H7" s="102" t="inlineStr">
        <is>
          <t>更份</t>
        </is>
      </c>
      <c r="I7" s="466">
        <f>SUBSTITUTE(TEXT(I6,"aaa"),"週","")</f>
        <v/>
      </c>
      <c r="J7" s="466">
        <f>SUBSTITUTE(TEXT(J6,"aaa"),"週","")</f>
        <v/>
      </c>
      <c r="K7" s="466">
        <f>SUBSTITUTE(TEXT(K6,"aaa"),"週","")</f>
        <v/>
      </c>
      <c r="L7" s="466">
        <f>SUBSTITUTE(TEXT(L6,"aaa"),"週","")</f>
        <v/>
      </c>
      <c r="M7" s="466">
        <f>SUBSTITUTE(TEXT(M6,"aaa"),"週","")</f>
        <v/>
      </c>
      <c r="N7" s="466">
        <f>SUBSTITUTE(TEXT(N6,"aaa"),"週","")</f>
        <v/>
      </c>
      <c r="O7" s="466">
        <f>SUBSTITUTE(TEXT(O6,"aaa"),"週","")</f>
        <v/>
      </c>
      <c r="P7" s="466">
        <f>SUBSTITUTE(TEXT(P6,"aaa"),"週","")</f>
        <v/>
      </c>
      <c r="Q7" s="466">
        <f>SUBSTITUTE(TEXT(Q6,"aaa"),"週","")</f>
        <v/>
      </c>
      <c r="R7" s="466">
        <f>SUBSTITUTE(TEXT(R6,"aaa"),"週","")</f>
        <v/>
      </c>
      <c r="S7" s="466">
        <f>SUBSTITUTE(TEXT(S6,"aaa"),"週","")</f>
        <v/>
      </c>
      <c r="T7" s="466">
        <f>SUBSTITUTE(TEXT(T6,"aaa"),"週","")</f>
        <v/>
      </c>
      <c r="U7" s="466">
        <f>SUBSTITUTE(TEXT(U6,"aaa"),"週","")</f>
        <v/>
      </c>
      <c r="V7" s="466">
        <f>SUBSTITUTE(TEXT(V6,"aaa"),"週","")</f>
        <v/>
      </c>
      <c r="W7" s="466">
        <f>SUBSTITUTE(TEXT(W6,"aaa"),"週","")</f>
        <v/>
      </c>
      <c r="X7" s="466">
        <f>SUBSTITUTE(TEXT(X6,"aaa"),"週","")</f>
        <v/>
      </c>
      <c r="Y7" s="466">
        <f>SUBSTITUTE(TEXT(Y6,"aaa"),"週","")</f>
        <v/>
      </c>
      <c r="Z7" s="466">
        <f>SUBSTITUTE(TEXT(Z6,"aaa"),"週","")</f>
        <v/>
      </c>
      <c r="AA7" s="466">
        <f>SUBSTITUTE(TEXT(AA6,"aaa"),"週","")</f>
        <v/>
      </c>
      <c r="AB7" s="466">
        <f>SUBSTITUTE(TEXT(AB6,"aaa"),"週","")</f>
        <v/>
      </c>
      <c r="AC7" s="466">
        <f>SUBSTITUTE(TEXT(AC6,"aaa"),"週","")</f>
        <v/>
      </c>
      <c r="AD7" s="466">
        <f>SUBSTITUTE(TEXT(AD6,"aaa"),"週","")</f>
        <v/>
      </c>
      <c r="AE7" s="466">
        <f>SUBSTITUTE(TEXT(AE6,"aaa"),"週","")</f>
        <v/>
      </c>
      <c r="AF7" s="466">
        <f>SUBSTITUTE(TEXT(AF6,"aaa"),"週","")</f>
        <v/>
      </c>
      <c r="AG7" s="466">
        <f>SUBSTITUTE(TEXT(AG6,"aaa"),"週","")</f>
        <v/>
      </c>
      <c r="AH7" s="466">
        <f>SUBSTITUTE(TEXT(AH6,"aaa"),"週","")</f>
        <v/>
      </c>
      <c r="AI7" s="466">
        <f>SUBSTITUTE(TEXT(AI6,"aaa"),"週","")</f>
        <v/>
      </c>
      <c r="AJ7" s="466">
        <f>SUBSTITUTE(TEXT(AJ6,"aaa"),"週","")</f>
        <v/>
      </c>
      <c r="AK7" s="466">
        <f>SUBSTITUTE(TEXT(AK6,"aaa"),"週","")</f>
        <v/>
      </c>
      <c r="AL7" s="467" t="n"/>
      <c r="AM7" s="468" t="n"/>
      <c r="AN7" s="468" t="n"/>
      <c r="AO7" s="329" t="inlineStr">
        <is>
          <t>法定假期</t>
        </is>
      </c>
      <c r="AP7" s="59" t="inlineStr">
        <is>
          <t>例假</t>
        </is>
      </c>
      <c r="AQ7" s="59" t="inlineStr">
        <is>
          <t>無薪假</t>
        </is>
      </c>
      <c r="AR7" s="59" t="inlineStr">
        <is>
          <t>病假</t>
        </is>
      </c>
      <c r="AS7" s="80" t="inlineStr">
        <is>
          <t>年假</t>
        </is>
      </c>
      <c r="AT7" s="47" t="inlineStr">
        <is>
          <t>享有</t>
        </is>
      </c>
      <c r="AU7" s="19" t="inlineStr">
        <is>
          <t>已放</t>
        </is>
      </c>
      <c r="AV7" s="20" t="n"/>
      <c r="AW7" s="19" t="inlineStr">
        <is>
          <t>已放</t>
        </is>
      </c>
      <c r="AX7" s="19" t="inlineStr">
        <is>
          <t>已放</t>
        </is>
      </c>
      <c r="AY7" s="21" t="inlineStr">
        <is>
          <t>已放</t>
        </is>
      </c>
      <c r="AZ7" s="21" t="inlineStr">
        <is>
          <t>已放</t>
        </is>
      </c>
      <c r="BA7" s="469" t="n"/>
      <c r="BB7" s="467" t="n"/>
    </row>
    <row r="8" ht="21.95" customFormat="1" customHeight="1" s="1">
      <c r="B8" s="308" t="inlineStr">
        <is>
          <t>M01</t>
        </is>
      </c>
      <c r="C8" s="233" t="n">
        <v>4940</v>
      </c>
      <c r="D8" s="311" t="inlineStr">
        <is>
          <t>葉榮駿</t>
        </is>
      </c>
      <c r="E8" s="109" t="inlineStr">
        <is>
          <t>GS</t>
        </is>
      </c>
      <c r="F8" s="110" t="inlineStr">
        <is>
          <t>SECU_SUPR</t>
        </is>
      </c>
      <c r="G8" s="111" t="n">
        <v>8</v>
      </c>
      <c r="H8" s="112" t="inlineStr">
        <is>
          <t>早</t>
        </is>
      </c>
      <c r="I8" s="113" t="n">
        <v>8</v>
      </c>
      <c r="J8" s="114" t="n">
        <v>8</v>
      </c>
      <c r="K8" s="114" t="n">
        <v>8</v>
      </c>
      <c r="L8" s="114" t="n">
        <v>8</v>
      </c>
      <c r="M8" s="114" t="n">
        <v>8</v>
      </c>
      <c r="N8" s="114" t="inlineStr">
        <is>
          <t>RD</t>
        </is>
      </c>
      <c r="O8" s="114" t="n">
        <v>8</v>
      </c>
      <c r="P8" s="114" t="n">
        <v>8</v>
      </c>
      <c r="Q8" s="114" t="n">
        <v>8</v>
      </c>
      <c r="R8" s="114" t="n">
        <v>8</v>
      </c>
      <c r="S8" s="114" t="n">
        <v>8</v>
      </c>
      <c r="T8" s="114" t="n">
        <v>8</v>
      </c>
      <c r="U8" s="114" t="n">
        <v>8</v>
      </c>
      <c r="V8" s="114" t="n">
        <v>8</v>
      </c>
      <c r="W8" s="114" t="n">
        <v>8</v>
      </c>
      <c r="X8" s="114" t="inlineStr">
        <is>
          <t>NSH</t>
        </is>
      </c>
      <c r="Y8" s="114" t="n">
        <v>8</v>
      </c>
      <c r="Z8" s="114" t="n">
        <v>8</v>
      </c>
      <c r="AA8" s="114" t="n">
        <v>8</v>
      </c>
      <c r="AB8" s="114" t="n">
        <v>8</v>
      </c>
      <c r="AC8" s="114" t="n">
        <v>8</v>
      </c>
      <c r="AD8" s="114" t="n">
        <v>8</v>
      </c>
      <c r="AE8" s="115" t="inlineStr">
        <is>
          <t>NSH</t>
        </is>
      </c>
      <c r="AF8" s="114" t="n">
        <v>8</v>
      </c>
      <c r="AG8" s="114" t="n">
        <v>8</v>
      </c>
      <c r="AH8" s="114" t="inlineStr">
        <is>
          <t>NSH</t>
        </is>
      </c>
      <c r="AI8" s="114" t="n">
        <v>8</v>
      </c>
      <c r="AJ8" s="114" t="n">
        <v>8</v>
      </c>
      <c r="AK8" s="114" t="inlineStr">
        <is>
          <t>NSH</t>
        </is>
      </c>
      <c r="AL8" s="116" t="n">
        <v>8</v>
      </c>
      <c r="AM8" s="390">
        <f>COUNT(I8:AL8)</f>
        <v/>
      </c>
      <c r="AN8" s="117">
        <f>SUM(I8:AL8)</f>
        <v/>
      </c>
      <c r="AO8" s="330">
        <f>COUNTIFS($I8:$AL8,"SH")+COUNTIFS($I8:$AL8,"NSH")</f>
        <v/>
      </c>
      <c r="AP8" s="3">
        <f>COUNTIFS($I8:$AL8,#REF!)</f>
        <v/>
      </c>
      <c r="AQ8" s="3">
        <f>COUNTIFS($I8:$AL8,#REF!)</f>
        <v/>
      </c>
      <c r="AR8" s="3">
        <f>COUNTIFS($I8:$AL8,#REF!)</f>
        <v/>
      </c>
      <c r="AS8" s="76">
        <f>COUNTIFS($I8:$AL8,#REF!)</f>
        <v/>
      </c>
      <c r="AT8" s="74">
        <f>#REF!</f>
        <v/>
      </c>
      <c r="AU8" s="6">
        <f>COUNTIF(W8:AN8,"RD")</f>
        <v/>
      </c>
      <c r="AV8" s="6">
        <f>AT8-AU8</f>
        <v/>
      </c>
      <c r="AW8" s="6">
        <f>COUNTIF(W8:AN8,"SH")</f>
        <v/>
      </c>
      <c r="AX8" s="6">
        <f>COUNTIF(W8:AN8,"SL")</f>
        <v/>
      </c>
      <c r="AY8" s="6">
        <f>COUNTIF(W8:AN8,"np")</f>
        <v/>
      </c>
      <c r="AZ8" s="6">
        <f>COUNTIF(W8:AN8,"AL*")</f>
        <v/>
      </c>
      <c r="BA8" s="6">
        <f>COUNTIF(W8:AN8,"NC*")</f>
        <v/>
      </c>
      <c r="BB8" s="65" t="n"/>
    </row>
    <row r="9" ht="21.95" customFormat="1" customHeight="1" s="1">
      <c r="B9" s="309" t="inlineStr">
        <is>
          <t>M02</t>
        </is>
      </c>
      <c r="C9" s="237" t="n">
        <v>4950</v>
      </c>
      <c r="D9" s="240" t="inlineStr">
        <is>
          <t>鄧華媚</t>
        </is>
      </c>
      <c r="E9" s="109" t="inlineStr">
        <is>
          <t>GS</t>
        </is>
      </c>
      <c r="F9" s="110" t="inlineStr">
        <is>
          <t>SECU_SUPR</t>
        </is>
      </c>
      <c r="G9" s="111" t="n">
        <v>8</v>
      </c>
      <c r="H9" s="112" t="inlineStr">
        <is>
          <t>早</t>
        </is>
      </c>
      <c r="I9" s="120" t="inlineStr">
        <is>
          <t>RD</t>
        </is>
      </c>
      <c r="J9" s="121" t="n">
        <v>8</v>
      </c>
      <c r="K9" s="121" t="n">
        <v>8</v>
      </c>
      <c r="L9" s="121" t="n">
        <v>8</v>
      </c>
      <c r="M9" s="121" t="n">
        <v>8</v>
      </c>
      <c r="N9" s="121" t="n">
        <v>8</v>
      </c>
      <c r="O9" s="121" t="n">
        <v>8</v>
      </c>
      <c r="P9" s="121" t="inlineStr">
        <is>
          <t>NSH</t>
        </is>
      </c>
      <c r="Q9" s="121" t="n">
        <v>8</v>
      </c>
      <c r="R9" s="121" t="n">
        <v>8</v>
      </c>
      <c r="S9" s="121" t="n">
        <v>8</v>
      </c>
      <c r="T9" s="121" t="n">
        <v>8</v>
      </c>
      <c r="U9" s="121" t="n">
        <v>8</v>
      </c>
      <c r="V9" s="121" t="inlineStr">
        <is>
          <t>NSH</t>
        </is>
      </c>
      <c r="W9" s="121" t="n">
        <v>8</v>
      </c>
      <c r="X9" s="121" t="n">
        <v>8</v>
      </c>
      <c r="Y9" s="121" t="n">
        <v>8</v>
      </c>
      <c r="Z9" s="121" t="n">
        <v>8</v>
      </c>
      <c r="AA9" s="121" t="n">
        <v>8</v>
      </c>
      <c r="AB9" s="121" t="n">
        <v>8</v>
      </c>
      <c r="AC9" s="121" t="n">
        <v>8</v>
      </c>
      <c r="AD9" s="121" t="n">
        <v>8</v>
      </c>
      <c r="AE9" s="121" t="n">
        <v>8</v>
      </c>
      <c r="AF9" s="121" t="n">
        <v>8</v>
      </c>
      <c r="AG9" s="122" t="inlineStr">
        <is>
          <t>NSH</t>
        </is>
      </c>
      <c r="AH9" s="121" t="n">
        <v>8</v>
      </c>
      <c r="AI9" s="122" t="inlineStr">
        <is>
          <t>NSH</t>
        </is>
      </c>
      <c r="AJ9" s="121" t="n">
        <v>8</v>
      </c>
      <c r="AK9" s="121" t="n">
        <v>8</v>
      </c>
      <c r="AL9" s="123" t="n">
        <v>8</v>
      </c>
      <c r="AM9" s="390">
        <f>COUNT(I9:AL9)</f>
        <v/>
      </c>
      <c r="AN9" s="117">
        <f>SUM(I9:AL9)</f>
        <v/>
      </c>
      <c r="AO9" s="331">
        <f>COUNTIFS($I9:$AL9,"SH")+COUNTIFS($I9:$AL9,"NSH")</f>
        <v/>
      </c>
      <c r="AP9" s="7">
        <f>COUNTIFS($I9:$AL9,#REF!)</f>
        <v/>
      </c>
      <c r="AQ9" s="7">
        <f>COUNTIFS($I9:$AL9,#REF!)</f>
        <v/>
      </c>
      <c r="AR9" s="7">
        <f>COUNTIFS($I9:$AL9,#REF!)</f>
        <v/>
      </c>
      <c r="AS9" s="9">
        <f>COUNTIFS($I9:$AL9,#REF!)</f>
        <v/>
      </c>
      <c r="AT9" s="46">
        <f>#REF!</f>
        <v/>
      </c>
      <c r="AU9" s="8">
        <f>COUNTIF(W9:AN9,"RD")</f>
        <v/>
      </c>
      <c r="AV9" s="8">
        <f>AT9-AU9</f>
        <v/>
      </c>
      <c r="AW9" s="8">
        <f>COUNTIF(W9:AN9,"SH")</f>
        <v/>
      </c>
      <c r="AX9" s="8">
        <f>COUNTIF(W9:AN9,"SL")</f>
        <v/>
      </c>
      <c r="AY9" s="8">
        <f>COUNTIF(W9:AN9,"np")</f>
        <v/>
      </c>
      <c r="AZ9" s="8">
        <f>COUNTIF(W9:AN9,"AL*")</f>
        <v/>
      </c>
      <c r="BA9" s="8">
        <f>COUNTIF(W9:AN9,"NC*")</f>
        <v/>
      </c>
      <c r="BB9" s="63" t="n"/>
    </row>
    <row r="10" ht="21.95" customFormat="1" customHeight="1" s="1" thickBot="1">
      <c r="B10" s="310" t="inlineStr">
        <is>
          <t>M03</t>
        </is>
      </c>
      <c r="C10" s="102" t="n">
        <v>4941</v>
      </c>
      <c r="D10" s="312" t="inlineStr">
        <is>
          <t>成小紅</t>
        </is>
      </c>
      <c r="E10" s="124" t="inlineStr">
        <is>
          <t>SG/G</t>
        </is>
      </c>
      <c r="F10" s="125" t="inlineStr">
        <is>
          <t>SECU_G(D)</t>
        </is>
      </c>
      <c r="G10" s="126" t="n">
        <v>8</v>
      </c>
      <c r="H10" s="127" t="inlineStr">
        <is>
          <t>早</t>
        </is>
      </c>
      <c r="I10" s="128" t="n">
        <v>8</v>
      </c>
      <c r="J10" s="129" t="inlineStr">
        <is>
          <t>SG</t>
        </is>
      </c>
      <c r="K10" s="130" t="inlineStr">
        <is>
          <t>NSH</t>
        </is>
      </c>
      <c r="L10" s="130" t="inlineStr">
        <is>
          <t>NSH</t>
        </is>
      </c>
      <c r="M10" s="130" t="inlineStr">
        <is>
          <t>NSH</t>
        </is>
      </c>
      <c r="N10" s="129" t="n">
        <v>8</v>
      </c>
      <c r="O10" s="129" t="inlineStr">
        <is>
          <t>SG</t>
        </is>
      </c>
      <c r="P10" s="129" t="n">
        <v>8</v>
      </c>
      <c r="Q10" s="129" t="inlineStr">
        <is>
          <t>SG</t>
        </is>
      </c>
      <c r="R10" s="129" t="inlineStr">
        <is>
          <t>SG</t>
        </is>
      </c>
      <c r="S10" s="129" t="inlineStr">
        <is>
          <t>SG</t>
        </is>
      </c>
      <c r="T10" s="129" t="inlineStr">
        <is>
          <t>SG</t>
        </is>
      </c>
      <c r="U10" s="129" t="inlineStr">
        <is>
          <t>SG</t>
        </is>
      </c>
      <c r="V10" s="129" t="n">
        <v>8</v>
      </c>
      <c r="W10" s="129" t="inlineStr">
        <is>
          <t>SG</t>
        </is>
      </c>
      <c r="X10" s="129" t="n">
        <v>8</v>
      </c>
      <c r="Y10" s="129" t="inlineStr">
        <is>
          <t>SG</t>
        </is>
      </c>
      <c r="Z10" s="129" t="inlineStr">
        <is>
          <t>SG</t>
        </is>
      </c>
      <c r="AA10" s="129" t="inlineStr">
        <is>
          <t>RD</t>
        </is>
      </c>
      <c r="AB10" s="129" t="inlineStr">
        <is>
          <t>SG</t>
        </is>
      </c>
      <c r="AC10" s="129" t="inlineStr">
        <is>
          <t>SG</t>
        </is>
      </c>
      <c r="AD10" s="129" t="inlineStr">
        <is>
          <t>SG</t>
        </is>
      </c>
      <c r="AE10" s="129" t="n">
        <v>8</v>
      </c>
      <c r="AF10" s="129" t="inlineStr">
        <is>
          <t>SG</t>
        </is>
      </c>
      <c r="AG10" s="129" t="n">
        <v>8</v>
      </c>
      <c r="AH10" s="129" t="n">
        <v>8</v>
      </c>
      <c r="AI10" s="129" t="n">
        <v>8</v>
      </c>
      <c r="AJ10" s="129" t="inlineStr">
        <is>
          <t>SG</t>
        </is>
      </c>
      <c r="AK10" s="129" t="n">
        <v>8</v>
      </c>
      <c r="AL10" s="131" t="inlineStr">
        <is>
          <t>SG</t>
        </is>
      </c>
      <c r="AM10" s="343">
        <f>COUNT(I10:AL10)</f>
        <v/>
      </c>
      <c r="AN10" s="132">
        <f>SUM(I10:AL10)</f>
        <v/>
      </c>
      <c r="AO10" s="332">
        <f>COUNTIFS($I10:$AL10,"SH")+COUNTIFS($I10:$AL10,"NSH")</f>
        <v/>
      </c>
      <c r="AP10" s="4">
        <f>COUNTIFS($I10:$AL10,#REF!)</f>
        <v/>
      </c>
      <c r="AQ10" s="4">
        <f>COUNTIFS($I10:$AL10,#REF!)</f>
        <v/>
      </c>
      <c r="AR10" s="4">
        <f>COUNTIFS($I10:$AL10,#REF!)</f>
        <v/>
      </c>
      <c r="AS10" s="81">
        <f>COUNTIFS($I10:$AL10,#REF!)</f>
        <v/>
      </c>
      <c r="AT10" s="75">
        <f>#REF!</f>
        <v/>
      </c>
      <c r="AU10" s="20">
        <f>COUNTIF(W10:AN10,"RD")</f>
        <v/>
      </c>
      <c r="AV10" s="20">
        <f>AT10-AU10</f>
        <v/>
      </c>
      <c r="AW10" s="20">
        <f>COUNTIF(W10:AN10,"SH")</f>
        <v/>
      </c>
      <c r="AX10" s="20">
        <f>COUNTIF(W10:AN10,"SL")</f>
        <v/>
      </c>
      <c r="AY10" s="20">
        <f>COUNTIF(W10:AN10,"np")</f>
        <v/>
      </c>
      <c r="AZ10" s="20">
        <f>COUNTIF(W10:AN10,"AL*")</f>
        <v/>
      </c>
      <c r="BA10" s="20">
        <f>COUNTIF(W10:AN10,"NC*")</f>
        <v/>
      </c>
      <c r="BB10" s="64" t="n"/>
    </row>
    <row r="11" ht="21.95" customFormat="1" customHeight="1" s="1" thickBot="1">
      <c r="B11" s="333" t="n"/>
      <c r="C11" s="90" t="n"/>
      <c r="D11" s="90" t="n"/>
      <c r="E11" s="90" t="n"/>
      <c r="F11" s="90" t="n"/>
      <c r="G11" s="90" t="n"/>
      <c r="H11" s="90" t="n"/>
      <c r="I11" s="133" t="n"/>
      <c r="J11" s="133" t="n"/>
      <c r="K11" s="133" t="n"/>
      <c r="L11" s="133" t="n"/>
      <c r="M11" s="133" t="n"/>
      <c r="N11" s="133" t="n"/>
      <c r="O11" s="133" t="n"/>
      <c r="P11" s="133" t="n"/>
      <c r="Q11" s="133" t="n"/>
      <c r="R11" s="133" t="n"/>
      <c r="S11" s="133" t="n"/>
      <c r="T11" s="133" t="n"/>
      <c r="U11" s="133" t="n"/>
      <c r="V11" s="133" t="n"/>
      <c r="W11" s="133" t="n"/>
      <c r="X11" s="133" t="n"/>
      <c r="Y11" s="133" t="n"/>
      <c r="Z11" s="90" t="n"/>
      <c r="AA11" s="133" t="n"/>
      <c r="AB11" s="133" t="n"/>
      <c r="AC11" s="133" t="n"/>
      <c r="AD11" s="133" t="n"/>
      <c r="AE11" s="133" t="n"/>
      <c r="AF11" s="133" t="n"/>
      <c r="AG11" s="133" t="n"/>
      <c r="AH11" s="133" t="n"/>
      <c r="AI11" s="133" t="n"/>
      <c r="AJ11" s="133" t="n"/>
      <c r="AK11" s="133" t="n"/>
      <c r="AL11" s="133" t="n"/>
      <c r="AM11" s="134">
        <f>SUM(AM8:AM10)</f>
        <v/>
      </c>
      <c r="AN11" s="135">
        <f>SUM(AN8:AN10)</f>
        <v/>
      </c>
    </row>
    <row r="12" ht="21.95" customFormat="1" customHeight="1" s="1" thickBot="1">
      <c r="B12" s="333" t="n"/>
      <c r="C12" s="90" t="n"/>
      <c r="D12" s="90" t="n"/>
      <c r="E12" s="90" t="n"/>
      <c r="F12" s="90" t="n"/>
      <c r="G12" s="90" t="n"/>
      <c r="H12" s="90" t="n"/>
      <c r="I12" s="133" t="n"/>
      <c r="J12" s="133" t="n"/>
      <c r="K12" s="133" t="n"/>
      <c r="L12" s="133" t="n"/>
      <c r="M12" s="133" t="n"/>
      <c r="N12" s="133" t="n"/>
      <c r="O12" s="133" t="n"/>
      <c r="P12" s="133" t="n"/>
      <c r="Q12" s="133" t="n"/>
      <c r="R12" s="133" t="n"/>
      <c r="S12" s="133" t="n"/>
      <c r="T12" s="133" t="n"/>
      <c r="U12" s="133" t="n"/>
      <c r="V12" s="133" t="n"/>
      <c r="W12" s="133" t="n"/>
      <c r="X12" s="133" t="n"/>
      <c r="Y12" s="133" t="n"/>
      <c r="Z12" s="90" t="n"/>
      <c r="AA12" s="133" t="n"/>
      <c r="AB12" s="133" t="n"/>
      <c r="AC12" s="133" t="n"/>
      <c r="AD12" s="133" t="n"/>
      <c r="AE12" s="133" t="n"/>
      <c r="AF12" s="133" t="n"/>
      <c r="AG12" s="133" t="n"/>
      <c r="AH12" s="133" t="n"/>
      <c r="AI12" s="133" t="n"/>
      <c r="AJ12" s="133" t="n"/>
      <c r="AK12" s="133" t="n"/>
      <c r="AL12" s="133" t="n"/>
      <c r="AM12" s="90" t="n"/>
      <c r="AN12" s="334" t="n"/>
    </row>
    <row r="13" ht="21.95" customFormat="1" customHeight="1" s="1" thickBot="1">
      <c r="B13" s="333" t="n"/>
      <c r="C13" s="90" t="n"/>
      <c r="D13" s="90" t="n"/>
      <c r="E13" s="90" t="n"/>
      <c r="F13" s="90" t="n"/>
      <c r="G13" s="90" t="n"/>
      <c r="H13" s="90" t="n"/>
      <c r="I13" s="133" t="n"/>
      <c r="J13" s="133" t="n"/>
      <c r="K13" s="133" t="n"/>
      <c r="L13" s="133" t="n"/>
      <c r="M13" s="133" t="n"/>
      <c r="N13" s="133" t="n"/>
      <c r="O13" s="133" t="n"/>
      <c r="P13" s="133" t="n"/>
      <c r="Q13" s="133" t="n"/>
      <c r="R13" s="133" t="n"/>
      <c r="S13" s="133" t="n"/>
      <c r="T13" s="133" t="n"/>
      <c r="U13" s="133" t="n"/>
      <c r="V13" s="133" t="n"/>
      <c r="W13" s="133" t="n"/>
      <c r="X13" s="133" t="n"/>
      <c r="Y13" s="133" t="n"/>
      <c r="Z13" s="90" t="n"/>
      <c r="AA13" s="133" t="n"/>
      <c r="AB13" s="133" t="n"/>
      <c r="AC13" s="133" t="n"/>
      <c r="AD13" s="133" t="n"/>
      <c r="AE13" s="133" t="n"/>
      <c r="AF13" s="133" t="n"/>
      <c r="AG13" s="133" t="n"/>
      <c r="AH13" s="133" t="n"/>
      <c r="AI13" s="133" t="n"/>
      <c r="AJ13" s="133" t="n"/>
      <c r="AK13" s="133" t="n"/>
      <c r="AL13" s="133" t="n"/>
      <c r="AM13" s="136" t="inlineStr">
        <is>
          <t>總日數</t>
        </is>
      </c>
      <c r="AN13" s="137" t="inlineStr">
        <is>
          <t>總時數</t>
        </is>
      </c>
    </row>
    <row r="14" ht="21.95" customHeight="1" s="459">
      <c r="B14" s="393" t="inlineStr">
        <is>
          <t>保安主任每日工作(實際)總人數</t>
        </is>
      </c>
      <c r="C14" s="394" t="n"/>
      <c r="D14" s="395" t="n"/>
      <c r="E14" s="394" t="n"/>
      <c r="F14" s="394" t="n"/>
      <c r="G14" s="394" t="n"/>
      <c r="H14" s="141" t="inlineStr">
        <is>
          <t>GS</t>
        </is>
      </c>
      <c r="I14" s="142">
        <f>COUNT(I8:I10)</f>
        <v/>
      </c>
      <c r="J14" s="143">
        <f>COUNT(J8:J10)</f>
        <v/>
      </c>
      <c r="K14" s="143">
        <f>COUNT(K8:K10)</f>
        <v/>
      </c>
      <c r="L14" s="143">
        <f>COUNT(L8:L10)</f>
        <v/>
      </c>
      <c r="M14" s="143">
        <f>COUNT(M8:M10)</f>
        <v/>
      </c>
      <c r="N14" s="143">
        <f>COUNT(N8:N10)</f>
        <v/>
      </c>
      <c r="O14" s="143">
        <f>COUNT(O8:O10)</f>
        <v/>
      </c>
      <c r="P14" s="143">
        <f>COUNT(P8:P10)</f>
        <v/>
      </c>
      <c r="Q14" s="143">
        <f>COUNT(Q8:Q10)</f>
        <v/>
      </c>
      <c r="R14" s="143">
        <f>COUNT(R8:R10)</f>
        <v/>
      </c>
      <c r="S14" s="143">
        <f>COUNT(S8:S10)</f>
        <v/>
      </c>
      <c r="T14" s="143">
        <f>COUNT(T8:T10)</f>
        <v/>
      </c>
      <c r="U14" s="143">
        <f>COUNT(U8:U10)</f>
        <v/>
      </c>
      <c r="V14" s="143">
        <f>COUNT(V8:V10)</f>
        <v/>
      </c>
      <c r="W14" s="143">
        <f>COUNT(W8:W10)</f>
        <v/>
      </c>
      <c r="X14" s="143">
        <f>COUNT(X8:X10)</f>
        <v/>
      </c>
      <c r="Y14" s="143">
        <f>COUNT(Y8:Y10)</f>
        <v/>
      </c>
      <c r="Z14" s="143">
        <f>COUNT(Z8:Z10)</f>
        <v/>
      </c>
      <c r="AA14" s="143">
        <f>COUNT(AA8:AA10)</f>
        <v/>
      </c>
      <c r="AB14" s="143">
        <f>COUNT(AB8:AB10)</f>
        <v/>
      </c>
      <c r="AC14" s="143">
        <f>COUNT(AC8:AC10)</f>
        <v/>
      </c>
      <c r="AD14" s="143">
        <f>COUNT(AD8:AD10)</f>
        <v/>
      </c>
      <c r="AE14" s="143">
        <f>COUNT(AE8:AE10)</f>
        <v/>
      </c>
      <c r="AF14" s="143">
        <f>COUNT(AF8:AF10)</f>
        <v/>
      </c>
      <c r="AG14" s="143">
        <f>COUNT(AG8:AG10)</f>
        <v/>
      </c>
      <c r="AH14" s="143">
        <f>COUNT(AH8:AH10)</f>
        <v/>
      </c>
      <c r="AI14" s="143">
        <f>COUNT(AI8:AI10)</f>
        <v/>
      </c>
      <c r="AJ14" s="143">
        <f>COUNT(AJ8:AJ10)</f>
        <v/>
      </c>
      <c r="AK14" s="143">
        <f>COUNT(AK8:AK10)</f>
        <v/>
      </c>
      <c r="AL14" s="143">
        <f>COUNT(AL8:AL10)</f>
        <v/>
      </c>
      <c r="AM14" s="144">
        <f>SUM(I14:AL14)</f>
        <v/>
      </c>
      <c r="AN14" s="145">
        <f>AM14*8</f>
        <v/>
      </c>
    </row>
    <row r="15" ht="21.95" customHeight="1" s="459">
      <c r="B15" s="396" t="inlineStr">
        <is>
          <t>保安主任每日工作(要求)總人數</t>
        </is>
      </c>
      <c r="C15" s="397" t="n"/>
      <c r="D15" s="398" t="n"/>
      <c r="E15" s="397" t="n"/>
      <c r="F15" s="397" t="n"/>
      <c r="G15" s="397" t="n"/>
      <c r="H15" s="149" t="n"/>
      <c r="I15" s="150" t="n">
        <v>2</v>
      </c>
      <c r="J15" s="151" t="n">
        <v>2</v>
      </c>
      <c r="K15" s="151" t="n">
        <v>2</v>
      </c>
      <c r="L15" s="151" t="n">
        <v>2</v>
      </c>
      <c r="M15" s="151" t="n">
        <v>2</v>
      </c>
      <c r="N15" s="151" t="n">
        <v>2</v>
      </c>
      <c r="O15" s="151" t="n">
        <v>2</v>
      </c>
      <c r="P15" s="151" t="n">
        <v>2</v>
      </c>
      <c r="Q15" s="151" t="n">
        <v>2</v>
      </c>
      <c r="R15" s="151" t="n">
        <v>2</v>
      </c>
      <c r="S15" s="151" t="n">
        <v>2</v>
      </c>
      <c r="T15" s="151" t="n">
        <v>2</v>
      </c>
      <c r="U15" s="151" t="n">
        <v>2</v>
      </c>
      <c r="V15" s="151" t="n">
        <v>2</v>
      </c>
      <c r="W15" s="151" t="n">
        <v>2</v>
      </c>
      <c r="X15" s="151" t="n">
        <v>2</v>
      </c>
      <c r="Y15" s="151" t="n">
        <v>2</v>
      </c>
      <c r="Z15" s="151" t="n">
        <v>2</v>
      </c>
      <c r="AA15" s="151" t="n">
        <v>2</v>
      </c>
      <c r="AB15" s="151" t="n">
        <v>2</v>
      </c>
      <c r="AC15" s="151" t="n">
        <v>2</v>
      </c>
      <c r="AD15" s="151" t="n">
        <v>2</v>
      </c>
      <c r="AE15" s="151" t="n">
        <v>2</v>
      </c>
      <c r="AF15" s="151" t="n">
        <v>2</v>
      </c>
      <c r="AG15" s="151" t="n">
        <v>2</v>
      </c>
      <c r="AH15" s="151" t="n">
        <v>2</v>
      </c>
      <c r="AI15" s="151" t="n">
        <v>2</v>
      </c>
      <c r="AJ15" s="151" t="n">
        <v>2</v>
      </c>
      <c r="AK15" s="151" t="n">
        <v>2</v>
      </c>
      <c r="AL15" s="151" t="n">
        <v>2</v>
      </c>
      <c r="AM15" s="152">
        <f>SUM(I15:AL15)</f>
        <v/>
      </c>
      <c r="AN15" s="153">
        <f>AM15*8</f>
        <v/>
      </c>
    </row>
    <row r="16" ht="21.95" customHeight="1" s="459" thickBot="1">
      <c r="B16" s="402" t="inlineStr">
        <is>
          <t>保安主任每日工作(缺勤)總人數</t>
        </is>
      </c>
      <c r="C16" s="403" t="n"/>
      <c r="D16" s="404" t="n"/>
      <c r="E16" s="403" t="n"/>
      <c r="F16" s="403" t="n"/>
      <c r="G16" s="403" t="n"/>
      <c r="H16" s="157" t="n"/>
      <c r="I16" s="470">
        <f>IF((I14-I15)&lt;0,I14-I15,0)</f>
        <v/>
      </c>
      <c r="J16" s="471">
        <f>IF((J14-J15)&lt;0,J14-J15,0)</f>
        <v/>
      </c>
      <c r="K16" s="471">
        <f>IF((K14-K15)&lt;0,K14-K15,0)</f>
        <v/>
      </c>
      <c r="L16" s="471">
        <f>IF((L14-L15)&lt;0,L14-L15,0)</f>
        <v/>
      </c>
      <c r="M16" s="471">
        <f>IF((M14-M15)&lt;0,M14-M15,0)</f>
        <v/>
      </c>
      <c r="N16" s="471">
        <f>IF((N14-N15)&lt;0,N14-N15,0)</f>
        <v/>
      </c>
      <c r="O16" s="471">
        <f>IF((O14-O15)&lt;0,O14-O15,0)</f>
        <v/>
      </c>
      <c r="P16" s="471">
        <f>IF((P14-P15)&lt;0,P14-P15,0)</f>
        <v/>
      </c>
      <c r="Q16" s="471">
        <f>IF((Q14-Q15)&lt;0,Q14-Q15,0)</f>
        <v/>
      </c>
      <c r="R16" s="471">
        <f>IF((RF14-RF15)&lt;0,RF14-RF15,0)</f>
        <v/>
      </c>
      <c r="S16" s="471">
        <f>IF((S14-S15)&lt;0,S14-S15,0)</f>
        <v/>
      </c>
      <c r="T16" s="471">
        <f>IF((T14-T15)&lt;0,T14-T15,0)</f>
        <v/>
      </c>
      <c r="U16" s="471">
        <f>IF((U14-U15)&lt;0,U14-U15,0)</f>
        <v/>
      </c>
      <c r="V16" s="471">
        <f>IF((V14-V15)&lt;0,V14-V15,0)</f>
        <v/>
      </c>
      <c r="W16" s="471">
        <f>IF((W14-W15)&lt;0,W14-W15,0)</f>
        <v/>
      </c>
      <c r="X16" s="471">
        <f>IF((X14-X15)&lt;0,X14-X15,0)</f>
        <v/>
      </c>
      <c r="Y16" s="471">
        <f>IF((Y14-Y15)&lt;0,Y14-Y15,0)</f>
        <v/>
      </c>
      <c r="Z16" s="471">
        <f>IF((Z14-Z15)&lt;0,Z14-Z15,0)</f>
        <v/>
      </c>
      <c r="AA16" s="471">
        <f>IF((AA14-AA15)&lt;0,AA14-AA15,0)</f>
        <v/>
      </c>
      <c r="AB16" s="471">
        <f>IF((AB14-AB15)&lt;0,AB14-AB15,0)</f>
        <v/>
      </c>
      <c r="AC16" s="471">
        <f>IF((AC14-AC15)&lt;0,AC14-AC15,0)</f>
        <v/>
      </c>
      <c r="AD16" s="471">
        <f>IF((AD14-AD15)&lt;0,AD14-AD15,0)</f>
        <v/>
      </c>
      <c r="AE16" s="471">
        <f>IF((AE14-AE15)&lt;0,AE14-AE15,0)</f>
        <v/>
      </c>
      <c r="AF16" s="471">
        <f>IF((AF14-AF15)&lt;0,AF14-AF15,0)</f>
        <v/>
      </c>
      <c r="AG16" s="471">
        <f>IF((AG14-AG15)&lt;0,AG14-AG15,0)</f>
        <v/>
      </c>
      <c r="AH16" s="471">
        <f>IF((AH14-AH15)&lt;0,AH14-AH15,0)</f>
        <v/>
      </c>
      <c r="AI16" s="471">
        <f>IF((AI14-AI15)&lt;0,AI14-AI15,0)</f>
        <v/>
      </c>
      <c r="AJ16" s="471">
        <f>IF((AJ14-AJ15)&lt;0,AJ14-AJ15,0)</f>
        <v/>
      </c>
      <c r="AK16" s="471">
        <f>IF((AK14-AK15)&lt;0,AK14-AK15,0)</f>
        <v/>
      </c>
      <c r="AL16" s="471">
        <f>IF((AL14-AL15)&lt;0,AL14-AL15,0)</f>
        <v/>
      </c>
      <c r="AM16" s="160">
        <f>SUM(I16:AL16)</f>
        <v/>
      </c>
      <c r="AN16" s="472">
        <f>AM16*8</f>
        <v/>
      </c>
    </row>
    <row r="17" ht="21.95" customHeight="1" s="459">
      <c r="B17" s="335" t="n"/>
      <c r="C17" s="162" t="n"/>
      <c r="D17" s="162" t="n"/>
      <c r="E17" s="162" t="n"/>
      <c r="F17" s="162" t="n"/>
      <c r="G17" s="162" t="n"/>
      <c r="H17" s="163" t="n"/>
      <c r="I17" s="473" t="n"/>
      <c r="J17" s="473" t="n"/>
      <c r="K17" s="473" t="n"/>
      <c r="L17" s="473" t="n"/>
      <c r="M17" s="473" t="n"/>
      <c r="N17" s="473" t="n"/>
      <c r="O17" s="473" t="n"/>
      <c r="P17" s="473" t="n"/>
      <c r="Q17" s="473" t="n"/>
      <c r="R17" s="473" t="n"/>
      <c r="S17" s="473" t="n"/>
      <c r="T17" s="473" t="n"/>
      <c r="U17" s="473" t="n"/>
      <c r="V17" s="473" t="n"/>
      <c r="W17" s="473" t="n"/>
      <c r="X17" s="473" t="n"/>
      <c r="Y17" s="473" t="n"/>
      <c r="Z17" s="473" t="n"/>
      <c r="AA17" s="473" t="n"/>
      <c r="AB17" s="473" t="n"/>
      <c r="AC17" s="473" t="n"/>
      <c r="AD17" s="473" t="n"/>
      <c r="AE17" s="473" t="n"/>
      <c r="AF17" s="473" t="n"/>
      <c r="AG17" s="473" t="n"/>
      <c r="AH17" s="473" t="n"/>
      <c r="AI17" s="473" t="n"/>
      <c r="AJ17" s="473" t="n"/>
      <c r="AK17" s="473" t="n"/>
      <c r="AL17" s="473" t="n"/>
      <c r="AM17" s="165" t="n"/>
      <c r="AN17" s="474" t="n"/>
    </row>
    <row r="18" ht="21.95" customFormat="1" customHeight="1" s="1" thickBot="1">
      <c r="B18" s="337" t="inlineStr">
        <is>
          <t>2. 特別保安員/普通保安員出勤時數</t>
        </is>
      </c>
      <c r="C18" s="90" t="n"/>
      <c r="D18" s="90" t="n"/>
      <c r="E18" s="90" t="n"/>
      <c r="F18" s="90" t="n"/>
      <c r="G18" s="90" t="n"/>
      <c r="H18" s="90" t="n"/>
      <c r="I18" s="133" t="n"/>
      <c r="J18" s="133" t="n"/>
      <c r="K18" s="133" t="n"/>
      <c r="L18" s="133" t="n"/>
      <c r="M18" s="133" t="n"/>
      <c r="N18" s="133" t="n"/>
      <c r="O18" s="133" t="n"/>
      <c r="P18" s="133" t="n"/>
      <c r="Q18" s="133" t="n"/>
      <c r="R18" s="133" t="n"/>
      <c r="S18" s="133" t="n"/>
      <c r="T18" s="133" t="n"/>
      <c r="U18" s="133" t="n"/>
      <c r="V18" s="133" t="n"/>
      <c r="W18" s="133" t="n"/>
      <c r="X18" s="133" t="n"/>
      <c r="Y18" s="133" t="n"/>
      <c r="Z18" s="90" t="n"/>
      <c r="AA18" s="133" t="n"/>
      <c r="AB18" s="133" t="n"/>
      <c r="AC18" s="133" t="n"/>
      <c r="AD18" s="133" t="n"/>
      <c r="AE18" s="133" t="n"/>
      <c r="AF18" s="133" t="n"/>
      <c r="AG18" s="133" t="n"/>
      <c r="AH18" s="133" t="n"/>
      <c r="AI18" s="133" t="n"/>
      <c r="AJ18" s="133" t="n"/>
      <c r="AK18" s="133" t="n"/>
      <c r="AL18" s="133" t="n"/>
      <c r="AM18" s="90" t="n"/>
      <c r="AN18" s="334" t="n"/>
    </row>
    <row r="19" ht="21.95" customFormat="1" customHeight="1" s="1">
      <c r="B19" s="166" t="inlineStr">
        <is>
          <t>M03</t>
        </is>
      </c>
      <c r="C19" s="94" t="n">
        <v>4941</v>
      </c>
      <c r="D19" s="167" t="inlineStr">
        <is>
          <t>成小紅</t>
        </is>
      </c>
      <c r="E19" s="95" t="inlineStr">
        <is>
          <t>SG/G</t>
        </is>
      </c>
      <c r="F19" s="96" t="inlineStr">
        <is>
          <t>SECU_G(D)</t>
        </is>
      </c>
      <c r="G19" s="97" t="n">
        <v>8</v>
      </c>
      <c r="H19" s="93" t="inlineStr">
        <is>
          <t>早</t>
        </is>
      </c>
      <c r="I19" s="168" t="inlineStr">
        <is>
          <t>GS</t>
        </is>
      </c>
      <c r="J19" s="169" t="n">
        <v>8</v>
      </c>
      <c r="K19" s="169" t="inlineStr">
        <is>
          <t>NSH</t>
        </is>
      </c>
      <c r="L19" s="115" t="inlineStr">
        <is>
          <t>NSH</t>
        </is>
      </c>
      <c r="M19" s="115" t="inlineStr">
        <is>
          <t>NSH</t>
        </is>
      </c>
      <c r="N19" s="115" t="inlineStr">
        <is>
          <t>GS</t>
        </is>
      </c>
      <c r="O19" s="115" t="n">
        <v>8</v>
      </c>
      <c r="P19" s="115" t="inlineStr">
        <is>
          <t>GS</t>
        </is>
      </c>
      <c r="Q19" s="115" t="n">
        <v>8</v>
      </c>
      <c r="R19" s="115" t="n">
        <v>8</v>
      </c>
      <c r="S19" s="115" t="n">
        <v>8</v>
      </c>
      <c r="T19" s="115" t="n">
        <v>8</v>
      </c>
      <c r="U19" s="115" t="n">
        <v>8</v>
      </c>
      <c r="V19" s="115" t="inlineStr">
        <is>
          <t>GS</t>
        </is>
      </c>
      <c r="W19" s="115" t="n">
        <v>8</v>
      </c>
      <c r="X19" s="115" t="inlineStr">
        <is>
          <t>GS</t>
        </is>
      </c>
      <c r="Y19" s="115" t="n">
        <v>8</v>
      </c>
      <c r="Z19" s="115" t="n">
        <v>8</v>
      </c>
      <c r="AA19" s="115" t="inlineStr">
        <is>
          <t>RD</t>
        </is>
      </c>
      <c r="AB19" s="115" t="n">
        <v>8</v>
      </c>
      <c r="AC19" s="115" t="n">
        <v>8</v>
      </c>
      <c r="AD19" s="115" t="n">
        <v>8</v>
      </c>
      <c r="AE19" s="115" t="inlineStr">
        <is>
          <t>GS</t>
        </is>
      </c>
      <c r="AF19" s="115" t="n">
        <v>8</v>
      </c>
      <c r="AG19" s="115" t="n">
        <v>8</v>
      </c>
      <c r="AH19" s="115" t="n">
        <v>8</v>
      </c>
      <c r="AI19" s="115" t="inlineStr">
        <is>
          <t>GS</t>
        </is>
      </c>
      <c r="AJ19" s="115" t="n">
        <v>8</v>
      </c>
      <c r="AK19" s="115" t="inlineStr">
        <is>
          <t>GS</t>
        </is>
      </c>
      <c r="AL19" s="170" t="n">
        <v>8</v>
      </c>
      <c r="AM19" s="338">
        <f>COUNT(I19:AL19)</f>
        <v/>
      </c>
      <c r="AN19" s="93">
        <f>SUM(I19:AL19)</f>
        <v/>
      </c>
      <c r="AO19" s="330">
        <f>COUNTIFS($I19:$AL19,"SH")+COUNTIFS($I19:$AL19,"NSH")</f>
        <v/>
      </c>
      <c r="AP19" s="3">
        <f>COUNTIFS($I19:$AL19,#REF!)</f>
        <v/>
      </c>
      <c r="AQ19" s="3">
        <f>COUNTIFS($I19:$AL19,#REF!)</f>
        <v/>
      </c>
      <c r="AR19" s="3">
        <f>COUNTIFS($I19:$AL19,#REF!)</f>
        <v/>
      </c>
      <c r="AS19" s="76">
        <f>COUNTIFS($I19:$AL19,#REF!)</f>
        <v/>
      </c>
      <c r="AT19" s="74">
        <f>#REF!</f>
        <v/>
      </c>
      <c r="AU19" s="6">
        <f>COUNTIF(W19:AN19,"RD")</f>
        <v/>
      </c>
      <c r="AV19" s="6">
        <f>AT19-AU19</f>
        <v/>
      </c>
      <c r="AW19" s="6">
        <f>COUNTIF(W19:AN19,"SH")</f>
        <v/>
      </c>
      <c r="AX19" s="6">
        <f>COUNTIF(W19:AN19,"SL")</f>
        <v/>
      </c>
      <c r="AY19" s="6">
        <f>COUNTIF(W19:AN19,"np")</f>
        <v/>
      </c>
      <c r="AZ19" s="6">
        <f>COUNTIF(W19:AN19,"AL*")</f>
        <v/>
      </c>
      <c r="BA19" s="6">
        <f>COUNTIF(W19:AN19,"NC*")</f>
        <v/>
      </c>
      <c r="BB19" s="65" t="n"/>
    </row>
    <row r="20" ht="21.95" customFormat="1" customHeight="1" s="2">
      <c r="B20" s="171" t="inlineStr">
        <is>
          <t>M04</t>
        </is>
      </c>
      <c r="C20" s="172" t="n">
        <v>4945</v>
      </c>
      <c r="D20" s="173" t="inlineStr">
        <is>
          <t>熊少珍</t>
        </is>
      </c>
      <c r="E20" s="174" t="inlineStr">
        <is>
          <t>SG/G</t>
        </is>
      </c>
      <c r="F20" s="175" t="inlineStr">
        <is>
          <t>SECU_G(D)</t>
        </is>
      </c>
      <c r="G20" s="176" t="n">
        <v>8</v>
      </c>
      <c r="H20" s="177" t="inlineStr">
        <is>
          <t>早</t>
        </is>
      </c>
      <c r="I20" s="178" t="n">
        <v>8</v>
      </c>
      <c r="J20" s="122" t="n">
        <v>8</v>
      </c>
      <c r="K20" s="122" t="inlineStr">
        <is>
          <t>RD</t>
        </is>
      </c>
      <c r="L20" s="122" t="n">
        <v>8</v>
      </c>
      <c r="M20" s="121" t="n">
        <v>8</v>
      </c>
      <c r="N20" s="122" t="n">
        <v>8</v>
      </c>
      <c r="O20" s="122" t="n">
        <v>8</v>
      </c>
      <c r="P20" s="122" t="n">
        <v>8</v>
      </c>
      <c r="Q20" s="122" t="n">
        <v>8</v>
      </c>
      <c r="R20" s="122" t="n">
        <v>8</v>
      </c>
      <c r="S20" s="122" t="n">
        <v>8</v>
      </c>
      <c r="T20" s="122" t="n">
        <v>8</v>
      </c>
      <c r="U20" s="122" t="n">
        <v>8</v>
      </c>
      <c r="V20" s="122" t="n">
        <v>8</v>
      </c>
      <c r="W20" s="122" t="inlineStr">
        <is>
          <t>NSH</t>
        </is>
      </c>
      <c r="X20" s="122" t="inlineStr">
        <is>
          <t>NSH</t>
        </is>
      </c>
      <c r="Y20" s="122" t="n">
        <v>8</v>
      </c>
      <c r="Z20" s="122" t="n">
        <v>8</v>
      </c>
      <c r="AA20" s="122" t="n">
        <v>8</v>
      </c>
      <c r="AB20" s="119" t="n">
        <v>8</v>
      </c>
      <c r="AC20" s="122" t="n">
        <v>8</v>
      </c>
      <c r="AD20" s="122" t="inlineStr">
        <is>
          <t>NSH</t>
        </is>
      </c>
      <c r="AE20" s="122" t="n">
        <v>8</v>
      </c>
      <c r="AF20" s="122" t="n">
        <v>8</v>
      </c>
      <c r="AG20" s="122" t="n">
        <v>8</v>
      </c>
      <c r="AH20" s="122" t="n">
        <v>8</v>
      </c>
      <c r="AI20" s="122" t="n">
        <v>8</v>
      </c>
      <c r="AJ20" s="122" t="n">
        <v>8</v>
      </c>
      <c r="AK20" s="122" t="n">
        <v>8</v>
      </c>
      <c r="AL20" s="122" t="n">
        <v>8</v>
      </c>
      <c r="AM20" s="339">
        <f>COUNT(I20:AL20)</f>
        <v/>
      </c>
      <c r="AN20" s="177">
        <f>SUM(I20:AL20)</f>
        <v/>
      </c>
      <c r="AO20" s="331">
        <f>COUNTIFS($I20:$AL20,"SH")+COUNTIFS($I20:$AL20,"NSH")</f>
        <v/>
      </c>
      <c r="AP20" s="7">
        <f>COUNTIFS($I20:$AL20,#REF!)</f>
        <v/>
      </c>
      <c r="AQ20" s="7">
        <f>COUNTIFS($I20:$AL20,#REF!)</f>
        <v/>
      </c>
      <c r="AR20" s="7">
        <f>COUNTIFS($I20:$AL20,#REF!)</f>
        <v/>
      </c>
      <c r="AS20" s="9">
        <f>COUNTIFS($I20:$AL20,#REF!)</f>
        <v/>
      </c>
      <c r="AT20" s="46">
        <f>#REF!</f>
        <v/>
      </c>
      <c r="AU20" s="8">
        <f>COUNTIF(W20:AN20,"RD")</f>
        <v/>
      </c>
      <c r="AV20" s="8">
        <f>AT20-AU20</f>
        <v/>
      </c>
      <c r="AW20" s="8">
        <f>COUNTIF(W20:AN20,"SH")</f>
        <v/>
      </c>
      <c r="AX20" s="8">
        <f>COUNTIF(W20:AN20,"SL")</f>
        <v/>
      </c>
      <c r="AY20" s="8">
        <f>COUNTIF(W20:AN20,"np")</f>
        <v/>
      </c>
      <c r="AZ20" s="8">
        <f>COUNTIF(W20:AN20,"AL*")</f>
        <v/>
      </c>
      <c r="BA20" s="8">
        <f>COUNTIF(W20:AN20,"NC*")</f>
        <v/>
      </c>
      <c r="BB20" s="63" t="n"/>
    </row>
    <row r="21" ht="21.95" customFormat="1" customHeight="1" s="1">
      <c r="A21" s="28" t="inlineStr">
        <is>
          <t xml:space="preserve"> </t>
        </is>
      </c>
      <c r="B21" s="171" t="inlineStr">
        <is>
          <t>M05</t>
        </is>
      </c>
      <c r="C21" s="172" t="n">
        <v>4943</v>
      </c>
      <c r="D21" s="173" t="inlineStr">
        <is>
          <t>陳潔貞</t>
        </is>
      </c>
      <c r="E21" s="118" t="inlineStr">
        <is>
          <t>SG/G</t>
        </is>
      </c>
      <c r="F21" s="179" t="inlineStr">
        <is>
          <t>SECU_G(D)</t>
        </is>
      </c>
      <c r="G21" s="180" t="n">
        <v>8</v>
      </c>
      <c r="H21" s="173" t="inlineStr">
        <is>
          <t>早</t>
        </is>
      </c>
      <c r="I21" s="178" t="n">
        <v>8</v>
      </c>
      <c r="J21" s="122" t="inlineStr">
        <is>
          <t>RD</t>
        </is>
      </c>
      <c r="K21" s="122" t="n">
        <v>8</v>
      </c>
      <c r="L21" s="122" t="n">
        <v>8</v>
      </c>
      <c r="M21" s="122" t="n">
        <v>8</v>
      </c>
      <c r="N21" s="122" t="n">
        <v>8</v>
      </c>
      <c r="O21" s="122" t="n">
        <v>8</v>
      </c>
      <c r="P21" s="122" t="n">
        <v>8</v>
      </c>
      <c r="Q21" s="122" t="inlineStr">
        <is>
          <t>NSH</t>
        </is>
      </c>
      <c r="R21" s="122" t="n">
        <v>8</v>
      </c>
      <c r="S21" s="122" t="n">
        <v>8</v>
      </c>
      <c r="T21" s="122" t="n">
        <v>8</v>
      </c>
      <c r="U21" s="122" t="inlineStr">
        <is>
          <t>NSH</t>
        </is>
      </c>
      <c r="V21" s="122" t="n">
        <v>8</v>
      </c>
      <c r="W21" s="122" t="n">
        <v>8</v>
      </c>
      <c r="X21" s="122" t="n">
        <v>8</v>
      </c>
      <c r="Y21" s="122" t="n">
        <v>8</v>
      </c>
      <c r="Z21" s="122" t="n">
        <v>8</v>
      </c>
      <c r="AA21" s="122" t="n">
        <v>8</v>
      </c>
      <c r="AB21" s="122" t="inlineStr">
        <is>
          <t>NSH</t>
        </is>
      </c>
      <c r="AC21" s="122" t="n">
        <v>8</v>
      </c>
      <c r="AD21" s="122" t="n">
        <v>8</v>
      </c>
      <c r="AE21" s="122" t="n">
        <v>8</v>
      </c>
      <c r="AF21" s="122" t="n">
        <v>8</v>
      </c>
      <c r="AG21" s="122" t="n">
        <v>8</v>
      </c>
      <c r="AH21" s="122" t="n">
        <v>8</v>
      </c>
      <c r="AI21" s="122" t="n">
        <v>8</v>
      </c>
      <c r="AJ21" s="122" t="n">
        <v>8</v>
      </c>
      <c r="AK21" s="122" t="n">
        <v>8</v>
      </c>
      <c r="AL21" s="122" t="n">
        <v>8</v>
      </c>
      <c r="AM21" s="309">
        <f>COUNT(I21:AL21)</f>
        <v/>
      </c>
      <c r="AN21" s="173">
        <f>SUM(I21:AL21)</f>
        <v/>
      </c>
      <c r="AO21" s="331">
        <f>COUNTIFS($I21:$AL21,"SH")+COUNTIFS($I21:$AL21,"NSH")</f>
        <v/>
      </c>
      <c r="AP21" s="7">
        <f>COUNTIFS($I21:$AL21,#REF!)</f>
        <v/>
      </c>
      <c r="AQ21" s="7">
        <f>COUNTIFS($I21:$AL21,#REF!)</f>
        <v/>
      </c>
      <c r="AR21" s="7">
        <f>COUNTIFS($I21:$AL21,#REF!)</f>
        <v/>
      </c>
      <c r="AS21" s="9">
        <f>COUNTIFS($I21:$AL21,#REF!)</f>
        <v/>
      </c>
      <c r="AT21" s="46">
        <f>#REF!</f>
        <v/>
      </c>
      <c r="AU21" s="8">
        <f>COUNTIF(W21:AN21,"RD")</f>
        <v/>
      </c>
      <c r="AV21" s="8">
        <f>AT21-AU21</f>
        <v/>
      </c>
      <c r="AW21" s="8">
        <f>COUNTIF(W21:AN21,"SH")</f>
        <v/>
      </c>
      <c r="AX21" s="8">
        <f>COUNTIF(W21:AN21,"SL")</f>
        <v/>
      </c>
      <c r="AY21" s="8">
        <f>COUNTIF(W21:AN21,"np")</f>
        <v/>
      </c>
      <c r="AZ21" s="8">
        <f>COUNTIF(W21:AN21,"AL*")</f>
        <v/>
      </c>
      <c r="BA21" s="8">
        <f>COUNTIF(W21:AN21,"NC*")</f>
        <v/>
      </c>
      <c r="BB21" s="63" t="n"/>
    </row>
    <row r="22" ht="21.95" customFormat="1" customHeight="1" s="1">
      <c r="B22" s="171" t="inlineStr">
        <is>
          <t>M06</t>
        </is>
      </c>
      <c r="C22" s="172" t="n">
        <v>4949</v>
      </c>
      <c r="D22" s="173" t="inlineStr">
        <is>
          <t>楊詠愉</t>
        </is>
      </c>
      <c r="E22" s="118" t="inlineStr">
        <is>
          <t>SG/G</t>
        </is>
      </c>
      <c r="F22" s="179" t="inlineStr">
        <is>
          <t>SECU_G(D)</t>
        </is>
      </c>
      <c r="G22" s="180" t="n">
        <v>8</v>
      </c>
      <c r="H22" s="173" t="inlineStr">
        <is>
          <t>早</t>
        </is>
      </c>
      <c r="I22" s="178" t="n">
        <v>8</v>
      </c>
      <c r="J22" s="122" t="n">
        <v>8</v>
      </c>
      <c r="K22" s="122" t="n">
        <v>8</v>
      </c>
      <c r="L22" s="122" t="n">
        <v>8</v>
      </c>
      <c r="M22" s="122" t="n">
        <v>8</v>
      </c>
      <c r="N22" s="122" t="n">
        <v>8</v>
      </c>
      <c r="O22" s="122" t="n">
        <v>8</v>
      </c>
      <c r="P22" s="122" t="n">
        <v>8</v>
      </c>
      <c r="Q22" s="122" t="n">
        <v>8</v>
      </c>
      <c r="R22" s="122" t="n">
        <v>8</v>
      </c>
      <c r="S22" s="122" t="inlineStr">
        <is>
          <t xml:space="preserve">RD </t>
        </is>
      </c>
      <c r="T22" s="122" t="n">
        <v>8</v>
      </c>
      <c r="U22" s="122" t="n">
        <v>8</v>
      </c>
      <c r="V22" s="122" t="n">
        <v>8</v>
      </c>
      <c r="W22" s="122" t="n">
        <v>8</v>
      </c>
      <c r="X22" s="122" t="n">
        <v>8</v>
      </c>
      <c r="Y22" s="122" t="n">
        <v>8</v>
      </c>
      <c r="Z22" s="122" t="n">
        <v>8</v>
      </c>
      <c r="AA22" s="122" t="inlineStr">
        <is>
          <t>NSH</t>
        </is>
      </c>
      <c r="AB22" s="122" t="n">
        <v>8</v>
      </c>
      <c r="AC22" s="122" t="n">
        <v>8</v>
      </c>
      <c r="AD22" s="122" t="n">
        <v>8</v>
      </c>
      <c r="AE22" s="122" t="inlineStr">
        <is>
          <t>NSH</t>
        </is>
      </c>
      <c r="AF22" s="122" t="n">
        <v>8</v>
      </c>
      <c r="AG22" s="122" t="n">
        <v>8</v>
      </c>
      <c r="AH22" s="122" t="n">
        <v>8</v>
      </c>
      <c r="AI22" s="122" t="n">
        <v>8</v>
      </c>
      <c r="AJ22" s="122" t="inlineStr">
        <is>
          <t>NSH</t>
        </is>
      </c>
      <c r="AK22" s="122" t="n">
        <v>8</v>
      </c>
      <c r="AL22" s="122" t="n">
        <v>8</v>
      </c>
      <c r="AM22" s="309">
        <f>COUNT(I22:AL22)</f>
        <v/>
      </c>
      <c r="AN22" s="173">
        <f>SUM(I22:AL22)</f>
        <v/>
      </c>
      <c r="AO22" s="331">
        <f>COUNTIFS($I22:$AL22,"SH")+COUNTIFS($I22:$AL22,"NSH")</f>
        <v/>
      </c>
      <c r="AP22" s="7">
        <f>COUNTIFS($I22:$AL22,#REF!)</f>
        <v/>
      </c>
      <c r="AQ22" s="7">
        <f>COUNTIFS($I22:$AL22,#REF!)</f>
        <v/>
      </c>
      <c r="AR22" s="7">
        <f>COUNTIFS($I22:$AL22,#REF!)</f>
        <v/>
      </c>
      <c r="AS22" s="9">
        <f>COUNTIFS($I22:$AL22,#REF!)</f>
        <v/>
      </c>
      <c r="AT22" s="46">
        <f>#REF!</f>
        <v/>
      </c>
      <c r="AU22" s="8">
        <f>COUNTIF(W22:AN22,"RD")</f>
        <v/>
      </c>
      <c r="AV22" s="8">
        <f>AT22-AU22</f>
        <v/>
      </c>
      <c r="AW22" s="8">
        <f>COUNTIF(W22:AN22,"SH")</f>
        <v/>
      </c>
      <c r="AX22" s="8">
        <f>COUNTIF(W22:AN22,"SL")</f>
        <v/>
      </c>
      <c r="AY22" s="8">
        <f>COUNTIF(W22:AN22,"np")</f>
        <v/>
      </c>
      <c r="AZ22" s="8">
        <f>COUNTIF(W22:AN22,"AL*")</f>
        <v/>
      </c>
      <c r="BA22" s="8">
        <f>COUNTIF(W22:AN22,"NC*")</f>
        <v/>
      </c>
      <c r="BB22" s="63" t="n"/>
    </row>
    <row r="23" ht="21.95" customFormat="1" customHeight="1" s="1">
      <c r="B23" s="171" t="inlineStr">
        <is>
          <t>M07</t>
        </is>
      </c>
      <c r="C23" s="172" t="n">
        <v>4944</v>
      </c>
      <c r="D23" s="173" t="inlineStr">
        <is>
          <t>叶武君</t>
        </is>
      </c>
      <c r="E23" s="118" t="inlineStr">
        <is>
          <t>SG/G</t>
        </is>
      </c>
      <c r="F23" s="179" t="inlineStr">
        <is>
          <t>SECU_G(D)</t>
        </is>
      </c>
      <c r="G23" s="180" t="n">
        <v>8</v>
      </c>
      <c r="H23" s="173" t="inlineStr">
        <is>
          <t>早</t>
        </is>
      </c>
      <c r="I23" s="178" t="n">
        <v>8</v>
      </c>
      <c r="J23" s="122" t="n">
        <v>8</v>
      </c>
      <c r="K23" s="122" t="n">
        <v>8</v>
      </c>
      <c r="L23" s="122" t="n">
        <v>8</v>
      </c>
      <c r="M23" s="122" t="inlineStr">
        <is>
          <t>NSH</t>
        </is>
      </c>
      <c r="N23" s="122" t="n">
        <v>8</v>
      </c>
      <c r="O23" s="122" t="n">
        <v>8</v>
      </c>
      <c r="P23" s="122" t="n">
        <v>8</v>
      </c>
      <c r="Q23" s="122" t="n">
        <v>8</v>
      </c>
      <c r="R23" s="122" t="inlineStr">
        <is>
          <t>NSH</t>
        </is>
      </c>
      <c r="S23" s="122" t="n">
        <v>8</v>
      </c>
      <c r="T23" s="122" t="n">
        <v>8</v>
      </c>
      <c r="U23" s="122" t="n">
        <v>8</v>
      </c>
      <c r="V23" s="122" t="n">
        <v>8</v>
      </c>
      <c r="W23" s="122" t="n">
        <v>8</v>
      </c>
      <c r="X23" s="122" t="n">
        <v>8</v>
      </c>
      <c r="Y23" s="122" t="n">
        <v>8</v>
      </c>
      <c r="Z23" s="122" t="n">
        <v>8</v>
      </c>
      <c r="AA23" s="122" t="n">
        <v>8</v>
      </c>
      <c r="AB23" s="122" t="n">
        <v>8</v>
      </c>
      <c r="AC23" s="122" t="n">
        <v>8</v>
      </c>
      <c r="AD23" s="122" t="n">
        <v>8</v>
      </c>
      <c r="AE23" s="122" t="n">
        <v>8</v>
      </c>
      <c r="AF23" s="122" t="inlineStr">
        <is>
          <t>NSH</t>
        </is>
      </c>
      <c r="AG23" s="122" t="inlineStr">
        <is>
          <t>NSH</t>
        </is>
      </c>
      <c r="AH23" s="122" t="inlineStr">
        <is>
          <t>NSH</t>
        </is>
      </c>
      <c r="AI23" s="122" t="n">
        <v>8</v>
      </c>
      <c r="AJ23" s="122" t="n">
        <v>8</v>
      </c>
      <c r="AK23" s="122" t="n">
        <v>8</v>
      </c>
      <c r="AL23" s="122" t="n">
        <v>8</v>
      </c>
      <c r="AM23" s="309">
        <f>COUNT(I23:AL23)</f>
        <v/>
      </c>
      <c r="AN23" s="173">
        <f>SUM(I23:AL23)</f>
        <v/>
      </c>
      <c r="AO23" s="331">
        <f>COUNTIFS($I23:$AL23,"SH")+COUNTIFS($I23:$AL23,"NSH")</f>
        <v/>
      </c>
      <c r="AP23" s="7">
        <f>COUNTIFS($I23:$AL23,#REF!)</f>
        <v/>
      </c>
      <c r="AQ23" s="7">
        <f>COUNTIFS($I23:$AL23,#REF!)</f>
        <v/>
      </c>
      <c r="AR23" s="7">
        <f>COUNTIFS($I23:$AL23,#REF!)</f>
        <v/>
      </c>
      <c r="AS23" s="9">
        <f>COUNTIFS($I23:$AL23,#REF!)</f>
        <v/>
      </c>
      <c r="AT23" s="46">
        <f>#REF!</f>
        <v/>
      </c>
      <c r="AU23" s="8">
        <f>COUNTIF(W23:AN23,"RD")</f>
        <v/>
      </c>
      <c r="AV23" s="8">
        <f>AT23-AU23</f>
        <v/>
      </c>
      <c r="AW23" s="8">
        <f>COUNTIF(W23:AN23,"SH")</f>
        <v/>
      </c>
      <c r="AX23" s="8">
        <f>COUNTIF(W23:AN23,"SL")</f>
        <v/>
      </c>
      <c r="AY23" s="8">
        <f>COUNTIF(W23:AN23,"np")</f>
        <v/>
      </c>
      <c r="AZ23" s="8">
        <f>COUNTIF(W23:AN23,"AL*")</f>
        <v/>
      </c>
      <c r="BA23" s="8">
        <f>COUNTIF(W23:AN23,"NC*")</f>
        <v/>
      </c>
      <c r="BB23" s="63" t="n"/>
    </row>
    <row r="24" ht="21.95" customFormat="1" customHeight="1" s="1">
      <c r="B24" s="171" t="inlineStr">
        <is>
          <t>M08</t>
        </is>
      </c>
      <c r="C24" s="172" t="n">
        <v>4942</v>
      </c>
      <c r="D24" s="173" t="inlineStr">
        <is>
          <t>李文輝</t>
        </is>
      </c>
      <c r="E24" s="118" t="inlineStr">
        <is>
          <t>SG/G</t>
        </is>
      </c>
      <c r="F24" s="179" t="inlineStr">
        <is>
          <t>SECU_G(D)</t>
        </is>
      </c>
      <c r="G24" s="180" t="n">
        <v>8</v>
      </c>
      <c r="H24" s="173" t="inlineStr">
        <is>
          <t>早</t>
        </is>
      </c>
      <c r="I24" s="178" t="n">
        <v>8</v>
      </c>
      <c r="J24" s="122" t="inlineStr">
        <is>
          <t xml:space="preserve">RD </t>
        </is>
      </c>
      <c r="K24" s="122" t="n">
        <v>8</v>
      </c>
      <c r="L24" s="122" t="n">
        <v>8</v>
      </c>
      <c r="M24" s="122" t="n">
        <v>8</v>
      </c>
      <c r="N24" s="122" t="n">
        <v>8</v>
      </c>
      <c r="O24" s="122" t="n">
        <v>8</v>
      </c>
      <c r="P24" s="122" t="n">
        <v>8</v>
      </c>
      <c r="Q24" s="122" t="n">
        <v>8</v>
      </c>
      <c r="R24" s="122" t="n">
        <v>8</v>
      </c>
      <c r="S24" s="122" t="inlineStr">
        <is>
          <t>NSH</t>
        </is>
      </c>
      <c r="T24" s="122" t="n">
        <v>8</v>
      </c>
      <c r="U24" s="122" t="n">
        <v>8</v>
      </c>
      <c r="V24" s="122" t="n">
        <v>8</v>
      </c>
      <c r="W24" s="122" t="n">
        <v>8</v>
      </c>
      <c r="X24" s="122" t="n">
        <v>8</v>
      </c>
      <c r="Y24" s="122" t="n">
        <v>8</v>
      </c>
      <c r="Z24" s="122" t="n">
        <v>8</v>
      </c>
      <c r="AA24" s="122" t="n">
        <v>8</v>
      </c>
      <c r="AB24" s="122" t="inlineStr">
        <is>
          <t>NSH</t>
        </is>
      </c>
      <c r="AC24" s="122" t="inlineStr">
        <is>
          <t>NSH</t>
        </is>
      </c>
      <c r="AD24" s="122" t="n">
        <v>8</v>
      </c>
      <c r="AE24" s="122" t="n">
        <v>8</v>
      </c>
      <c r="AF24" s="122" t="n">
        <v>8</v>
      </c>
      <c r="AG24" s="122" t="n">
        <v>8</v>
      </c>
      <c r="AH24" s="122" t="n">
        <v>8</v>
      </c>
      <c r="AI24" s="122" t="n">
        <v>8</v>
      </c>
      <c r="AJ24" s="122" t="n">
        <v>8</v>
      </c>
      <c r="AK24" s="122" t="n">
        <v>8</v>
      </c>
      <c r="AL24" s="122" t="n">
        <v>8</v>
      </c>
      <c r="AM24" s="309">
        <f>COUNT(I24:AL24)</f>
        <v/>
      </c>
      <c r="AN24" s="173">
        <f>SUM(I24:AL24)</f>
        <v/>
      </c>
      <c r="AO24" s="331">
        <f>COUNTIFS($I24:$AL24,"SH")+COUNTIFS($I24:$AL24,"NSH")</f>
        <v/>
      </c>
      <c r="AP24" s="7">
        <f>COUNTIFS($I24:$AL24,#REF!)</f>
        <v/>
      </c>
      <c r="AQ24" s="7">
        <f>COUNTIFS($I24:$AL24,#REF!)</f>
        <v/>
      </c>
      <c r="AR24" s="7">
        <f>COUNTIFS($I24:$AL24,#REF!)</f>
        <v/>
      </c>
      <c r="AS24" s="9">
        <f>COUNTIFS($I24:$AL24,#REF!)</f>
        <v/>
      </c>
      <c r="AT24" s="46">
        <f>#REF!</f>
        <v/>
      </c>
      <c r="AU24" s="8">
        <f>COUNTIF(W24:AN24,"RD")</f>
        <v/>
      </c>
      <c r="AV24" s="8">
        <f>AT24-AU24</f>
        <v/>
      </c>
      <c r="AW24" s="8">
        <f>COUNTIF(W24:AN24,"SH")</f>
        <v/>
      </c>
      <c r="AX24" s="8">
        <f>COUNTIF(W24:AN24,"SL")</f>
        <v/>
      </c>
      <c r="AY24" s="8">
        <f>COUNTIF(W24:AN24,"np")</f>
        <v/>
      </c>
      <c r="AZ24" s="8">
        <f>COUNTIF(W24:AN24,"AL*")</f>
        <v/>
      </c>
      <c r="BA24" s="8">
        <f>COUNTIF(W24:AN24,"NC*")</f>
        <v/>
      </c>
      <c r="BB24" s="63" t="n"/>
    </row>
    <row r="25" ht="21.95" customFormat="1" customHeight="1" s="1">
      <c r="B25" s="171" t="inlineStr">
        <is>
          <t>M09</t>
        </is>
      </c>
      <c r="C25" s="172" t="n">
        <v>4948</v>
      </c>
      <c r="D25" s="173" t="inlineStr">
        <is>
          <t>宋世傳</t>
        </is>
      </c>
      <c r="E25" s="118" t="inlineStr">
        <is>
          <t>SG/G</t>
        </is>
      </c>
      <c r="F25" s="179" t="inlineStr">
        <is>
          <t>SECU_G(D)</t>
        </is>
      </c>
      <c r="G25" s="180" t="n">
        <v>8</v>
      </c>
      <c r="H25" s="173" t="inlineStr">
        <is>
          <t>早</t>
        </is>
      </c>
      <c r="I25" s="178" t="n">
        <v>8</v>
      </c>
      <c r="J25" s="122" t="n">
        <v>8</v>
      </c>
      <c r="K25" s="122" t="n">
        <v>8</v>
      </c>
      <c r="L25" s="122" t="n">
        <v>8</v>
      </c>
      <c r="M25" s="122" t="n">
        <v>8</v>
      </c>
      <c r="N25" s="122" t="n">
        <v>8</v>
      </c>
      <c r="O25" s="122" t="n">
        <v>8</v>
      </c>
      <c r="P25" s="122" t="inlineStr">
        <is>
          <t xml:space="preserve">RD </t>
        </is>
      </c>
      <c r="Q25" s="122" t="inlineStr">
        <is>
          <t>NSH</t>
        </is>
      </c>
      <c r="R25" s="122" t="n">
        <v>8</v>
      </c>
      <c r="S25" s="122" t="n">
        <v>8</v>
      </c>
      <c r="T25" s="122" t="n">
        <v>8</v>
      </c>
      <c r="U25" s="122" t="n">
        <v>8</v>
      </c>
      <c r="V25" s="122" t="n">
        <v>8</v>
      </c>
      <c r="W25" s="122" t="n">
        <v>8</v>
      </c>
      <c r="X25" s="122" t="n">
        <v>8</v>
      </c>
      <c r="Y25" s="122" t="n">
        <v>8</v>
      </c>
      <c r="Z25" s="122" t="inlineStr">
        <is>
          <t>NSH</t>
        </is>
      </c>
      <c r="AA25" s="122" t="n">
        <v>8</v>
      </c>
      <c r="AB25" s="122" t="n">
        <v>8</v>
      </c>
      <c r="AC25" s="119" t="n">
        <v>8</v>
      </c>
      <c r="AD25" s="122" t="n">
        <v>8</v>
      </c>
      <c r="AE25" s="122" t="n">
        <v>8</v>
      </c>
      <c r="AF25" s="122" t="n">
        <v>8</v>
      </c>
      <c r="AG25" s="122" t="n">
        <v>8</v>
      </c>
      <c r="AH25" s="122" t="n">
        <v>8</v>
      </c>
      <c r="AI25" s="122" t="n">
        <v>8</v>
      </c>
      <c r="AJ25" s="122" t="n">
        <v>8</v>
      </c>
      <c r="AK25" s="122" t="n">
        <v>8</v>
      </c>
      <c r="AL25" s="122" t="inlineStr">
        <is>
          <t>NSH</t>
        </is>
      </c>
      <c r="AM25" s="309">
        <f>COUNT(I25:AL25)</f>
        <v/>
      </c>
      <c r="AN25" s="173">
        <f>SUM(I25:AL25)</f>
        <v/>
      </c>
      <c r="AO25" s="331">
        <f>COUNTIFS($I25:$AL25,"SH")+COUNTIFS($I25:$AL25,"NSH")</f>
        <v/>
      </c>
      <c r="AP25" s="7">
        <f>COUNTIFS($I25:$AL25,#REF!)</f>
        <v/>
      </c>
      <c r="AQ25" s="7">
        <f>COUNTIFS($I25:$AL25,#REF!)</f>
        <v/>
      </c>
      <c r="AR25" s="7">
        <f>COUNTIFS($I25:$AL25,#REF!)</f>
        <v/>
      </c>
      <c r="AS25" s="9">
        <f>COUNTIFS($I25:$AL25,#REF!)</f>
        <v/>
      </c>
      <c r="AT25" s="46">
        <f>#REF!</f>
        <v/>
      </c>
      <c r="AU25" s="8">
        <f>COUNTIF(W25:AN25,"RD")</f>
        <v/>
      </c>
      <c r="AV25" s="8">
        <f>AT25-AU25</f>
        <v/>
      </c>
      <c r="AW25" s="8">
        <f>COUNTIF(W25:AN25,"SH")</f>
        <v/>
      </c>
      <c r="AX25" s="8">
        <f>COUNTIF(W25:AN25,"SL")</f>
        <v/>
      </c>
      <c r="AY25" s="8">
        <f>COUNTIF(W25:AN25,"np")</f>
        <v/>
      </c>
      <c r="AZ25" s="8">
        <f>COUNTIF(W25:AN25,"AL*")</f>
        <v/>
      </c>
      <c r="BA25" s="8">
        <f>COUNTIF(W25:AN25,"NC*")</f>
        <v/>
      </c>
      <c r="BB25" s="63" t="n"/>
    </row>
    <row r="26" ht="21.95" customFormat="1" customHeight="1" s="1">
      <c r="B26" s="171" t="inlineStr">
        <is>
          <t>M10</t>
        </is>
      </c>
      <c r="C26" s="172" t="n">
        <v>4947</v>
      </c>
      <c r="D26" s="173" t="inlineStr">
        <is>
          <t>陳冰心</t>
        </is>
      </c>
      <c r="E26" s="118" t="inlineStr">
        <is>
          <t>SG/G</t>
        </is>
      </c>
      <c r="F26" s="179" t="inlineStr">
        <is>
          <t>SECU_G(D)</t>
        </is>
      </c>
      <c r="G26" s="180" t="n">
        <v>8</v>
      </c>
      <c r="H26" s="173" t="inlineStr">
        <is>
          <t>早</t>
        </is>
      </c>
      <c r="I26" s="178" t="n">
        <v>8</v>
      </c>
      <c r="J26" s="122" t="n">
        <v>8</v>
      </c>
      <c r="K26" s="122" t="n">
        <v>8</v>
      </c>
      <c r="L26" s="122" t="n">
        <v>8</v>
      </c>
      <c r="M26" s="122" t="n">
        <v>8</v>
      </c>
      <c r="N26" s="122" t="n">
        <v>8</v>
      </c>
      <c r="O26" s="122" t="n">
        <v>8</v>
      </c>
      <c r="P26" s="122" t="n">
        <v>8</v>
      </c>
      <c r="Q26" s="122" t="n">
        <v>8</v>
      </c>
      <c r="R26" s="122" t="inlineStr">
        <is>
          <t>NSH</t>
        </is>
      </c>
      <c r="S26" s="122" t="n">
        <v>8</v>
      </c>
      <c r="T26" s="122" t="inlineStr">
        <is>
          <t>NSH</t>
        </is>
      </c>
      <c r="U26" s="122" t="n">
        <v>8</v>
      </c>
      <c r="V26" s="122" t="n">
        <v>8</v>
      </c>
      <c r="W26" s="122" t="n">
        <v>8</v>
      </c>
      <c r="X26" s="122" t="n">
        <v>8</v>
      </c>
      <c r="Y26" s="122" t="n">
        <v>8</v>
      </c>
      <c r="Z26" s="122" t="inlineStr">
        <is>
          <t>NSH</t>
        </is>
      </c>
      <c r="AA26" s="122" t="n">
        <v>8</v>
      </c>
      <c r="AB26" s="122" t="n">
        <v>8</v>
      </c>
      <c r="AC26" s="122" t="n">
        <v>8</v>
      </c>
      <c r="AD26" s="122" t="n">
        <v>8</v>
      </c>
      <c r="AE26" s="122" t="n">
        <v>8</v>
      </c>
      <c r="AF26" s="122" t="n">
        <v>8</v>
      </c>
      <c r="AG26" s="122" t="n">
        <v>8</v>
      </c>
      <c r="AH26" s="122" t="n">
        <v>8</v>
      </c>
      <c r="AI26" s="122" t="n">
        <v>8</v>
      </c>
      <c r="AJ26" s="122" t="inlineStr">
        <is>
          <t xml:space="preserve">RD </t>
        </is>
      </c>
      <c r="AK26" s="122" t="n">
        <v>8</v>
      </c>
      <c r="AL26" s="122" t="n">
        <v>8</v>
      </c>
      <c r="AM26" s="309">
        <f>COUNT(I26:AL26)</f>
        <v/>
      </c>
      <c r="AN26" s="173">
        <f>SUM(I26:AL26)</f>
        <v/>
      </c>
      <c r="AO26" s="331">
        <f>COUNTIFS($I26:$AL26,"SH")+COUNTIFS($I26:$AL26,"NSH")</f>
        <v/>
      </c>
      <c r="AP26" s="7">
        <f>COUNTIFS($I26:$AL26,#REF!)</f>
        <v/>
      </c>
      <c r="AQ26" s="7">
        <f>COUNTIFS($I26:$AL26,#REF!)</f>
        <v/>
      </c>
      <c r="AR26" s="7">
        <f>COUNTIFS($I26:$AL26,#REF!)</f>
        <v/>
      </c>
      <c r="AS26" s="9">
        <f>COUNTIFS($I26:$AL26,#REF!)</f>
        <v/>
      </c>
      <c r="AT26" s="46">
        <f>#REF!</f>
        <v/>
      </c>
      <c r="AU26" s="8">
        <f>COUNTIF(W26:AN26,"RD")</f>
        <v/>
      </c>
      <c r="AV26" s="8">
        <f>AT26-AU26</f>
        <v/>
      </c>
      <c r="AW26" s="8">
        <f>COUNTIF(W26:AN26,"SH")</f>
        <v/>
      </c>
      <c r="AX26" s="8">
        <f>COUNTIF(W26:AN26,"SL")</f>
        <v/>
      </c>
      <c r="AY26" s="8">
        <f>COUNTIF(W26:AN26,"np")</f>
        <v/>
      </c>
      <c r="AZ26" s="8">
        <f>COUNTIF(W26:AN26,"AL*")</f>
        <v/>
      </c>
      <c r="BA26" s="8">
        <f>COUNTIF(W26:AN26,"NC*")</f>
        <v/>
      </c>
      <c r="BB26" s="63" t="n"/>
    </row>
    <row r="27" ht="21.75" customFormat="1" customHeight="1" s="1">
      <c r="B27" s="171" t="inlineStr">
        <is>
          <t>M11</t>
        </is>
      </c>
      <c r="C27" s="172" t="n">
        <v>4599</v>
      </c>
      <c r="D27" s="173" t="inlineStr">
        <is>
          <t>陳榮蓮</t>
        </is>
      </c>
      <c r="E27" s="118" t="inlineStr">
        <is>
          <t>SG/G</t>
        </is>
      </c>
      <c r="F27" s="179" t="inlineStr">
        <is>
          <t>SECU_G(D)</t>
        </is>
      </c>
      <c r="G27" s="180" t="n">
        <v>8</v>
      </c>
      <c r="H27" s="173" t="inlineStr">
        <is>
          <t>早</t>
        </is>
      </c>
      <c r="I27" s="178" t="inlineStr">
        <is>
          <t xml:space="preserve">RD </t>
        </is>
      </c>
      <c r="J27" s="122" t="n">
        <v>8</v>
      </c>
      <c r="K27" s="122" t="n">
        <v>8</v>
      </c>
      <c r="L27" s="122" t="n">
        <v>8</v>
      </c>
      <c r="M27" s="122" t="n">
        <v>8</v>
      </c>
      <c r="N27" s="122" t="n">
        <v>8</v>
      </c>
      <c r="O27" s="122" t="inlineStr">
        <is>
          <t>NSH</t>
        </is>
      </c>
      <c r="P27" s="122" t="n">
        <v>8</v>
      </c>
      <c r="Q27" s="122" t="n">
        <v>8</v>
      </c>
      <c r="R27" s="122" t="n">
        <v>8</v>
      </c>
      <c r="S27" s="122" t="n">
        <v>8</v>
      </c>
      <c r="T27" s="122" t="n">
        <v>8</v>
      </c>
      <c r="U27" s="122" t="n">
        <v>8</v>
      </c>
      <c r="V27" s="122" t="n">
        <v>8</v>
      </c>
      <c r="W27" s="122" t="n">
        <v>8</v>
      </c>
      <c r="X27" s="122" t="n">
        <v>8</v>
      </c>
      <c r="Y27" s="122" t="inlineStr">
        <is>
          <t>NSH</t>
        </is>
      </c>
      <c r="Z27" s="122" t="n">
        <v>8</v>
      </c>
      <c r="AA27" s="122" t="n">
        <v>8</v>
      </c>
      <c r="AB27" s="122" t="n">
        <v>8</v>
      </c>
      <c r="AC27" s="122" t="n">
        <v>8</v>
      </c>
      <c r="AD27" s="122" t="n">
        <v>8</v>
      </c>
      <c r="AE27" s="122" t="n">
        <v>8</v>
      </c>
      <c r="AF27" s="122" t="n">
        <v>8</v>
      </c>
      <c r="AG27" s="122" t="n">
        <v>8</v>
      </c>
      <c r="AH27" s="122" t="n">
        <v>8</v>
      </c>
      <c r="AI27" s="122" t="inlineStr">
        <is>
          <t>NSH</t>
        </is>
      </c>
      <c r="AJ27" s="122" t="n">
        <v>8</v>
      </c>
      <c r="AK27" s="122" t="n">
        <v>8</v>
      </c>
      <c r="AL27" s="122" t="n">
        <v>8</v>
      </c>
      <c r="AM27" s="309">
        <f>COUNT(I27:AL27)</f>
        <v/>
      </c>
      <c r="AN27" s="173">
        <f>SUM(I27:AL27)</f>
        <v/>
      </c>
      <c r="AO27" s="331">
        <f>COUNTIFS($I27:$AL27,"SH")+COUNTIFS($I27:$AL27,"NSH")</f>
        <v/>
      </c>
      <c r="AP27" s="7">
        <f>COUNTIFS($I27:$AL27,#REF!)</f>
        <v/>
      </c>
      <c r="AQ27" s="7">
        <f>COUNTIFS($I27:$AL27,#REF!)</f>
        <v/>
      </c>
      <c r="AR27" s="7">
        <f>COUNTIFS($I27:$AL27,#REF!)</f>
        <v/>
      </c>
      <c r="AS27" s="9">
        <f>COUNTIFS($I27:$AL27,#REF!)</f>
        <v/>
      </c>
      <c r="AT27" s="46">
        <f>#REF!</f>
        <v/>
      </c>
      <c r="AU27" s="8">
        <f>COUNTIF(W27:AN27,"RD")</f>
        <v/>
      </c>
      <c r="AV27" s="8">
        <f>AT27-AU27</f>
        <v/>
      </c>
      <c r="AW27" s="8">
        <f>COUNTIF(W27:AN27,"SH")</f>
        <v/>
      </c>
      <c r="AX27" s="8">
        <f>COUNTIF(W27:AN27,"SL")</f>
        <v/>
      </c>
      <c r="AY27" s="8">
        <f>COUNTIF(W27:AN27,"np")</f>
        <v/>
      </c>
      <c r="AZ27" s="8">
        <f>COUNTIF(W27:AN27,"AL*")</f>
        <v/>
      </c>
      <c r="BA27" s="8">
        <f>COUNTIF(W27:AN27,"NC*")</f>
        <v/>
      </c>
      <c r="BB27" s="63" t="n"/>
    </row>
    <row r="28" ht="21.95" customFormat="1" customHeight="1" s="1">
      <c r="B28" s="171" t="inlineStr">
        <is>
          <t>M12</t>
        </is>
      </c>
      <c r="C28" s="172" t="n">
        <v>4952</v>
      </c>
      <c r="D28" s="173" t="inlineStr">
        <is>
          <t>劉國崇</t>
        </is>
      </c>
      <c r="E28" s="118" t="inlineStr">
        <is>
          <t>SG/G</t>
        </is>
      </c>
      <c r="F28" s="179" t="inlineStr">
        <is>
          <t>SECU_G(D)</t>
        </is>
      </c>
      <c r="G28" s="180" t="n">
        <v>8</v>
      </c>
      <c r="H28" s="173" t="inlineStr">
        <is>
          <t>早</t>
        </is>
      </c>
      <c r="I28" s="178" t="n">
        <v>8</v>
      </c>
      <c r="J28" s="122" t="n">
        <v>8</v>
      </c>
      <c r="K28" s="122" t="n">
        <v>8</v>
      </c>
      <c r="L28" s="122" t="inlineStr">
        <is>
          <t xml:space="preserve">RD </t>
        </is>
      </c>
      <c r="M28" s="122" t="n">
        <v>8</v>
      </c>
      <c r="N28" s="122" t="n">
        <v>8</v>
      </c>
      <c r="O28" s="122" t="n">
        <v>8</v>
      </c>
      <c r="P28" s="122" t="n">
        <v>8</v>
      </c>
      <c r="Q28" s="122" t="n">
        <v>8</v>
      </c>
      <c r="R28" s="122" t="n">
        <v>8</v>
      </c>
      <c r="S28" s="122" t="n">
        <v>8</v>
      </c>
      <c r="T28" s="122" t="inlineStr">
        <is>
          <t>NSH</t>
        </is>
      </c>
      <c r="U28" s="122" t="n">
        <v>8</v>
      </c>
      <c r="V28" s="122" t="n">
        <v>8</v>
      </c>
      <c r="W28" s="122" t="n">
        <v>8</v>
      </c>
      <c r="X28" s="122" t="n">
        <v>8</v>
      </c>
      <c r="Y28" s="122" t="inlineStr">
        <is>
          <t>NSH</t>
        </is>
      </c>
      <c r="Z28" s="122" t="n">
        <v>8</v>
      </c>
      <c r="AA28" s="122" t="n">
        <v>8</v>
      </c>
      <c r="AB28" s="122" t="n">
        <v>8</v>
      </c>
      <c r="AC28" s="122" t="n">
        <v>8</v>
      </c>
      <c r="AD28" s="122" t="n">
        <v>8</v>
      </c>
      <c r="AE28" s="122" t="n">
        <v>8</v>
      </c>
      <c r="AF28" s="122" t="inlineStr">
        <is>
          <t>NSH</t>
        </is>
      </c>
      <c r="AG28" s="122" t="inlineStr">
        <is>
          <t>NSH</t>
        </is>
      </c>
      <c r="AH28" s="122" t="inlineStr">
        <is>
          <t>NSH</t>
        </is>
      </c>
      <c r="AI28" s="122" t="n">
        <v>8</v>
      </c>
      <c r="AJ28" s="122" t="n">
        <v>8</v>
      </c>
      <c r="AK28" s="122" t="n">
        <v>8</v>
      </c>
      <c r="AL28" s="122" t="n">
        <v>8</v>
      </c>
      <c r="AM28" s="309">
        <f>COUNT(I28:AL28)</f>
        <v/>
      </c>
      <c r="AN28" s="173">
        <f>SUM(I28:AL28)</f>
        <v/>
      </c>
      <c r="AO28" s="331">
        <f>COUNTIFS($I28:$AL28,"SH")+COUNTIFS($I28:$AL28,"NSH")</f>
        <v/>
      </c>
      <c r="AP28" s="7">
        <f>COUNTIFS($I28:$AL28,#REF!)</f>
        <v/>
      </c>
      <c r="AQ28" s="7">
        <f>COUNTIFS($I28:$AL28,#REF!)</f>
        <v/>
      </c>
      <c r="AR28" s="7">
        <f>COUNTIFS($I28:$AL28,#REF!)</f>
        <v/>
      </c>
      <c r="AS28" s="9">
        <f>COUNTIFS($I28:$AL28,#REF!)</f>
        <v/>
      </c>
      <c r="AT28" s="46">
        <f>#REF!</f>
        <v/>
      </c>
      <c r="AU28" s="8">
        <f>COUNTIF(W28:AN28,"RD")</f>
        <v/>
      </c>
      <c r="AV28" s="8">
        <f>AT28-AU28</f>
        <v/>
      </c>
      <c r="AW28" s="8">
        <f>COUNTIF(W28:AN28,"SH")</f>
        <v/>
      </c>
      <c r="AX28" s="8">
        <f>COUNTIF(W28:AN28,"SL")</f>
        <v/>
      </c>
      <c r="AY28" s="8">
        <f>COUNTIF(W28:AN28,"np")</f>
        <v/>
      </c>
      <c r="AZ28" s="8">
        <f>COUNTIF(W28:AN28,"AL*")</f>
        <v/>
      </c>
      <c r="BA28" s="8">
        <f>COUNTIF(W28:AN28,"NC*")</f>
        <v/>
      </c>
      <c r="BB28" s="63" t="n"/>
    </row>
    <row r="29" ht="21.95" customFormat="1" customHeight="1" s="1" thickBot="1">
      <c r="B29" s="132" t="inlineStr">
        <is>
          <t>M13</t>
        </is>
      </c>
      <c r="C29" s="103" t="n">
        <v>4946</v>
      </c>
      <c r="D29" s="102" t="inlineStr">
        <is>
          <t>施少婷</t>
        </is>
      </c>
      <c r="E29" s="104" t="inlineStr">
        <is>
          <t>SG/G</t>
        </is>
      </c>
      <c r="F29" s="105" t="inlineStr">
        <is>
          <t>SECU_G(D)</t>
        </is>
      </c>
      <c r="G29" s="106" t="n">
        <v>8</v>
      </c>
      <c r="H29" s="102" t="inlineStr">
        <is>
          <t>早</t>
        </is>
      </c>
      <c r="I29" s="181" t="n">
        <v>8</v>
      </c>
      <c r="J29" s="130" t="n">
        <v>8</v>
      </c>
      <c r="K29" s="130" t="n">
        <v>8</v>
      </c>
      <c r="L29" s="130" t="n">
        <v>8</v>
      </c>
      <c r="M29" s="130" t="n">
        <v>8</v>
      </c>
      <c r="N29" s="389" t="inlineStr">
        <is>
          <t>S</t>
        </is>
      </c>
      <c r="O29" s="130" t="inlineStr">
        <is>
          <t xml:space="preserve">RD </t>
        </is>
      </c>
      <c r="P29" s="130" t="n">
        <v>8</v>
      </c>
      <c r="Q29" s="130" t="n">
        <v>8</v>
      </c>
      <c r="R29" s="130" t="n">
        <v>8</v>
      </c>
      <c r="S29" s="130" t="n">
        <v>8</v>
      </c>
      <c r="T29" s="130" t="n">
        <v>8</v>
      </c>
      <c r="U29" s="389" t="inlineStr">
        <is>
          <t>S</t>
        </is>
      </c>
      <c r="V29" s="389" t="inlineStr">
        <is>
          <t>S</t>
        </is>
      </c>
      <c r="W29" s="130" t="inlineStr">
        <is>
          <t>NSH</t>
        </is>
      </c>
      <c r="X29" s="130" t="n">
        <v>8</v>
      </c>
      <c r="Y29" s="130" t="n">
        <v>8</v>
      </c>
      <c r="Z29" s="130" t="n">
        <v>8</v>
      </c>
      <c r="AA29" s="130" t="n">
        <v>8</v>
      </c>
      <c r="AB29" s="130" t="n">
        <v>8</v>
      </c>
      <c r="AC29" s="389" t="inlineStr">
        <is>
          <t>S</t>
        </is>
      </c>
      <c r="AD29" s="130" t="inlineStr">
        <is>
          <t>NSH</t>
        </is>
      </c>
      <c r="AE29" s="130" t="n">
        <v>8</v>
      </c>
      <c r="AF29" s="130" t="n">
        <v>8</v>
      </c>
      <c r="AG29" s="130" t="n">
        <v>8</v>
      </c>
      <c r="AH29" s="130" t="n">
        <v>8</v>
      </c>
      <c r="AI29" s="130" t="n">
        <v>8</v>
      </c>
      <c r="AJ29" s="130" t="n">
        <v>8</v>
      </c>
      <c r="AK29" s="389" t="inlineStr">
        <is>
          <t>S</t>
        </is>
      </c>
      <c r="AL29" s="130" t="inlineStr">
        <is>
          <t>NSH</t>
        </is>
      </c>
      <c r="AM29" s="310">
        <f>COUNT(I29:AL29)</f>
        <v/>
      </c>
      <c r="AN29" s="102">
        <f>SUM(I29:AL29)</f>
        <v/>
      </c>
      <c r="AO29" s="331">
        <f>COUNTIFS($I29:$AL29,"SH")+COUNTIFS($I29:$AL29,"NSH")</f>
        <v/>
      </c>
      <c r="AP29" s="7">
        <f>COUNTIFS($I29:$AL29,#REF!)</f>
        <v/>
      </c>
      <c r="AQ29" s="7">
        <f>COUNTIFS($I29:$AL29,#REF!)</f>
        <v/>
      </c>
      <c r="AR29" s="7">
        <f>COUNTIFS($I29:$AL29,#REF!)</f>
        <v/>
      </c>
      <c r="AS29" s="9">
        <f>COUNTIFS($I29:$AL29,#REF!)</f>
        <v/>
      </c>
      <c r="AT29" s="46">
        <f>#REF!</f>
        <v/>
      </c>
      <c r="AU29" s="8">
        <f>COUNTIF(W29:AN29,"RD")</f>
        <v/>
      </c>
      <c r="AV29" s="8">
        <f>AT29-AU29</f>
        <v/>
      </c>
      <c r="AW29" s="8">
        <f>COUNTIF(W29:AN29,"SH")</f>
        <v/>
      </c>
      <c r="AX29" s="8">
        <f>COUNTIF(W29:AN29,"SL")</f>
        <v/>
      </c>
      <c r="AY29" s="8">
        <f>COUNTIF(W29:AN29,"np")</f>
        <v/>
      </c>
      <c r="AZ29" s="8">
        <f>COUNTIF(W29:AN29,"AL*")</f>
        <v/>
      </c>
      <c r="BA29" s="8">
        <f>COUNTIF(W29:AN29,"NC*")</f>
        <v/>
      </c>
      <c r="BB29" s="63" t="n"/>
    </row>
    <row r="30" ht="21.95" customFormat="1" customHeight="1" s="1" thickBot="1">
      <c r="B30" s="391" t="inlineStr">
        <is>
          <t>合約要求每日人數: 9</t>
        </is>
      </c>
      <c r="D30" s="392" t="inlineStr">
        <is>
          <t xml:space="preserve">每日出勤人數:  </t>
        </is>
      </c>
      <c r="I30" s="90">
        <f>COUNTIF(I19:I29,"8")</f>
        <v/>
      </c>
      <c r="J30" s="90">
        <f>COUNTIF(J19:J29,"8")</f>
        <v/>
      </c>
      <c r="K30" s="90">
        <f>COUNTIF(K19:K29,"8")</f>
        <v/>
      </c>
      <c r="L30" s="90">
        <f>COUNTIF(L19:L29,"8")</f>
        <v/>
      </c>
      <c r="M30" s="90">
        <f>COUNTIF(M19:M29,"8")</f>
        <v/>
      </c>
      <c r="N30" s="90">
        <f>COUNTIF(N19:N29,"8")</f>
        <v/>
      </c>
      <c r="O30" s="90">
        <f>COUNTIF(O19:O29,"8")</f>
        <v/>
      </c>
      <c r="P30" s="90">
        <f>COUNTIF(P19:P29,"8")</f>
        <v/>
      </c>
      <c r="Q30" s="90">
        <f>COUNTIF(Q19:Q29,"8")</f>
        <v/>
      </c>
      <c r="R30" s="90">
        <f>COUNTIF(R19:R29,"8")</f>
        <v/>
      </c>
      <c r="S30" s="90">
        <f>COUNTIF(S19:S29,"8")</f>
        <v/>
      </c>
      <c r="T30" s="90">
        <f>COUNTIF(T19:T29,"8")</f>
        <v/>
      </c>
      <c r="U30" s="90">
        <f>COUNTIF(U19:U29,"8")</f>
        <v/>
      </c>
      <c r="V30" s="90">
        <f>COUNTIF(V19:V29,"8")</f>
        <v/>
      </c>
      <c r="W30" s="90">
        <f>COUNTIF(W19:W29,"8")</f>
        <v/>
      </c>
      <c r="X30" s="90">
        <f>COUNTIF(X19:X29,"8")</f>
        <v/>
      </c>
      <c r="Y30" s="90">
        <f>COUNTIF(Y19:Y29,"8")</f>
        <v/>
      </c>
      <c r="Z30" s="90">
        <f>COUNTIF(Z19:Z29,"8")</f>
        <v/>
      </c>
      <c r="AA30" s="90">
        <f>COUNTIF(AA19:AA29,"8")</f>
        <v/>
      </c>
      <c r="AB30" s="90">
        <f>COUNTIF(AB19:AB29,"8")</f>
        <v/>
      </c>
      <c r="AC30" s="90">
        <f>COUNTIF(AC19:AC29,"8")</f>
        <v/>
      </c>
      <c r="AD30" s="90">
        <f>COUNTIF(AD19:AD29,"8")</f>
        <v/>
      </c>
      <c r="AE30" s="90">
        <f>COUNTIF(AE19:AE29,"8")</f>
        <v/>
      </c>
      <c r="AF30" s="90">
        <f>COUNTIF(AF19:AF29,"8")</f>
        <v/>
      </c>
      <c r="AG30" s="90">
        <f>COUNTIF(AG19:AG29,"8")</f>
        <v/>
      </c>
      <c r="AH30" s="90">
        <f>COUNTIF(AH19:AH29,"8")</f>
        <v/>
      </c>
      <c r="AI30" s="90">
        <f>COUNTIF(AI19:AI29,"8")</f>
        <v/>
      </c>
      <c r="AJ30" s="90">
        <f>COUNTIF(AJ19:AJ29,"8")</f>
        <v/>
      </c>
      <c r="AK30" s="90">
        <f>COUNTIF(AK19:AK29,"8")</f>
        <v/>
      </c>
      <c r="AL30" s="90">
        <f>COUNTIF(AL19:AL29,"8")</f>
        <v/>
      </c>
      <c r="AM30" s="134">
        <f>SUM(AM19:AM29)</f>
        <v/>
      </c>
      <c r="AN30" s="135">
        <f>SUM(AN19:AN29)</f>
        <v/>
      </c>
    </row>
    <row r="31" ht="21.95" customFormat="1" customHeight="1" s="1" thickBot="1">
      <c r="B31" s="90" t="n"/>
      <c r="C31" s="90" t="n"/>
      <c r="D31" s="90" t="n"/>
      <c r="E31" s="90" t="n"/>
      <c r="F31" s="90" t="n"/>
      <c r="G31" s="90" t="n"/>
      <c r="H31" s="90" t="n"/>
      <c r="I31" s="133" t="n"/>
      <c r="J31" s="133" t="n"/>
      <c r="K31" s="133" t="n"/>
      <c r="L31" s="133" t="n"/>
      <c r="M31" s="133" t="n"/>
      <c r="N31" s="133" t="n"/>
      <c r="O31" s="133" t="n"/>
      <c r="P31" s="133" t="n"/>
      <c r="Q31" s="133" t="n"/>
      <c r="R31" s="133" t="n"/>
      <c r="S31" s="133" t="n"/>
      <c r="T31" s="133" t="n"/>
      <c r="U31" s="133" t="n"/>
      <c r="V31" s="133" t="n"/>
      <c r="W31" s="133" t="n"/>
      <c r="X31" s="133" t="n"/>
      <c r="Y31" s="133" t="n"/>
      <c r="Z31" s="133" t="n"/>
      <c r="AA31" s="133" t="n"/>
      <c r="AB31" s="133" t="n"/>
      <c r="AC31" s="133" t="n"/>
      <c r="AD31" s="133" t="n"/>
      <c r="AE31" s="133" t="n"/>
      <c r="AF31" s="133" t="n"/>
      <c r="AG31" s="133" t="n"/>
      <c r="AH31" s="133" t="n"/>
      <c r="AI31" s="133" t="n"/>
      <c r="AJ31" s="133" t="n"/>
      <c r="AK31" s="133" t="n"/>
      <c r="AL31" s="133" t="n"/>
      <c r="AM31" s="90" t="n"/>
      <c r="AN31" s="90" t="n"/>
    </row>
    <row r="32" ht="21.95" customHeight="1" s="459" thickBot="1">
      <c r="B32" s="91" t="n"/>
      <c r="C32" s="90" t="n"/>
      <c r="D32" s="90" t="n"/>
      <c r="E32" s="90" t="n"/>
      <c r="F32" s="90" t="n"/>
      <c r="G32" s="90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91" t="n"/>
      <c r="T32" s="91" t="n"/>
      <c r="U32" s="91" t="n"/>
      <c r="V32" s="91" t="n"/>
      <c r="W32" s="91" t="n"/>
      <c r="X32" s="91" t="n"/>
      <c r="Y32" s="91" t="n"/>
      <c r="Z32" s="91" t="n"/>
      <c r="AA32" s="91" t="n"/>
      <c r="AB32" s="91" t="n"/>
      <c r="AC32" s="91" t="n"/>
      <c r="AD32" s="91" t="n"/>
      <c r="AE32" s="91" t="n"/>
      <c r="AF32" s="91" t="n"/>
      <c r="AG32" s="91" t="n"/>
      <c r="AH32" s="91" t="n"/>
      <c r="AI32" s="91" t="n"/>
      <c r="AJ32" s="91" t="n"/>
      <c r="AK32" s="91" t="n"/>
      <c r="AL32" s="91" t="n"/>
      <c r="AM32" s="182" t="inlineStr">
        <is>
          <t>總日數</t>
        </is>
      </c>
      <c r="AN32" s="136" t="inlineStr">
        <is>
          <t>總時數</t>
        </is>
      </c>
    </row>
    <row r="33" ht="21.95" customHeight="1" s="459">
      <c r="B33" s="475" t="inlineStr">
        <is>
          <t>特別保安員每日工作(實際)總人數</t>
        </is>
      </c>
      <c r="C33" s="476" t="n"/>
      <c r="D33" s="477" t="n"/>
      <c r="E33" s="394" t="n"/>
      <c r="F33" s="394" t="n"/>
      <c r="G33" s="394" t="n"/>
      <c r="H33" s="141" t="inlineStr">
        <is>
          <t>SG</t>
        </is>
      </c>
      <c r="I33" s="142" t="n">
        <v>6</v>
      </c>
      <c r="J33" s="143" t="n">
        <v>6</v>
      </c>
      <c r="K33" s="143" t="n">
        <v>6</v>
      </c>
      <c r="L33" s="143" t="n">
        <v>6</v>
      </c>
      <c r="M33" s="143" t="n">
        <v>6</v>
      </c>
      <c r="N33" s="143" t="n">
        <v>6</v>
      </c>
      <c r="O33" s="143" t="n">
        <v>6</v>
      </c>
      <c r="P33" s="143" t="n">
        <v>6</v>
      </c>
      <c r="Q33" s="143" t="n">
        <v>6</v>
      </c>
      <c r="R33" s="143" t="n">
        <v>6</v>
      </c>
      <c r="S33" s="143" t="n">
        <v>6</v>
      </c>
      <c r="T33" s="143" t="n">
        <v>6</v>
      </c>
      <c r="U33" s="143" t="n">
        <v>6</v>
      </c>
      <c r="V33" s="143" t="n">
        <v>6</v>
      </c>
      <c r="W33" s="143" t="n">
        <v>6</v>
      </c>
      <c r="X33" s="143" t="n">
        <v>6</v>
      </c>
      <c r="Y33" s="143" t="n">
        <v>6</v>
      </c>
      <c r="Z33" s="143" t="n">
        <v>6</v>
      </c>
      <c r="AA33" s="143" t="n">
        <v>6</v>
      </c>
      <c r="AB33" s="143" t="n">
        <v>6</v>
      </c>
      <c r="AC33" s="143" t="n">
        <v>6</v>
      </c>
      <c r="AD33" s="143" t="n">
        <v>6</v>
      </c>
      <c r="AE33" s="143" t="n">
        <v>6</v>
      </c>
      <c r="AF33" s="143" t="n">
        <v>6</v>
      </c>
      <c r="AG33" s="143" t="n">
        <v>6</v>
      </c>
      <c r="AH33" s="143" t="n">
        <v>6</v>
      </c>
      <c r="AI33" s="143" t="n">
        <v>6</v>
      </c>
      <c r="AJ33" s="143" t="n">
        <v>6</v>
      </c>
      <c r="AK33" s="143" t="n">
        <v>6</v>
      </c>
      <c r="AL33" s="183" t="n">
        <v>6</v>
      </c>
      <c r="AM33" s="184">
        <f>SUM(I33:AL33)</f>
        <v/>
      </c>
      <c r="AN33" s="185">
        <f>AM33*8</f>
        <v/>
      </c>
    </row>
    <row r="34" ht="21.95" customHeight="1" s="459">
      <c r="B34" s="478" t="inlineStr">
        <is>
          <t>特別保安員每日工作(要求)總人數</t>
        </is>
      </c>
      <c r="C34" s="479" t="n"/>
      <c r="D34" s="480" t="n"/>
      <c r="E34" s="397" t="n"/>
      <c r="F34" s="397" t="n"/>
      <c r="G34" s="397" t="n"/>
      <c r="H34" s="149" t="n"/>
      <c r="I34" s="150" t="n">
        <v>6</v>
      </c>
      <c r="J34" s="151" t="n">
        <v>6</v>
      </c>
      <c r="K34" s="151" t="n">
        <v>6</v>
      </c>
      <c r="L34" s="151" t="n">
        <v>6</v>
      </c>
      <c r="M34" s="151" t="n">
        <v>6</v>
      </c>
      <c r="N34" s="151" t="n">
        <v>6</v>
      </c>
      <c r="O34" s="151" t="n">
        <v>6</v>
      </c>
      <c r="P34" s="151" t="n">
        <v>6</v>
      </c>
      <c r="Q34" s="151" t="n">
        <v>6</v>
      </c>
      <c r="R34" s="151" t="n">
        <v>6</v>
      </c>
      <c r="S34" s="151" t="n">
        <v>6</v>
      </c>
      <c r="T34" s="151" t="n">
        <v>6</v>
      </c>
      <c r="U34" s="151" t="n">
        <v>6</v>
      </c>
      <c r="V34" s="151" t="n">
        <v>6</v>
      </c>
      <c r="W34" s="151" t="n">
        <v>6</v>
      </c>
      <c r="X34" s="151" t="n">
        <v>6</v>
      </c>
      <c r="Y34" s="151" t="n">
        <v>6</v>
      </c>
      <c r="Z34" s="151" t="n">
        <v>6</v>
      </c>
      <c r="AA34" s="151" t="n">
        <v>6</v>
      </c>
      <c r="AB34" s="151" t="n">
        <v>6</v>
      </c>
      <c r="AC34" s="151" t="n">
        <v>6</v>
      </c>
      <c r="AD34" s="151" t="n">
        <v>6</v>
      </c>
      <c r="AE34" s="151" t="n">
        <v>6</v>
      </c>
      <c r="AF34" s="151" t="n">
        <v>6</v>
      </c>
      <c r="AG34" s="151" t="n">
        <v>6</v>
      </c>
      <c r="AH34" s="151" t="n">
        <v>6</v>
      </c>
      <c r="AI34" s="151" t="n">
        <v>6</v>
      </c>
      <c r="AJ34" s="151" t="n">
        <v>6</v>
      </c>
      <c r="AK34" s="151" t="n">
        <v>6</v>
      </c>
      <c r="AL34" s="186" t="n">
        <v>6</v>
      </c>
      <c r="AM34" s="152">
        <f>SUM(I34:AL34)</f>
        <v/>
      </c>
      <c r="AN34" s="149">
        <f>AM34*8</f>
        <v/>
      </c>
    </row>
    <row r="35" ht="21.95" customHeight="1" s="459" thickBot="1">
      <c r="B35" s="481" t="inlineStr">
        <is>
          <t>特別保安員每日工作(缺勤)總人數</t>
        </is>
      </c>
      <c r="C35" s="482" t="n"/>
      <c r="D35" s="483" t="n"/>
      <c r="E35" s="403" t="n"/>
      <c r="F35" s="403" t="n"/>
      <c r="G35" s="403" t="n"/>
      <c r="H35" s="157" t="n"/>
      <c r="I35" s="470">
        <f>IF((I33-I34)&lt;0,I33-I34,0)</f>
        <v/>
      </c>
      <c r="J35" s="471">
        <f>IF((J33-J34)&lt;0,J33-J34,0)</f>
        <v/>
      </c>
      <c r="K35" s="471">
        <f>IF((K33-K34)&lt;0,K33-K34,0)</f>
        <v/>
      </c>
      <c r="L35" s="471">
        <f>IF((L33-L34)&lt;0,L33-L34,0)</f>
        <v/>
      </c>
      <c r="M35" s="471">
        <f>IF((M33-M34)&lt;0,M33-M34,0)</f>
        <v/>
      </c>
      <c r="N35" s="471">
        <f>IF((N33-N34)&lt;0,N33-N34,0)</f>
        <v/>
      </c>
      <c r="O35" s="471">
        <f>IF((O33-O34)&lt;0,O33-O34,0)</f>
        <v/>
      </c>
      <c r="P35" s="471">
        <f>IF((P33-P34)&lt;0,P33-P34,0)</f>
        <v/>
      </c>
      <c r="Q35" s="471">
        <f>IF((Q33-Q34)&lt;0,Q33-Q34,0)</f>
        <v/>
      </c>
      <c r="R35" s="471">
        <f>IF((R33-R34)&lt;0,R33-R34,0)</f>
        <v/>
      </c>
      <c r="S35" s="471">
        <f>IF((S33-S34)&lt;0,S33-S34,0)</f>
        <v/>
      </c>
      <c r="T35" s="471">
        <f>IF((T33-T34)&lt;0,T33-T34,0)</f>
        <v/>
      </c>
      <c r="U35" s="471">
        <f>IF((U33-U34)&lt;0,U33-U34,0)</f>
        <v/>
      </c>
      <c r="V35" s="471">
        <f>IF((V33-V34)&lt;0,V33-V34,0)</f>
        <v/>
      </c>
      <c r="W35" s="471">
        <f>IF((W33-W34)&lt;0,W33-W34,0)</f>
        <v/>
      </c>
      <c r="X35" s="471">
        <f>IF((X33-X34)&lt;0,X33-X34,0)</f>
        <v/>
      </c>
      <c r="Y35" s="471">
        <f>IF((Y33-Y34)&lt;0,Y33-Y34,0)</f>
        <v/>
      </c>
      <c r="Z35" s="471">
        <f>IF((Z33-Z34)&lt;0,Z33-Z34,0)</f>
        <v/>
      </c>
      <c r="AA35" s="471">
        <f>IF((AA33-AA34)&lt;0,AA33-AA34,0)</f>
        <v/>
      </c>
      <c r="AB35" s="471">
        <f>IF((AB33-AB34)&lt;0,AB33-AB34,0)</f>
        <v/>
      </c>
      <c r="AC35" s="471">
        <f>IF((AC33-AC34)&lt;0,AC33-AC34,0)</f>
        <v/>
      </c>
      <c r="AD35" s="471">
        <f>IF((AD33-AD34)&lt;0,AD33-AD34,0)</f>
        <v/>
      </c>
      <c r="AE35" s="471">
        <f>IF((AE33-AE34)&lt;0,AE33-AE34,0)</f>
        <v/>
      </c>
      <c r="AF35" s="471">
        <f>IF((AF33-AF34)&lt;0,AF33-AF34,0)</f>
        <v/>
      </c>
      <c r="AG35" s="471">
        <f>IF((AG33-AG34)&lt;0,AG33-AG34,0)</f>
        <v/>
      </c>
      <c r="AH35" s="471">
        <f>IF((AH33-AH34)&lt;0,AH33-AH34,0)</f>
        <v/>
      </c>
      <c r="AI35" s="471">
        <f>IF((AI33-AI34)&lt;0,AI33-AI34,0)</f>
        <v/>
      </c>
      <c r="AJ35" s="471">
        <f>IF((AJ33-AJ34)&lt;0,AJ33-AJ34,0)</f>
        <v/>
      </c>
      <c r="AK35" s="471">
        <f>IF((AK33-AK34)&lt;0,AK33-AK34,0)</f>
        <v/>
      </c>
      <c r="AL35" s="484">
        <f>IF((AL33-AL34)&lt;0,AL33-AL34,0)</f>
        <v/>
      </c>
      <c r="AM35" s="188">
        <f>SUM(I35:AL35)</f>
        <v/>
      </c>
      <c r="AN35" s="485">
        <f>AM35*8</f>
        <v/>
      </c>
    </row>
    <row r="36" ht="21.95" customHeight="1" s="459">
      <c r="B36" s="475" t="inlineStr">
        <is>
          <t>普通保安每日工作(實際)總人數</t>
        </is>
      </c>
      <c r="C36" s="476" t="n"/>
      <c r="D36" s="477" t="n"/>
      <c r="E36" s="190" t="n"/>
      <c r="F36" s="190" t="n"/>
      <c r="G36" s="190" t="n"/>
      <c r="H36" s="185" t="inlineStr">
        <is>
          <t>G</t>
        </is>
      </c>
      <c r="I36" s="314">
        <f>COUNT(I19:I29)-I33</f>
        <v/>
      </c>
      <c r="J36" s="315">
        <f>COUNT(J19:J29)-J33</f>
        <v/>
      </c>
      <c r="K36" s="315">
        <f>COUNT(K19:K29)-K33</f>
        <v/>
      </c>
      <c r="L36" s="315">
        <f>COUNT(L19:L29)-L33</f>
        <v/>
      </c>
      <c r="M36" s="315">
        <f>COUNT(M19:M29)-M33</f>
        <v/>
      </c>
      <c r="N36" s="315">
        <f>COUNT(N19:N29)-N33</f>
        <v/>
      </c>
      <c r="O36" s="315">
        <f>COUNT(O19:O29)-O33</f>
        <v/>
      </c>
      <c r="P36" s="315">
        <f>COUNT(P19:P29)-P33</f>
        <v/>
      </c>
      <c r="Q36" s="315">
        <f>COUNT(Q19:Q29)-Q33</f>
        <v/>
      </c>
      <c r="R36" s="315">
        <f>COUNT(R19:R29)-R33</f>
        <v/>
      </c>
      <c r="S36" s="315">
        <f>COUNT(S19:S29)-S33</f>
        <v/>
      </c>
      <c r="T36" s="315">
        <f>COUNT(T19:T29)-T33</f>
        <v/>
      </c>
      <c r="U36" s="315">
        <f>COUNT(U19:U29)-U33</f>
        <v/>
      </c>
      <c r="V36" s="315">
        <f>COUNT(V19:V29)-V33</f>
        <v/>
      </c>
      <c r="W36" s="315">
        <f>COUNT(W19:W29)-W33</f>
        <v/>
      </c>
      <c r="X36" s="315">
        <f>COUNT(X19:X29)-X33</f>
        <v/>
      </c>
      <c r="Y36" s="315">
        <f>COUNT(Y19:Y29)-Y33</f>
        <v/>
      </c>
      <c r="Z36" s="315">
        <f>COUNT(Z19:Z29)-Z33</f>
        <v/>
      </c>
      <c r="AA36" s="315">
        <f>COUNT(AA19:AA29)-AA33</f>
        <v/>
      </c>
      <c r="AB36" s="315">
        <f>COUNT(AB19:AB29)-AB33</f>
        <v/>
      </c>
      <c r="AC36" s="315">
        <f>COUNT(AC19:AC29)-AC33</f>
        <v/>
      </c>
      <c r="AD36" s="315">
        <f>COUNT(AD19:AD29)-AD33</f>
        <v/>
      </c>
      <c r="AE36" s="315">
        <f>COUNT(AE19:AE29)-AE33</f>
        <v/>
      </c>
      <c r="AF36" s="315">
        <f>COUNT(AF19:AF29)-AF33</f>
        <v/>
      </c>
      <c r="AG36" s="315">
        <f>COUNT(AG19:AG29)-AG33</f>
        <v/>
      </c>
      <c r="AH36" s="315">
        <f>COUNT(AH19:AH29)-AH33</f>
        <v/>
      </c>
      <c r="AI36" s="315">
        <f>COUNT(AI19:AI29)-AI33</f>
        <v/>
      </c>
      <c r="AJ36" s="315">
        <f>COUNT(AJ19:AJ29)-AJ33</f>
        <v/>
      </c>
      <c r="AK36" s="315">
        <f>COUNT(AK19:AK29)-AK33</f>
        <v/>
      </c>
      <c r="AL36" s="316">
        <f>COUNT(AL19:AL29)-AL33</f>
        <v/>
      </c>
      <c r="AM36" s="317">
        <f>SUM(I36:AL36)</f>
        <v/>
      </c>
      <c r="AN36" s="171">
        <f>AM36*8</f>
        <v/>
      </c>
    </row>
    <row r="37" ht="21.95" customHeight="1" s="459">
      <c r="B37" s="478" t="inlineStr">
        <is>
          <t>普通保安每日工作(要求)總人數</t>
        </is>
      </c>
      <c r="C37" s="479" t="n"/>
      <c r="D37" s="480" t="n"/>
      <c r="E37" s="397" t="n"/>
      <c r="F37" s="397" t="n"/>
      <c r="G37" s="397" t="n"/>
      <c r="H37" s="149" t="n"/>
      <c r="I37" s="150" t="n">
        <v>3</v>
      </c>
      <c r="J37" s="151" t="n">
        <v>3</v>
      </c>
      <c r="K37" s="151" t="n">
        <v>3</v>
      </c>
      <c r="L37" s="151" t="n">
        <v>3</v>
      </c>
      <c r="M37" s="151" t="n">
        <v>3</v>
      </c>
      <c r="N37" s="151" t="n">
        <v>3</v>
      </c>
      <c r="O37" s="151" t="n">
        <v>3</v>
      </c>
      <c r="P37" s="151" t="n">
        <v>3</v>
      </c>
      <c r="Q37" s="151" t="n">
        <v>3</v>
      </c>
      <c r="R37" s="151" t="n">
        <v>3</v>
      </c>
      <c r="S37" s="151" t="n">
        <v>3</v>
      </c>
      <c r="T37" s="151" t="n">
        <v>3</v>
      </c>
      <c r="U37" s="151" t="n">
        <v>3</v>
      </c>
      <c r="V37" s="151" t="n">
        <v>3</v>
      </c>
      <c r="W37" s="151" t="n">
        <v>3</v>
      </c>
      <c r="X37" s="151" t="n">
        <v>3</v>
      </c>
      <c r="Y37" s="151" t="n">
        <v>3</v>
      </c>
      <c r="Z37" s="151" t="n">
        <v>3</v>
      </c>
      <c r="AA37" s="151" t="n">
        <v>3</v>
      </c>
      <c r="AB37" s="151" t="n">
        <v>3</v>
      </c>
      <c r="AC37" s="151" t="n">
        <v>3</v>
      </c>
      <c r="AD37" s="151" t="n">
        <v>3</v>
      </c>
      <c r="AE37" s="151" t="n">
        <v>3</v>
      </c>
      <c r="AF37" s="151" t="n">
        <v>3</v>
      </c>
      <c r="AG37" s="151" t="n">
        <v>3</v>
      </c>
      <c r="AH37" s="151" t="n">
        <v>3</v>
      </c>
      <c r="AI37" s="151" t="n">
        <v>3</v>
      </c>
      <c r="AJ37" s="151" t="n">
        <v>3</v>
      </c>
      <c r="AK37" s="151" t="n">
        <v>3</v>
      </c>
      <c r="AL37" s="186" t="n">
        <v>3</v>
      </c>
      <c r="AM37" s="152">
        <f>SUM(I37:AL37)</f>
        <v/>
      </c>
      <c r="AN37" s="149">
        <f>AM37*8</f>
        <v/>
      </c>
    </row>
    <row r="38" ht="21.95" customHeight="1" s="459" thickBot="1">
      <c r="B38" s="481" t="inlineStr">
        <is>
          <t>普通保安每日工作(缺勤)總人數</t>
        </is>
      </c>
      <c r="C38" s="482" t="n"/>
      <c r="D38" s="483" t="n"/>
      <c r="E38" s="191" t="n"/>
      <c r="F38" s="191" t="n"/>
      <c r="G38" s="191" t="n"/>
      <c r="H38" s="192" t="n"/>
      <c r="I38" s="470">
        <f>IF((I36-I37)&lt;0,I36-I37,0)</f>
        <v/>
      </c>
      <c r="J38" s="471">
        <f>IF((J36-J37)&lt;0,J36-J37,0)</f>
        <v/>
      </c>
      <c r="K38" s="471">
        <f>IF((K36-K37)&lt;0,K36-K37,0)</f>
        <v/>
      </c>
      <c r="L38" s="471">
        <f>IF((L36-L37)&lt;0,L36-L37,0)</f>
        <v/>
      </c>
      <c r="M38" s="471">
        <f>IF((M36-M37)&lt;0,M36-M37,0)</f>
        <v/>
      </c>
      <c r="N38" s="471">
        <f>IF((N36-N37)&lt;0,N36-N37,0)</f>
        <v/>
      </c>
      <c r="O38" s="471">
        <f>IF((O36-O37)&lt;0,O36-O37,0)</f>
        <v/>
      </c>
      <c r="P38" s="471">
        <f>IF((P36-P37)&lt;0,P36-P37,0)</f>
        <v/>
      </c>
      <c r="Q38" s="471">
        <f>IF((Q36-Q37)&lt;0,Q36-Q37,0)</f>
        <v/>
      </c>
      <c r="R38" s="471">
        <f>IF((R36-R37)&lt;0,R36-R37,0)</f>
        <v/>
      </c>
      <c r="S38" s="471">
        <f>IF((S36-S37)&lt;0,S36-S37,0)</f>
        <v/>
      </c>
      <c r="T38" s="471">
        <f>IF((T36-T37)&lt;0,T36-T37,0)</f>
        <v/>
      </c>
      <c r="U38" s="471">
        <f>IF((U36-U37)&lt;0,U36-U37,0)</f>
        <v/>
      </c>
      <c r="V38" s="471">
        <f>IF((V36-V37)&lt;0,V36-V37,0)</f>
        <v/>
      </c>
      <c r="W38" s="471">
        <f>IF((W36-W37)&lt;0,W36-W37,0)</f>
        <v/>
      </c>
      <c r="X38" s="471">
        <f>IF((X36-X37)&lt;0,X36-X37,0)</f>
        <v/>
      </c>
      <c r="Y38" s="471">
        <f>IF((Y36-Y37)&lt;0,Y36-Y37,0)</f>
        <v/>
      </c>
      <c r="Z38" s="471">
        <f>IF((Z36-Z37)&lt;0,Z36-Z37,0)</f>
        <v/>
      </c>
      <c r="AA38" s="471">
        <f>IF((AA36-AA37)&lt;0,AA36-AA37,0)</f>
        <v/>
      </c>
      <c r="AB38" s="471">
        <f>IF((AB36-AB37)&lt;0,AB36-AB37,0)</f>
        <v/>
      </c>
      <c r="AC38" s="471">
        <f>IF((AC36-AC37)&lt;0,AC36-AC37,0)</f>
        <v/>
      </c>
      <c r="AD38" s="471">
        <f>IF((AD36-AD37)&lt;0,AD36-AD37,0)</f>
        <v/>
      </c>
      <c r="AE38" s="471">
        <f>IF((AE36-AE37)&lt;0,AE36-AE37,0)</f>
        <v/>
      </c>
      <c r="AF38" s="471">
        <f>IF((AF36-AF37)&lt;0,AF36-AF37,0)</f>
        <v/>
      </c>
      <c r="AG38" s="471">
        <f>IF((AG36-AG37)&lt;0,AG36-AG37,0)</f>
        <v/>
      </c>
      <c r="AH38" s="471">
        <f>IF((AH36-AH37)&lt;0,AH36-AH37,0)</f>
        <v/>
      </c>
      <c r="AI38" s="471">
        <f>IF((AI36-AI37)&lt;0,AI36-AI37,0)</f>
        <v/>
      </c>
      <c r="AJ38" s="471">
        <f>IF((AJ36-AJ37)&lt;0,AJ36-AJ37,0)</f>
        <v/>
      </c>
      <c r="AK38" s="471">
        <f>IF((AK36-AK37)&lt;0,AK36-AK37,0)</f>
        <v/>
      </c>
      <c r="AL38" s="484">
        <f>IF((AL36-AL37)&lt;0,AL36-AL37,0)</f>
        <v/>
      </c>
      <c r="AM38" s="486">
        <f>SUM(I38:AL38)</f>
        <v/>
      </c>
      <c r="AN38" s="487">
        <f>AM38*8</f>
        <v/>
      </c>
    </row>
    <row r="39" ht="21.95" customHeight="1" s="459">
      <c r="B39" s="488" t="inlineStr">
        <is>
          <t>保安每日工作(實際)總人數</t>
        </is>
      </c>
      <c r="C39" s="476" t="n"/>
      <c r="D39" s="477" t="n"/>
      <c r="E39" s="409" t="n"/>
      <c r="F39" s="409" t="n"/>
      <c r="G39" s="409" t="n"/>
      <c r="H39" s="196" t="n"/>
      <c r="I39" s="197">
        <f>SUM(I14+I33+I36)</f>
        <v/>
      </c>
      <c r="J39" s="198">
        <f>SUM(J14+J33+J36)</f>
        <v/>
      </c>
      <c r="K39" s="198">
        <f>SUM(K14+K33+K36)</f>
        <v/>
      </c>
      <c r="L39" s="198">
        <f>SUM(L14+L33+L36)</f>
        <v/>
      </c>
      <c r="M39" s="198">
        <f>SUM(M14+M33+M36)</f>
        <v/>
      </c>
      <c r="N39" s="198">
        <f>SUM(N14+N33+N36)</f>
        <v/>
      </c>
      <c r="O39" s="198">
        <f>SUM(O14+O33+O36)</f>
        <v/>
      </c>
      <c r="P39" s="198">
        <f>SUM(P14+P33+P36)</f>
        <v/>
      </c>
      <c r="Q39" s="198">
        <f>SUM(Q14+Q33+Q36)</f>
        <v/>
      </c>
      <c r="R39" s="198">
        <f>SUM(R14+R33+R36)</f>
        <v/>
      </c>
      <c r="S39" s="198">
        <f>SUM(S14+S33+S36)</f>
        <v/>
      </c>
      <c r="T39" s="198">
        <f>SUM(T14+T33+T36)</f>
        <v/>
      </c>
      <c r="U39" s="198">
        <f>SUM(U14+U33+U36)</f>
        <v/>
      </c>
      <c r="V39" s="198">
        <f>SUM(V14+V33+V36)</f>
        <v/>
      </c>
      <c r="W39" s="198">
        <f>SUM(W14+W33+W36)</f>
        <v/>
      </c>
      <c r="X39" s="198">
        <f>SUM(X14+X33+X36)</f>
        <v/>
      </c>
      <c r="Y39" s="198">
        <f>SUM(Y14+Y33+Y36)</f>
        <v/>
      </c>
      <c r="Z39" s="198">
        <f>SUM(Z14+Z33+Z36)</f>
        <v/>
      </c>
      <c r="AA39" s="198">
        <f>SUM(AA14+AA33+AA36)</f>
        <v/>
      </c>
      <c r="AB39" s="198">
        <f>SUM(AB14+AB33+AB36)</f>
        <v/>
      </c>
      <c r="AC39" s="198">
        <f>SUM(AC14+AC33+AC36)</f>
        <v/>
      </c>
      <c r="AD39" s="198">
        <f>SUM(AD14+AD33+AD36)</f>
        <v/>
      </c>
      <c r="AE39" s="198">
        <f>SUM(AE14+AE33+AE36)</f>
        <v/>
      </c>
      <c r="AF39" s="198">
        <f>SUM(AF14+AF33+AF36)</f>
        <v/>
      </c>
      <c r="AG39" s="198">
        <f>SUM(AG14+AG33+AG36)</f>
        <v/>
      </c>
      <c r="AH39" s="198">
        <f>SUM(AH14+AH33+AH36)</f>
        <v/>
      </c>
      <c r="AI39" s="198">
        <f>SUM(AI14+AI33+AI36)</f>
        <v/>
      </c>
      <c r="AJ39" s="198">
        <f>SUM(AJ14+AJ33+AJ36)</f>
        <v/>
      </c>
      <c r="AK39" s="198">
        <f>SUM(AK14+AK33+AK36)</f>
        <v/>
      </c>
      <c r="AL39" s="199">
        <f>SUM(AL14+AL33+AL36)</f>
        <v/>
      </c>
      <c r="AM39" s="144">
        <f>SUM(I39:AL39)</f>
        <v/>
      </c>
      <c r="AN39" s="141">
        <f>SUM(AN14,AN33,AN36)</f>
        <v/>
      </c>
    </row>
    <row r="40" ht="21.95" customHeight="1" s="459">
      <c r="B40" s="478" t="inlineStr">
        <is>
          <t>保安每日工作(要求)總人數</t>
        </is>
      </c>
      <c r="C40" s="479" t="n"/>
      <c r="D40" s="480" t="n"/>
      <c r="E40" s="397" t="n"/>
      <c r="F40" s="397" t="n"/>
      <c r="G40" s="397" t="n"/>
      <c r="H40" s="149" t="n"/>
      <c r="I40" s="150">
        <f>SUM(I15+I34+I37)</f>
        <v/>
      </c>
      <c r="J40" s="151">
        <f>SUM(J15+J34+J37)</f>
        <v/>
      </c>
      <c r="K40" s="151">
        <f>SUM(K15+K34+K37)</f>
        <v/>
      </c>
      <c r="L40" s="151">
        <f>SUM(L15+L34+L37)</f>
        <v/>
      </c>
      <c r="M40" s="151">
        <f>SUM(M15+M34+M37)</f>
        <v/>
      </c>
      <c r="N40" s="151">
        <f>SUM(N15+N34+N37)</f>
        <v/>
      </c>
      <c r="O40" s="151">
        <f>SUM(O15+O34+O37)</f>
        <v/>
      </c>
      <c r="P40" s="151">
        <f>SUM(P15+P34+P37)</f>
        <v/>
      </c>
      <c r="Q40" s="151">
        <f>SUM(Q15+Q34+Q37)</f>
        <v/>
      </c>
      <c r="R40" s="151">
        <f>SUM(R15+R34+R37)</f>
        <v/>
      </c>
      <c r="S40" s="151">
        <f>SUM(S15+S34+S37)</f>
        <v/>
      </c>
      <c r="T40" s="151">
        <f>SUM(T15+T34+T37)</f>
        <v/>
      </c>
      <c r="U40" s="151">
        <f>SUM(U15+U34+U37)</f>
        <v/>
      </c>
      <c r="V40" s="151">
        <f>SUM(V15+V34+V37)</f>
        <v/>
      </c>
      <c r="W40" s="151">
        <f>SUM(W15+W34+W37)</f>
        <v/>
      </c>
      <c r="X40" s="151">
        <f>SUM(X15+X34+X37)</f>
        <v/>
      </c>
      <c r="Y40" s="151">
        <f>SUM(Y15+Y34+Y37)</f>
        <v/>
      </c>
      <c r="Z40" s="151">
        <f>SUM(Z15+Z34+Z37)</f>
        <v/>
      </c>
      <c r="AA40" s="151">
        <f>SUM(AA15+AA34+AA37)</f>
        <v/>
      </c>
      <c r="AB40" s="151">
        <f>SUM(AB15+AB34+AB37)</f>
        <v/>
      </c>
      <c r="AC40" s="151">
        <f>SUM(AC15+AC34+AC37)</f>
        <v/>
      </c>
      <c r="AD40" s="151">
        <f>SUM(AD15+AD34+AD37)</f>
        <v/>
      </c>
      <c r="AE40" s="151">
        <f>SUM(AE15+AE34+AE37)</f>
        <v/>
      </c>
      <c r="AF40" s="151">
        <f>SUM(AF15+AF34+AF37)</f>
        <v/>
      </c>
      <c r="AG40" s="151">
        <f>SUM(AG15+AG34+AG37)</f>
        <v/>
      </c>
      <c r="AH40" s="151">
        <f>SUM(AH15+AH34+AH37)</f>
        <v/>
      </c>
      <c r="AI40" s="151">
        <f>SUM(AI15+AI34+AI37)</f>
        <v/>
      </c>
      <c r="AJ40" s="151">
        <f>SUM(AJ15+AJ34+AJ37)</f>
        <v/>
      </c>
      <c r="AK40" s="151">
        <f>SUM(AK15+AK34+AK37)</f>
        <v/>
      </c>
      <c r="AL40" s="186">
        <f>SUM(AL15+AL34+AL37)</f>
        <v/>
      </c>
      <c r="AM40" s="152">
        <f>SUM(I40:AL40)</f>
        <v/>
      </c>
      <c r="AN40" s="149">
        <f>SUM(AN15+AN34+AN37)</f>
        <v/>
      </c>
    </row>
    <row r="41" ht="21.95" customHeight="1" s="459" thickBot="1">
      <c r="B41" s="489" t="inlineStr">
        <is>
          <t>保安每日工作(缺勤)總人數</t>
        </is>
      </c>
      <c r="C41" s="482" t="n"/>
      <c r="D41" s="483" t="n"/>
      <c r="E41" s="406" t="n"/>
      <c r="F41" s="406" t="n"/>
      <c r="G41" s="406" t="n"/>
      <c r="H41" s="201" t="n"/>
      <c r="I41" s="470">
        <f>IF((I39-I40)&lt;0,I39-I40,0)</f>
        <v/>
      </c>
      <c r="J41" s="471">
        <f>IF((J39-J40)&lt;0,J39-J40,0)</f>
        <v/>
      </c>
      <c r="K41" s="471">
        <f>IF((K39-K40)&lt;0,K39-K40,0)</f>
        <v/>
      </c>
      <c r="L41" s="471">
        <f>IF((L39-L40)&lt;0,L39-L40,0)</f>
        <v/>
      </c>
      <c r="M41" s="471">
        <f>IF((M39-M40)&lt;0,M39-M40,0)</f>
        <v/>
      </c>
      <c r="N41" s="471">
        <f>IF((N39-N40)&lt;0,N39-N40,0)</f>
        <v/>
      </c>
      <c r="O41" s="471">
        <f>IF((O39-O40)&lt;0,O39-O40,0)</f>
        <v/>
      </c>
      <c r="P41" s="471">
        <f>IF((P39-P40)&lt;0,P39-P40,0)</f>
        <v/>
      </c>
      <c r="Q41" s="471">
        <f>IF((Q39-Q40)&lt;0,Q39-Q40,0)</f>
        <v/>
      </c>
      <c r="R41" s="471">
        <f>IF((R39-R40)&lt;0,R39-R40,0)</f>
        <v/>
      </c>
      <c r="S41" s="471">
        <f>IF((S39-S40)&lt;0,S39-S40,0)</f>
        <v/>
      </c>
      <c r="T41" s="471">
        <f>IF((T39-T40)&lt;0,T39-T40,0)</f>
        <v/>
      </c>
      <c r="U41" s="471">
        <f>IF((U39-U40)&lt;0,U39-U40,0)</f>
        <v/>
      </c>
      <c r="V41" s="471">
        <f>IF((V39-V40)&lt;0,V39-V40,0)</f>
        <v/>
      </c>
      <c r="W41" s="471">
        <f>IF((W39-W40)&lt;0,W39-W40,0)</f>
        <v/>
      </c>
      <c r="X41" s="471">
        <f>IF((X39-X40)&lt;0,X39-X40,0)</f>
        <v/>
      </c>
      <c r="Y41" s="471">
        <f>IF((Y39-Y40)&lt;0,Y39-Y40,0)</f>
        <v/>
      </c>
      <c r="Z41" s="471">
        <f>IF((Z39-Z40)&lt;0,Z39-Z40,0)</f>
        <v/>
      </c>
      <c r="AA41" s="471">
        <f>IF((AA39-AA40)&lt;0,AA39-AA40,0)</f>
        <v/>
      </c>
      <c r="AB41" s="471">
        <f>IF((AB39-AB40)&lt;0,AB39-AB40,0)</f>
        <v/>
      </c>
      <c r="AC41" s="471">
        <f>IF((AC39-AC40)&lt;0,AC39-AC40,0)</f>
        <v/>
      </c>
      <c r="AD41" s="471">
        <f>IF((AD39-AD40)&lt;0,AD39-AD40,0)</f>
        <v/>
      </c>
      <c r="AE41" s="471">
        <f>IF((AE39-AE40)&lt;0,AE39-AE40,0)</f>
        <v/>
      </c>
      <c r="AF41" s="471">
        <f>IF((AF39-AF40)&lt;0,AF39-AF40,0)</f>
        <v/>
      </c>
      <c r="AG41" s="471">
        <f>IF((AG39-AG40)&lt;0,AG39-AG40,0)</f>
        <v/>
      </c>
      <c r="AH41" s="471">
        <f>IF((AH39-AH40)&lt;0,AH39-AH40,0)</f>
        <v/>
      </c>
      <c r="AI41" s="471">
        <f>IF((AI39-AI40)&lt;0,AI39-AI40,0)</f>
        <v/>
      </c>
      <c r="AJ41" s="471">
        <f>IF((AJ39-AJ40)&lt;0,AJ39-AJ40,0)</f>
        <v/>
      </c>
      <c r="AK41" s="471">
        <f>IF((AK39-AK40)&lt;0,AK39-AK40,0)</f>
        <v/>
      </c>
      <c r="AL41" s="484">
        <f>IF((AL39-AL40)&lt;0,AL39-AL40,0)</f>
        <v/>
      </c>
      <c r="AM41" s="490">
        <f>SUM(I41:AL41)</f>
        <v/>
      </c>
      <c r="AN41" s="485">
        <f>AM41*8</f>
        <v/>
      </c>
    </row>
    <row r="42" ht="21.95" customHeight="1" s="459">
      <c r="B42" s="91" t="n"/>
      <c r="C42" s="90" t="n"/>
      <c r="D42" s="90" t="n"/>
      <c r="E42" s="90" t="n"/>
      <c r="F42" s="90" t="n"/>
      <c r="G42" s="90" t="n"/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91" t="n"/>
      <c r="T42" s="91" t="n"/>
      <c r="U42" s="91" t="n"/>
      <c r="V42" s="91" t="n"/>
      <c r="W42" s="91" t="n"/>
      <c r="X42" s="91" t="n"/>
      <c r="Y42" s="91" t="n"/>
      <c r="Z42" s="91" t="n"/>
      <c r="AA42" s="91" t="n"/>
      <c r="AB42" s="91" t="n"/>
      <c r="AC42" s="491" t="n"/>
      <c r="AD42" s="492" t="n"/>
      <c r="AE42" s="492" t="n"/>
      <c r="AF42" s="492" t="n"/>
      <c r="AG42" s="492" t="n"/>
      <c r="AH42" s="492" t="n"/>
      <c r="AI42" s="492" t="n"/>
      <c r="AJ42" s="492" t="n"/>
      <c r="AK42" s="492" t="n"/>
      <c r="AL42" s="492" t="n"/>
      <c r="AM42" s="492" t="n"/>
      <c r="AN42" s="492" t="n"/>
      <c r="AO42" s="493" t="n"/>
      <c r="AP42" s="493" t="n"/>
      <c r="AQ42" s="493" t="n"/>
    </row>
    <row r="43" ht="21.95" customHeight="1" s="459">
      <c r="B43" s="91" t="n"/>
      <c r="C43" s="90" t="n"/>
      <c r="D43" s="90" t="n"/>
      <c r="E43" s="90" t="n"/>
      <c r="F43" s="90" t="n"/>
      <c r="G43" s="90" t="n"/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91" t="n"/>
      <c r="T43" s="91" t="n"/>
      <c r="U43" s="91" t="n"/>
      <c r="V43" s="91" t="n"/>
      <c r="W43" s="91" t="n"/>
      <c r="X43" s="91" t="n"/>
      <c r="Y43" s="91" t="n"/>
      <c r="Z43" s="91" t="n"/>
      <c r="AA43" s="91" t="n"/>
      <c r="AB43" s="91" t="n"/>
      <c r="AC43" s="494" t="n"/>
      <c r="AD43" s="494" t="n"/>
      <c r="AE43" s="494" t="n"/>
      <c r="AF43" s="494" t="n"/>
      <c r="AG43" s="494" t="n"/>
      <c r="AH43" s="494" t="n"/>
      <c r="AI43" s="494" t="n"/>
      <c r="AJ43" s="494" t="n"/>
      <c r="AK43" s="494" t="n"/>
      <c r="AL43" s="494" t="n"/>
      <c r="AM43" s="494" t="n"/>
      <c r="AN43" s="494" t="n"/>
      <c r="AO43" s="495" t="n"/>
      <c r="AP43" s="495" t="n"/>
      <c r="AQ43" s="495" t="n"/>
    </row>
    <row r="44" ht="22.5" customFormat="1" customHeight="1" s="13">
      <c r="A44" s="376" t="n"/>
      <c r="B44" s="377" t="n"/>
      <c r="C44" s="378" t="n"/>
      <c r="D44" s="378" t="n"/>
      <c r="E44" s="378" t="n"/>
      <c r="F44" s="378" t="n"/>
      <c r="G44" s="378" t="n"/>
      <c r="H44" s="379" t="inlineStr">
        <is>
          <t>備註：</t>
        </is>
      </c>
      <c r="I44" s="380" t="inlineStr">
        <is>
          <t xml:space="preserve"> GS=Guard Supervisor     SG=Special Guard      G=Security Guard</t>
        </is>
      </c>
      <c r="J44" s="496" t="n"/>
      <c r="K44" s="496" t="n"/>
      <c r="L44" s="496" t="n"/>
      <c r="M44" s="496" t="n"/>
      <c r="N44" s="496" t="n"/>
      <c r="O44" s="496" t="n"/>
      <c r="P44" s="496" t="n"/>
      <c r="Q44" s="496" t="n"/>
      <c r="R44" s="351" t="n"/>
      <c r="S44" s="351" t="n"/>
      <c r="T44" s="351" t="n"/>
      <c r="U44" s="351" t="n"/>
      <c r="V44" s="351" t="n"/>
      <c r="W44" s="351" t="n"/>
      <c r="X44" s="351" t="n"/>
      <c r="Y44" s="351" t="n"/>
      <c r="Z44" s="378" t="n"/>
      <c r="AA44" s="497" t="inlineStr">
        <is>
          <t>SH / NSH</t>
        </is>
      </c>
      <c r="AB44" s="498" t="n"/>
      <c r="AC44" s="382" t="inlineStr">
        <is>
          <t>RD</t>
        </is>
      </c>
      <c r="AD44" s="383" t="inlineStr">
        <is>
          <t>NP</t>
        </is>
      </c>
      <c r="AE44" s="384" t="inlineStr">
        <is>
          <t>SL</t>
        </is>
      </c>
      <c r="AF44" s="385" t="inlineStr">
        <is>
          <t>AL</t>
        </is>
      </c>
      <c r="AG44" s="386" t="inlineStr">
        <is>
          <t>NC</t>
        </is>
      </c>
      <c r="AH44" s="378" t="n"/>
      <c r="AI44" s="378" t="n"/>
      <c r="AJ44" s="377" t="n"/>
      <c r="AK44" s="377" t="n"/>
      <c r="AL44" s="376" t="n"/>
      <c r="AM44" s="376" t="n"/>
      <c r="AN44" s="376" t="n"/>
      <c r="AO44" s="376" t="n"/>
      <c r="AP44" s="376" t="n"/>
      <c r="AQ44" s="376" t="n"/>
      <c r="AR44" s="376" t="n"/>
      <c r="AS44" s="376" t="n"/>
      <c r="AT44" s="376" t="n"/>
      <c r="AU44" s="376" t="n"/>
      <c r="AV44" s="376" t="n"/>
      <c r="AW44" s="376" t="n"/>
      <c r="AX44" s="376" t="n"/>
      <c r="AY44" s="376" t="n"/>
      <c r="AZ44" s="376" t="n"/>
    </row>
    <row r="45" ht="21.95" customFormat="1" customHeight="1" s="13">
      <c r="A45" s="376" t="n"/>
      <c r="B45" s="377" t="n"/>
      <c r="C45" s="378" t="n"/>
      <c r="D45" s="378" t="n"/>
      <c r="E45" s="378" t="n"/>
      <c r="F45" s="378" t="n"/>
      <c r="G45" s="378" t="n"/>
      <c r="H45" s="388" t="n"/>
      <c r="I45" s="380" t="inlineStr">
        <is>
          <t>【AL=年假】【NP=無薪假】【PH=公眾假期】【PL=其他有薪假】【RD=例假】【SH=法定假期】【NSH=無薪法定假期】【SL=病假】【NC=非合約期】【S=Secondment借調/其他更份】</t>
        </is>
      </c>
      <c r="J45" s="351" t="n"/>
      <c r="K45" s="351" t="n"/>
      <c r="L45" s="351" t="n"/>
      <c r="M45" s="351" t="n"/>
      <c r="N45" s="351" t="n"/>
      <c r="O45" s="351" t="n"/>
      <c r="P45" s="351" t="n"/>
      <c r="Q45" s="351" t="n"/>
      <c r="R45" s="351" t="n"/>
      <c r="S45" s="351" t="n"/>
      <c r="T45" s="351" t="n"/>
      <c r="U45" s="351" t="n"/>
      <c r="V45" s="351" t="n"/>
      <c r="W45" s="351" t="n"/>
      <c r="X45" s="351" t="n"/>
      <c r="Y45" s="351" t="n"/>
      <c r="Z45" s="378" t="n"/>
      <c r="AA45" s="378" t="n"/>
      <c r="AB45" s="378" t="n"/>
      <c r="AC45" s="378" t="n"/>
      <c r="AD45" s="378" t="n"/>
      <c r="AE45" s="378" t="n"/>
      <c r="AF45" s="378" t="n"/>
      <c r="AG45" s="378" t="n"/>
      <c r="AH45" s="378" t="n"/>
      <c r="AI45" s="378" t="n"/>
      <c r="AJ45" s="378" t="n"/>
      <c r="AK45" s="378" t="n"/>
      <c r="AL45" s="378" t="n"/>
      <c r="AM45" s="378" t="n"/>
      <c r="AN45" s="378" t="n"/>
      <c r="AO45" s="376" t="n"/>
      <c r="AP45" s="376" t="n"/>
      <c r="AQ45" s="376" t="n"/>
      <c r="AR45" s="376" t="n"/>
      <c r="AS45" s="376" t="n"/>
      <c r="AT45" s="376" t="n"/>
      <c r="AU45" s="376" t="n"/>
      <c r="AV45" s="376" t="n"/>
      <c r="AW45" s="376" t="n"/>
      <c r="AX45" s="376" t="n"/>
      <c r="AY45" s="376" t="n"/>
      <c r="AZ45" s="376" t="n"/>
      <c r="BA45" s="376" t="n"/>
      <c r="BB45" s="376" t="n"/>
      <c r="BC45" s="376" t="n"/>
    </row>
    <row r="46" ht="21.95" customHeight="1" s="459">
      <c r="AF46" s="31" t="n"/>
      <c r="AG46" s="31" t="n"/>
      <c r="AH46" s="31" t="n"/>
    </row>
    <row r="47" ht="21.95" customHeight="1" s="459">
      <c r="D47" s="31" t="n"/>
      <c r="H47" s="32" t="n"/>
      <c r="I47" s="32" t="n"/>
      <c r="J47" s="32" t="n"/>
      <c r="AF47" s="31" t="n"/>
      <c r="AG47" s="31" t="n"/>
      <c r="AH47" s="31" t="n"/>
    </row>
    <row r="48" ht="21.95" customHeight="1" s="459">
      <c r="D48" s="31" t="n"/>
      <c r="H48" s="32" t="n"/>
      <c r="AF48" s="31" t="n"/>
      <c r="AG48" s="31" t="n"/>
      <c r="AH48" s="31" t="n"/>
    </row>
    <row r="49" ht="21.95" customHeight="1" s="459">
      <c r="AF49" s="31" t="n"/>
      <c r="AG49" s="31" t="n"/>
      <c r="AH49" s="31" t="n"/>
      <c r="AJ49" s="37" t="n"/>
      <c r="AK49" s="39" t="n"/>
      <c r="AL49" s="39" t="n"/>
      <c r="AM49" s="39" t="n"/>
      <c r="AN49" s="39" t="n"/>
    </row>
    <row r="50" ht="21.95" customHeight="1" s="459">
      <c r="I50" s="36" t="n"/>
      <c r="AF50" s="31" t="n"/>
      <c r="AG50" s="31" t="n"/>
      <c r="AH50" s="31" t="n"/>
      <c r="AJ50" s="39" t="n"/>
      <c r="AK50" s="39" t="n"/>
      <c r="AL50" s="39" t="n"/>
      <c r="AM50" s="39" t="n"/>
      <c r="AN50" s="39" t="n"/>
    </row>
    <row r="51" ht="21.95" customHeight="1" s="459">
      <c r="AF51" s="31" t="n"/>
      <c r="AG51" s="31" t="n"/>
      <c r="AH51" s="31" t="n"/>
      <c r="AJ51" s="39" t="n"/>
      <c r="AK51" s="39" t="n"/>
      <c r="AL51" s="39" t="n"/>
      <c r="AM51" s="40" t="n"/>
      <c r="AN51" s="40" t="n"/>
    </row>
    <row r="52" ht="21.95" customHeight="1" s="459">
      <c r="AF52" s="31" t="n"/>
      <c r="AG52" s="31" t="n"/>
      <c r="AH52" s="31" t="n"/>
      <c r="AJ52" s="39" t="n"/>
      <c r="AK52" s="39" t="n"/>
      <c r="AL52" s="39" t="n"/>
      <c r="AM52" s="40" t="n"/>
      <c r="AN52" s="40" t="n"/>
    </row>
    <row r="53" ht="21.95" customHeight="1" s="459">
      <c r="AF53" s="31" t="n"/>
      <c r="AG53" s="31" t="n"/>
      <c r="AH53" s="31" t="n"/>
      <c r="AJ53" s="37" t="n"/>
      <c r="AK53" s="41" t="n"/>
      <c r="AL53" s="42" t="n"/>
      <c r="AM53" s="42" t="n"/>
      <c r="AN53" s="42" t="n"/>
    </row>
    <row r="54" ht="21.95" customHeight="1" s="459"/>
    <row r="55" ht="21.95" customHeight="1" s="459"/>
    <row r="56" ht="21.95" customHeight="1" s="459"/>
    <row r="57" ht="21.95" customHeight="1" s="459"/>
    <row r="58" ht="21.95" customHeight="1" s="459"/>
    <row r="59" ht="21.95" customHeight="1" s="459"/>
    <row r="60" ht="21.95" customHeight="1" s="459"/>
    <row r="61" ht="21.95" customHeight="1" s="459"/>
    <row r="62" ht="21.95" customHeight="1" s="459"/>
    <row r="63" ht="21.95" customHeight="1" s="459"/>
    <row r="64" ht="21.95" customHeight="1" s="459"/>
    <row r="65" ht="21.95" customHeight="1" s="459"/>
    <row r="66" ht="21.95" customHeight="1" s="459"/>
    <row r="67" ht="21.95" customHeight="1" s="459"/>
    <row r="68" ht="21.95" customHeight="1" s="459"/>
    <row r="69" ht="21.95" customHeight="1" s="459"/>
    <row r="70" ht="21.95" customHeight="1" s="459"/>
    <row r="71" ht="21.95" customHeight="1" s="459"/>
    <row r="72" ht="21.95" customHeight="1" s="459"/>
    <row r="73" ht="21.95" customHeight="1" s="459"/>
    <row r="74" ht="21.95" customHeight="1" s="459"/>
    <row r="75" ht="21.95" customHeight="1" s="459"/>
    <row r="76" ht="21.95" customHeight="1" s="459"/>
    <row r="77" ht="21.95" customHeight="1" s="459"/>
    <row r="78" ht="21.95" customHeight="1" s="459"/>
    <row r="79" ht="21.95" customHeight="1" s="459"/>
    <row r="80" ht="21.95" customHeight="1" s="459"/>
    <row r="81" ht="21.95" customHeight="1" s="459"/>
    <row r="82" ht="21.95" customHeight="1" s="459"/>
    <row r="83" ht="21.95" customHeight="1" s="459"/>
    <row r="84" ht="21.95" customHeight="1" s="459"/>
    <row r="85" ht="21.95" customHeight="1" s="459"/>
    <row r="86" ht="21.95" customHeight="1" s="459"/>
    <row r="87" ht="21.95" customHeight="1" s="459"/>
    <row r="88" ht="21.95" customHeight="1" s="459"/>
    <row r="89" ht="21.95" customHeight="1" s="459"/>
    <row r="90" ht="21.95" customHeight="1" s="459"/>
    <row r="91" ht="21.95" customHeight="1" s="459"/>
    <row r="92" ht="21.95" customHeight="1" s="459"/>
    <row r="93" ht="21.95" customHeight="1" s="459"/>
    <row r="94" ht="21.95" customHeight="1" s="459"/>
    <row r="95" ht="21.95" customHeight="1" s="459"/>
    <row r="96" ht="21.95" customHeight="1" s="459"/>
    <row r="97" ht="21.95" customHeight="1" s="459"/>
    <row r="98" ht="21.95" customHeight="1" s="459"/>
    <row r="99" ht="21.95" customHeight="1" s="459"/>
    <row r="100" ht="21.95" customHeight="1" s="459"/>
    <row r="101" ht="21.95" customHeight="1" s="459"/>
    <row r="102" ht="21.95" customHeight="1" s="459"/>
    <row r="103" ht="21.95" customHeight="1" s="459"/>
    <row r="104" ht="21.95" customHeight="1" s="459"/>
    <row r="105" ht="21.95" customHeight="1" s="459"/>
    <row r="106" ht="21.95" customHeight="1" s="459"/>
    <row r="107" ht="21.95" customHeight="1" s="459"/>
    <row r="108" ht="21.95" customHeight="1" s="459"/>
    <row r="109" ht="21.95" customHeight="1" s="459"/>
    <row r="110" ht="21.95" customHeight="1" s="459"/>
    <row r="111" ht="21.95" customHeight="1" s="459"/>
    <row r="112" ht="21.95" customHeight="1" s="459"/>
    <row r="113" ht="21.95" customHeight="1" s="459"/>
    <row r="114" ht="21.95" customHeight="1" s="459"/>
    <row r="115" ht="21.95" customHeight="1" s="459"/>
    <row r="116" ht="21.95" customHeight="1" s="459"/>
    <row r="117" ht="21.95" customHeight="1" s="459"/>
    <row r="118" ht="21.95" customHeight="1" s="459"/>
    <row r="119" ht="21.95" customHeight="1" s="459"/>
    <row r="120" ht="21.95" customHeight="1" s="459"/>
    <row r="121" ht="21.95" customHeight="1" s="459"/>
    <row r="122" ht="21.95" customHeight="1" s="459"/>
    <row r="123" ht="21.95" customHeight="1" s="459"/>
    <row r="124" ht="21.95" customHeight="1" s="459"/>
    <row r="125" ht="21.95" customHeight="1" s="459"/>
    <row r="126" ht="21.95" customHeight="1" s="459"/>
    <row r="127" ht="21.95" customHeight="1" s="459"/>
    <row r="128" ht="21.95" customHeight="1" s="459"/>
    <row r="129" ht="21.95" customHeight="1" s="459"/>
    <row r="130" ht="21.95" customHeight="1" s="459"/>
    <row r="131" ht="21.95" customHeight="1" s="459"/>
    <row r="132" ht="21.95" customHeight="1" s="459"/>
    <row r="133" ht="21.95" customHeight="1" s="459"/>
    <row r="134" ht="21.95" customHeight="1" s="459"/>
    <row r="135" ht="21.95" customHeight="1" s="459"/>
    <row r="136" ht="21.95" customHeight="1" s="459"/>
    <row r="137" ht="21.95" customHeight="1" s="459"/>
  </sheetData>
  <autoFilter ref="D7:D30"/>
  <mergeCells count="20">
    <mergeCell ref="AA44:AB44"/>
    <mergeCell ref="B2:AN2"/>
    <mergeCell ref="B38:D38"/>
    <mergeCell ref="AC42:AN42"/>
    <mergeCell ref="B34:D34"/>
    <mergeCell ref="B37:D37"/>
    <mergeCell ref="B1:AN1"/>
    <mergeCell ref="B40:D40"/>
    <mergeCell ref="BB6:BB7"/>
    <mergeCell ref="O4:Y4"/>
    <mergeCell ref="B33:D33"/>
    <mergeCell ref="B36:D36"/>
    <mergeCell ref="AM6:AM7"/>
    <mergeCell ref="B41:D41"/>
    <mergeCell ref="B35:D35"/>
    <mergeCell ref="B30:C30"/>
    <mergeCell ref="D30:H30"/>
    <mergeCell ref="B39:D39"/>
    <mergeCell ref="AN6:AN7"/>
    <mergeCell ref="B3:AN3"/>
  </mergeCells>
  <conditionalFormatting sqref="B1:B2">
    <cfRule type="cellIs" priority="163" operator="equal" dxfId="220">
      <formula>"NC"</formula>
    </cfRule>
    <cfRule type="cellIs" priority="164" operator="equal" dxfId="219">
      <formula>"R"</formula>
    </cfRule>
    <cfRule type="cellIs" priority="165" operator="equal" dxfId="221" stopIfTrue="1">
      <formula>"RD"</formula>
    </cfRule>
    <cfRule type="cellIs" priority="907" operator="equal" dxfId="226">
      <formula>"NP"</formula>
    </cfRule>
    <cfRule type="cellIs" priority="908" operator="equal" dxfId="23">
      <formula>"NC"</formula>
    </cfRule>
    <cfRule type="cellIs" priority="912" operator="equal" dxfId="3" stopIfTrue="1">
      <formula>"NP"</formula>
    </cfRule>
  </conditionalFormatting>
  <conditionalFormatting sqref="C4">
    <cfRule type="cellIs" priority="902" operator="equal" dxfId="23">
      <formula>"NC"</formula>
    </cfRule>
    <cfRule type="cellIs" priority="903" operator="equal" dxfId="3" stopIfTrue="1">
      <formula>"NP"</formula>
    </cfRule>
    <cfRule type="cellIs" priority="904" operator="equal" dxfId="221" stopIfTrue="1">
      <formula>"RD"</formula>
    </cfRule>
    <cfRule type="cellIs" priority="905" operator="equal" dxfId="220">
      <formula>"NC"</formula>
    </cfRule>
    <cfRule type="cellIs" priority="906" operator="equal" dxfId="219">
      <formula>"R"</formula>
    </cfRule>
  </conditionalFormatting>
  <conditionalFormatting sqref="I10">
    <cfRule type="cellIs" priority="220" operator="equal" dxfId="7">
      <formula>"SG"</formula>
    </cfRule>
    <cfRule type="cellIs" priority="221" operator="equal" dxfId="3">
      <formula>"SR"</formula>
    </cfRule>
    <cfRule type="containsText" priority="222" operator="containsText" dxfId="9" text="AL">
      <formula>NOT(ISERROR(SEARCH("AL",I10)))</formula>
    </cfRule>
    <cfRule type="containsText" priority="224" operator="containsText" dxfId="6" text="SL">
      <formula>NOT(ISERROR(SEARCH("SL",I10)))</formula>
    </cfRule>
    <cfRule type="containsText" priority="225" operator="containsText" dxfId="5" text="NP">
      <formula>NOT(ISERROR(SEARCH("NP",I10)))</formula>
    </cfRule>
    <cfRule type="containsText" priority="226" operator="containsText" dxfId="4" text="SH">
      <formula>NOT(ISERROR(SEARCH("SH",I10)))</formula>
    </cfRule>
    <cfRule type="containsText" priority="227" operator="containsText" dxfId="3" text="RD">
      <formula>NOT(ISERROR(SEARCH("RD",I10)))</formula>
    </cfRule>
  </conditionalFormatting>
  <conditionalFormatting sqref="I11:Y13 I14:AF14 I15:Y18 I31:AF31 AA11:AM13 AA15:AF18 AJ14:AM18 AJ31:AM31">
    <cfRule type="containsText" priority="981" operator="containsText" dxfId="23" text="AL">
      <formula>NOT(ISERROR(SEARCH("AL",I11)))</formula>
    </cfRule>
    <cfRule type="containsText" priority="982" operator="containsText" dxfId="6" text="SL">
      <formula>NOT(ISERROR(SEARCH("SL",I11)))</formula>
    </cfRule>
    <cfRule type="containsText" priority="983" operator="containsText" dxfId="5" text="NP">
      <formula>NOT(ISERROR(SEARCH("NP",I11)))</formula>
    </cfRule>
    <cfRule type="containsText" priority="984" operator="containsText" dxfId="4" text="SH">
      <formula>NOT(ISERROR(SEARCH("SH",I11)))</formula>
    </cfRule>
    <cfRule type="containsText" priority="987" operator="containsText" dxfId="3" text="RD">
      <formula>NOT(ISERROR(SEARCH("RD",I11)))</formula>
    </cfRule>
    <cfRule type="containsText" priority="968" operator="containsText" dxfId="235" text="EC">
      <formula>NOT(ISERROR(SEARCH("EC",I11)))</formula>
    </cfRule>
    <cfRule type="containsText" priority="980" operator="containsText" dxfId="234" text="OTE">
      <formula>NOT(ISERROR(SEARCH("OTE",I11)))</formula>
    </cfRule>
  </conditionalFormatting>
  <conditionalFormatting sqref="I20:AA20 I21:AF24 I25:AB25 I26:AF29 AC20:AF20 AD25:AF25 AJ20:AM29">
    <cfRule type="containsText" priority="753" operator="containsText" dxfId="235" text="EC">
      <formula>NOT(ISERROR(SEARCH("EC",I20)))</formula>
    </cfRule>
    <cfRule type="containsText" priority="754" operator="containsText" dxfId="234" text="OTE">
      <formula>NOT(ISERROR(SEARCH("OTE",I20)))</formula>
    </cfRule>
    <cfRule type="containsText" priority="755" operator="containsText" dxfId="9" text="AL">
      <formula>NOT(ISERROR(SEARCH("AL",I20)))</formula>
    </cfRule>
    <cfRule type="containsText" priority="756" operator="containsText" dxfId="6" text="SL">
      <formula>NOT(ISERROR(SEARCH("SL",I20)))</formula>
    </cfRule>
    <cfRule type="containsText" priority="757" operator="containsText" dxfId="5" text="NP">
      <formula>NOT(ISERROR(SEARCH("NP",I20)))</formula>
    </cfRule>
    <cfRule type="containsText" priority="758" operator="containsText" dxfId="4" text="SH">
      <formula>NOT(ISERROR(SEARCH("SH",I20)))</formula>
    </cfRule>
    <cfRule type="containsText" priority="759" operator="containsText" dxfId="3" text="RD">
      <formula>NOT(ISERROR(SEARCH("RD",I20)))</formula>
    </cfRule>
    <cfRule type="containsText" priority="760" operator="containsText" dxfId="234" text="OTE">
      <formula>NOT(ISERROR(SEARCH("OTE",I20)))</formula>
    </cfRule>
    <cfRule type="containsText" priority="761" operator="containsText" dxfId="9" text="AL">
      <formula>NOT(ISERROR(SEARCH("AL",I20)))</formula>
    </cfRule>
    <cfRule type="containsText" priority="762" operator="containsText" dxfId="6" text="SL">
      <formula>NOT(ISERROR(SEARCH("SL",I20)))</formula>
    </cfRule>
    <cfRule type="containsText" priority="763" operator="containsText" dxfId="5" text="NP">
      <formula>NOT(ISERROR(SEARCH("NP",I20)))</formula>
    </cfRule>
    <cfRule type="containsText" priority="764" operator="containsText" dxfId="4" text="SH">
      <formula>NOT(ISERROR(SEARCH("SH",I20)))</formula>
    </cfRule>
    <cfRule type="containsText" priority="765" operator="containsText" dxfId="3" text="RD">
      <formula>NOT(ISERROR(SEARCH("RD",I20)))</formula>
    </cfRule>
    <cfRule type="cellIs" priority="749" operator="equal" dxfId="221">
      <formula>"CL"</formula>
    </cfRule>
    <cfRule type="cellIs" priority="750" operator="equal" dxfId="7">
      <formula>"GS"</formula>
    </cfRule>
    <cfRule type="cellIs" priority="751" operator="equal" dxfId="232">
      <formula>"NC"</formula>
    </cfRule>
    <cfRule type="cellIs" priority="752" operator="equal" dxfId="7">
      <formula>"SG"</formula>
    </cfRule>
  </conditionalFormatting>
  <conditionalFormatting sqref="I19:AF19 AJ19:AL19">
    <cfRule type="cellIs" priority="802" operator="equal" dxfId="221">
      <formula>"CL"</formula>
    </cfRule>
    <cfRule type="cellIs" priority="803" operator="equal" dxfId="7">
      <formula>"GS"</formula>
    </cfRule>
    <cfRule type="cellIs" priority="804" operator="equal" dxfId="232">
      <formula>"NC"</formula>
    </cfRule>
    <cfRule type="cellIs" priority="805" operator="equal" dxfId="7">
      <formula>"SG"</formula>
    </cfRule>
    <cfRule type="containsText" priority="806" operator="containsText" dxfId="235" text="EC">
      <formula>NOT(ISERROR(SEARCH("EC",I19)))</formula>
    </cfRule>
    <cfRule type="containsText" priority="807" operator="containsText" dxfId="234" text="OTE">
      <formula>NOT(ISERROR(SEARCH("OTE",I19)))</formula>
    </cfRule>
    <cfRule type="containsText" priority="808" operator="containsText" dxfId="9" text="AL">
      <formula>NOT(ISERROR(SEARCH("AL",I19)))</formula>
    </cfRule>
    <cfRule type="containsText" priority="809" operator="containsText" dxfId="6" text="SL">
      <formula>NOT(ISERROR(SEARCH("SL",I19)))</formula>
    </cfRule>
    <cfRule type="containsText" priority="810" operator="containsText" dxfId="5" text="NP">
      <formula>NOT(ISERROR(SEARCH("NP",I19)))</formula>
    </cfRule>
    <cfRule type="containsText" priority="811" operator="containsText" dxfId="4" text="SH">
      <formula>NOT(ISERROR(SEARCH("SH",I19)))</formula>
    </cfRule>
    <cfRule type="containsText" priority="812" operator="containsText" dxfId="3" text="RD">
      <formula>NOT(ISERROR(SEARCH("RD",I19)))</formula>
    </cfRule>
  </conditionalFormatting>
  <conditionalFormatting sqref="I6:AM7">
    <cfRule type="expression" priority="1043" dxfId="157">
      <formula>(WEEKDAY($I1048522,5)&gt;1)</formula>
    </cfRule>
    <cfRule type="expression" priority="1044" dxfId="37">
      <formula>LEFT(#REF!,1)="H"</formula>
    </cfRule>
    <cfRule type="expression" priority="1045" dxfId="37">
      <formula>WEEKDAY(I$6,2)&gt;6</formula>
    </cfRule>
    <cfRule type="expression" priority="1046" dxfId="37">
      <formula>WEEKDAY(#REF!,2)&gt;6</formula>
    </cfRule>
  </conditionalFormatting>
  <conditionalFormatting sqref="I8:AF9 I11:AM13 I14:AF18 J10:AF10 AJ8:AM10 AJ14:AM18">
    <cfRule type="cellIs" priority="861" operator="equal" dxfId="221">
      <formula>"CL"</formula>
    </cfRule>
  </conditionalFormatting>
  <conditionalFormatting sqref="I8:AF9 J10:AF10 AJ8:AM10">
    <cfRule type="cellIs" priority="862" operator="equal" dxfId="232">
      <formula>"NC"</formula>
    </cfRule>
    <cfRule type="containsText" priority="863" operator="containsText" dxfId="235" text="EC">
      <formula>NOT(ISERROR(SEARCH("EC",I8)))</formula>
    </cfRule>
    <cfRule type="containsText" priority="864" operator="containsText" dxfId="234" text="OTE">
      <formula>NOT(ISERROR(SEARCH("OTE",I8)))</formula>
    </cfRule>
    <cfRule type="containsText" priority="865" operator="containsText" dxfId="9" text="AL">
      <formula>NOT(ISERROR(SEARCH("AL",I8)))</formula>
    </cfRule>
    <cfRule type="containsText" priority="866" operator="containsText" dxfId="6" text="SL">
      <formula>NOT(ISERROR(SEARCH("SL",I8)))</formula>
    </cfRule>
    <cfRule type="containsText" priority="867" operator="containsText" dxfId="5" text="NP">
      <formula>NOT(ISERROR(SEARCH("NP",I8)))</formula>
    </cfRule>
    <cfRule type="containsText" priority="868" operator="containsText" dxfId="4" text="SH">
      <formula>NOT(ISERROR(SEARCH("SH",I8)))</formula>
    </cfRule>
    <cfRule type="containsText" priority="869" operator="containsText" dxfId="3" text="RD">
      <formula>NOT(ISERROR(SEARCH("RD",I8)))</formula>
    </cfRule>
  </conditionalFormatting>
  <conditionalFormatting sqref="A4:I4 A5:AM5 A6:H7 A8:D10 A11:AM13 A14:G14 A15:AF32 A33:G33 A34:H38 A39:AF39 A40:H41 A42:AB43 A46:AM48 I8:AF10 I14:AF14 J33:AF38 J40:AF41 AJ8:AM10 AJ14:AM41">
    <cfRule type="cellIs" priority="228" operator="equal" dxfId="7">
      <formula>"GS"</formula>
    </cfRule>
  </conditionalFormatting>
  <conditionalFormatting sqref="A4:I4 A5:AM5 A6:H7 A8:D10 A11:AM13 A14:G14 A15:AF32 A33:G33 A34:H38 A39:AF39 A40:H41 A42:AB43 A46:AM48 I8:AF10 I14:AF18 J33:AF38 J40:AF41 AJ8:AM10 AJ14:AM41">
    <cfRule type="cellIs" priority="230" operator="equal" dxfId="7">
      <formula>"SG"</formula>
    </cfRule>
  </conditionalFormatting>
  <conditionalFormatting sqref="I11:AM13 I14:AF18 I31:AF31 AJ14:AM18 AJ31:AM31">
    <cfRule type="cellIs" priority="939" operator="equal" dxfId="232">
      <formula>"NC"</formula>
    </cfRule>
  </conditionalFormatting>
  <conditionalFormatting sqref="I31:AF31 I50 AJ31:AM31">
    <cfRule type="containsText" priority="969" operator="containsText" dxfId="234" text="OTE">
      <formula>NOT(ISERROR(SEARCH("OTE",I31)))</formula>
    </cfRule>
    <cfRule type="containsText" priority="970" operator="containsText" dxfId="23" text="AL">
      <formula>NOT(ISERROR(SEARCH("AL",I31)))</formula>
    </cfRule>
    <cfRule type="containsText" priority="971" operator="containsText" dxfId="6" text="SL">
      <formula>NOT(ISERROR(SEARCH("SL",I31)))</formula>
    </cfRule>
    <cfRule type="containsText" priority="972" operator="containsText" dxfId="5" text="NP">
      <formula>NOT(ISERROR(SEARCH("NP",I31)))</formula>
    </cfRule>
    <cfRule type="containsText" priority="973" operator="containsText" dxfId="4" text="SH">
      <formula>NOT(ISERROR(SEARCH("SH",I31)))</formula>
    </cfRule>
    <cfRule type="containsText" priority="974" operator="containsText" dxfId="3" text="RD">
      <formula>NOT(ISERROR(SEARCH("RD",I31)))</formula>
    </cfRule>
  </conditionalFormatting>
  <conditionalFormatting sqref="I31:AF31 AJ31:AM31">
    <cfRule type="cellIs" priority="916" operator="equal" dxfId="1">
      <formula>"TPN"</formula>
    </cfRule>
    <cfRule type="cellIs" priority="921" operator="equal" dxfId="221">
      <formula>"CL"</formula>
    </cfRule>
    <cfRule type="cellIs" priority="938" operator="equal" dxfId="7">
      <formula>"GS"</formula>
    </cfRule>
    <cfRule type="cellIs" priority="941" operator="equal" dxfId="7">
      <formula>"SG"</formula>
    </cfRule>
  </conditionalFormatting>
  <conditionalFormatting sqref="I33:AF33 AJ33:AM33">
    <cfRule type="cellIs" priority="219" operator="greaterThan" dxfId="22">
      <formula>8</formula>
    </cfRule>
  </conditionalFormatting>
  <conditionalFormatting sqref="K10:M10">
    <cfRule type="cellIs" priority="193" operator="equal" dxfId="221">
      <formula>"CL"</formula>
    </cfRule>
    <cfRule type="cellIs" priority="194" operator="equal" dxfId="7">
      <formula>"GS"</formula>
    </cfRule>
    <cfRule type="cellIs" priority="195" operator="equal" dxfId="232">
      <formula>"NC"</formula>
    </cfRule>
    <cfRule type="cellIs" priority="196" operator="equal" dxfId="7">
      <formula>"SG"</formula>
    </cfRule>
    <cfRule type="containsText" priority="197" operator="containsText" dxfId="235" text="EC">
      <formula>NOT(ISERROR(SEARCH("EC",K10)))</formula>
    </cfRule>
    <cfRule type="containsText" priority="198" operator="containsText" dxfId="234" text="OTE">
      <formula>NOT(ISERROR(SEARCH("OTE",K10)))</formula>
    </cfRule>
    <cfRule type="containsText" priority="199" operator="containsText" dxfId="9" text="AL">
      <formula>NOT(ISERROR(SEARCH("AL",K10)))</formula>
    </cfRule>
    <cfRule type="containsText" priority="200" operator="containsText" dxfId="6" text="SL">
      <formula>NOT(ISERROR(SEARCH("SL",K10)))</formula>
    </cfRule>
    <cfRule type="containsText" priority="201" operator="containsText" dxfId="5" text="NP">
      <formula>NOT(ISERROR(SEARCH("NP",K10)))</formula>
    </cfRule>
    <cfRule type="containsText" priority="202" operator="containsText" dxfId="4" text="SH">
      <formula>NOT(ISERROR(SEARCH("SH",K10)))</formula>
    </cfRule>
    <cfRule type="containsText" priority="203" operator="containsText" dxfId="3" text="RD">
      <formula>NOT(ISERROR(SEARCH("RD",K10)))</formula>
    </cfRule>
  </conditionalFormatting>
  <conditionalFormatting sqref="M20">
    <cfRule type="cellIs" priority="507" operator="equal" dxfId="232">
      <formula>"NC"</formula>
    </cfRule>
    <cfRule type="containsText" priority="508" operator="containsText" dxfId="235" text="EC">
      <formula>NOT(ISERROR(SEARCH("EC",M20)))</formula>
    </cfRule>
    <cfRule type="containsText" priority="509" operator="containsText" dxfId="234" text="OTE">
      <formula>NOT(ISERROR(SEARCH("OTE",M20)))</formula>
    </cfRule>
    <cfRule type="containsText" priority="510" operator="containsText" dxfId="9" text="AL">
      <formula>NOT(ISERROR(SEARCH("AL",M20)))</formula>
    </cfRule>
    <cfRule type="containsText" priority="511" operator="containsText" dxfId="6" text="SL">
      <formula>NOT(ISERROR(SEARCH("SL",M20)))</formula>
    </cfRule>
    <cfRule type="containsText" priority="512" operator="containsText" dxfId="5" text="NP">
      <formula>NOT(ISERROR(SEARCH("NP",M20)))</formula>
    </cfRule>
    <cfRule type="containsText" priority="513" operator="containsText" dxfId="4" text="SH">
      <formula>NOT(ISERROR(SEARCH("SH",M20)))</formula>
    </cfRule>
    <cfRule type="containsText" priority="514" operator="containsText" dxfId="3" text="RD">
      <formula>NOT(ISERROR(SEARCH("RD",M20)))</formula>
    </cfRule>
  </conditionalFormatting>
  <conditionalFormatting sqref="V10:W10">
    <cfRule type="cellIs" priority="443" operator="equal" dxfId="7">
      <formula>"GS"</formula>
    </cfRule>
    <cfRule type="cellIs" priority="444" operator="equal" dxfId="232">
      <formula>"NC"</formula>
    </cfRule>
    <cfRule type="cellIs" priority="445" operator="equal" dxfId="7">
      <formula>"SG"</formula>
    </cfRule>
    <cfRule type="containsText" priority="446" operator="containsText" dxfId="235" text="EC">
      <formula>NOT(ISERROR(SEARCH("EC",V10)))</formula>
    </cfRule>
    <cfRule type="containsText" priority="447" operator="containsText" dxfId="234" text="OTE">
      <formula>NOT(ISERROR(SEARCH("OTE",V10)))</formula>
    </cfRule>
    <cfRule type="containsText" priority="448" operator="containsText" dxfId="9" text="AL">
      <formula>NOT(ISERROR(SEARCH("AL",V10)))</formula>
    </cfRule>
    <cfRule type="containsText" priority="449" operator="containsText" dxfId="6" text="SL">
      <formula>NOT(ISERROR(SEARCH("SL",V10)))</formula>
    </cfRule>
    <cfRule type="containsText" priority="450" operator="containsText" dxfId="5" text="NP">
      <formula>NOT(ISERROR(SEARCH("NP",V10)))</formula>
    </cfRule>
    <cfRule type="containsText" priority="451" operator="containsText" dxfId="4" text="SH">
      <formula>NOT(ISERROR(SEARCH("SH",V10)))</formula>
    </cfRule>
    <cfRule type="containsText" priority="452" operator="containsText" dxfId="3" text="RD">
      <formula>NOT(ISERROR(SEARCH("RD",V10)))</formula>
    </cfRule>
    <cfRule type="containsText" priority="453" operator="containsText" dxfId="234" text="OTE">
      <formula>NOT(ISERROR(SEARCH("OTE",V10)))</formula>
    </cfRule>
    <cfRule type="containsText" priority="454" operator="containsText" dxfId="9" text="AL">
      <formula>NOT(ISERROR(SEARCH("AL",V10)))</formula>
    </cfRule>
    <cfRule type="containsText" priority="455" operator="containsText" dxfId="6" text="SL">
      <formula>NOT(ISERROR(SEARCH("SL",V10)))</formula>
    </cfRule>
    <cfRule type="containsText" priority="456" operator="containsText" dxfId="5" text="NP">
      <formula>NOT(ISERROR(SEARCH("NP",V10)))</formula>
    </cfRule>
    <cfRule type="containsText" priority="457" operator="containsText" dxfId="4" text="SH">
      <formula>NOT(ISERROR(SEARCH("SH",V10)))</formula>
    </cfRule>
    <cfRule type="containsText" priority="458" operator="containsText" dxfId="3" text="RD">
      <formula>NOT(ISERROR(SEARCH("RD",V10)))</formula>
    </cfRule>
    <cfRule type="cellIs" priority="459" operator="equal" dxfId="7">
      <formula>"GS"</formula>
    </cfRule>
    <cfRule type="cellIs" priority="460" operator="equal" dxfId="232">
      <formula>"NC"</formula>
    </cfRule>
    <cfRule type="cellIs" priority="461" operator="equal" dxfId="7">
      <formula>"SG"</formula>
    </cfRule>
    <cfRule type="containsText" priority="462" operator="containsText" dxfId="235" text="EC">
      <formula>NOT(ISERROR(SEARCH("EC",V10)))</formula>
    </cfRule>
    <cfRule type="containsText" priority="463" operator="containsText" dxfId="234" text="OTE">
      <formula>NOT(ISERROR(SEARCH("OTE",V10)))</formula>
    </cfRule>
    <cfRule type="containsText" priority="464" operator="containsText" dxfId="9" text="AL">
      <formula>NOT(ISERROR(SEARCH("AL",V10)))</formula>
    </cfRule>
    <cfRule type="containsText" priority="465" operator="containsText" dxfId="6" text="SL">
      <formula>NOT(ISERROR(SEARCH("SL",V10)))</formula>
    </cfRule>
    <cfRule type="containsText" priority="466" operator="containsText" dxfId="5" text="NP">
      <formula>NOT(ISERROR(SEARCH("NP",V10)))</formula>
    </cfRule>
    <cfRule type="containsText" priority="467" operator="containsText" dxfId="4" text="SH">
      <formula>NOT(ISERROR(SEARCH("SH",V10)))</formula>
    </cfRule>
    <cfRule type="containsText" priority="468" operator="containsText" dxfId="3" text="RD">
      <formula>NOT(ISERROR(SEARCH("RD",V10)))</formula>
    </cfRule>
    <cfRule type="containsText" priority="469" operator="containsText" dxfId="234" text="OTE">
      <formula>NOT(ISERROR(SEARCH("OTE",V10)))</formula>
    </cfRule>
    <cfRule type="containsText" priority="470" operator="containsText" dxfId="9" text="AL">
      <formula>NOT(ISERROR(SEARCH("AL",V10)))</formula>
    </cfRule>
    <cfRule type="containsText" priority="471" operator="containsText" dxfId="6" text="SL">
      <formula>NOT(ISERROR(SEARCH("SL",V10)))</formula>
    </cfRule>
    <cfRule type="containsText" priority="472" operator="containsText" dxfId="5" text="NP">
      <formula>NOT(ISERROR(SEARCH("NP",V10)))</formula>
    </cfRule>
    <cfRule type="containsText" priority="473" operator="containsText" dxfId="4" text="SH">
      <formula>NOT(ISERROR(SEARCH("SH",V10)))</formula>
    </cfRule>
    <cfRule type="containsText" priority="474" operator="containsText" dxfId="3" text="RD">
      <formula>NOT(ISERROR(SEARCH("RD",V10)))</formula>
    </cfRule>
  </conditionalFormatting>
  <conditionalFormatting sqref="AA19">
    <cfRule type="containsText" priority="796" operator="containsText" dxfId="234" text="OTE">
      <formula>NOT(ISERROR(SEARCH("OTE",AA19)))</formula>
    </cfRule>
    <cfRule type="containsText" priority="797" operator="containsText" dxfId="9" text="AL">
      <formula>NOT(ISERROR(SEARCH("AL",AA19)))</formula>
    </cfRule>
    <cfRule type="containsText" priority="798" operator="containsText" dxfId="6" text="SL">
      <formula>NOT(ISERROR(SEARCH("SL",AA19)))</formula>
    </cfRule>
    <cfRule type="containsText" priority="799" operator="containsText" dxfId="5" text="NP">
      <formula>NOT(ISERROR(SEARCH("NP",AA19)))</formula>
    </cfRule>
    <cfRule type="containsText" priority="800" operator="containsText" dxfId="4" text="SH">
      <formula>NOT(ISERROR(SEARCH("SH",AA19)))</formula>
    </cfRule>
    <cfRule type="containsText" priority="801" operator="containsText" dxfId="3" text="RD">
      <formula>NOT(ISERROR(SEARCH("RD",AA19)))</formula>
    </cfRule>
  </conditionalFormatting>
  <conditionalFormatting sqref="AE8">
    <cfRule type="cellIs" priority="845" operator="equal" dxfId="7">
      <formula>"GS"</formula>
    </cfRule>
    <cfRule type="cellIs" priority="846" operator="equal" dxfId="232">
      <formula>"NC"</formula>
    </cfRule>
    <cfRule type="cellIs" priority="847" operator="equal" dxfId="7">
      <formula>"SG"</formula>
    </cfRule>
    <cfRule type="containsText" priority="848" operator="containsText" dxfId="235" text="EC">
      <formula>NOT(ISERROR(SEARCH("EC",AE8)))</formula>
    </cfRule>
    <cfRule type="containsText" priority="849" operator="containsText" dxfId="234" text="OTE">
      <formula>NOT(ISERROR(SEARCH("OTE",AE8)))</formula>
    </cfRule>
    <cfRule type="containsText" priority="850" operator="containsText" dxfId="9" text="AL">
      <formula>NOT(ISERROR(SEARCH("AL",AE8)))</formula>
    </cfRule>
    <cfRule type="containsText" priority="851" operator="containsText" dxfId="6" text="SL">
      <formula>NOT(ISERROR(SEARCH("SL",AE8)))</formula>
    </cfRule>
    <cfRule type="containsText" priority="852" operator="containsText" dxfId="5" text="NP">
      <formula>NOT(ISERROR(SEARCH("NP",AE8)))</formula>
    </cfRule>
    <cfRule type="containsText" priority="853" operator="containsText" dxfId="4" text="SH">
      <formula>NOT(ISERROR(SEARCH("SH",AE8)))</formula>
    </cfRule>
    <cfRule type="containsText" priority="854" operator="containsText" dxfId="3" text="RD">
      <formula>NOT(ISERROR(SEARCH("RD",AE8)))</formula>
    </cfRule>
    <cfRule type="containsText" priority="855" operator="containsText" dxfId="234" text="OTE">
      <formula>NOT(ISERROR(SEARCH("OTE",AE8)))</formula>
    </cfRule>
    <cfRule type="containsText" priority="856" operator="containsText" dxfId="9" text="AL">
      <formula>NOT(ISERROR(SEARCH("AL",AE8)))</formula>
    </cfRule>
    <cfRule type="containsText" priority="857" operator="containsText" dxfId="6" text="SL">
      <formula>NOT(ISERROR(SEARCH("SL",AE8)))</formula>
    </cfRule>
    <cfRule type="containsText" priority="858" operator="containsText" dxfId="5" text="NP">
      <formula>NOT(ISERROR(SEARCH("NP",AE8)))</formula>
    </cfRule>
    <cfRule type="containsText" priority="859" operator="containsText" dxfId="4" text="SH">
      <formula>NOT(ISERROR(SEARCH("SH",AE8)))</formula>
    </cfRule>
    <cfRule type="containsText" priority="860" operator="containsText" dxfId="3" text="RD">
      <formula>NOT(ISERROR(SEARCH("RD",AE8)))</formula>
    </cfRule>
  </conditionalFormatting>
  <conditionalFormatting sqref="AE10">
    <cfRule type="cellIs" priority="372" operator="equal" dxfId="7">
      <formula>"GS"</formula>
    </cfRule>
    <cfRule type="cellIs" priority="373" operator="equal" dxfId="232">
      <formula>"NC"</formula>
    </cfRule>
    <cfRule type="cellIs" priority="374" operator="equal" dxfId="7">
      <formula>"SG"</formula>
    </cfRule>
    <cfRule type="containsText" priority="375" operator="containsText" dxfId="235" text="EC">
      <formula>NOT(ISERROR(SEARCH("EC",AE10)))</formula>
    </cfRule>
    <cfRule type="containsText" priority="376" operator="containsText" dxfId="234" text="OTE">
      <formula>NOT(ISERROR(SEARCH("OTE",AE10)))</formula>
    </cfRule>
    <cfRule type="containsText" priority="377" operator="containsText" dxfId="9" text="AL">
      <formula>NOT(ISERROR(SEARCH("AL",AE10)))</formula>
    </cfRule>
    <cfRule type="containsText" priority="378" operator="containsText" dxfId="6" text="SL">
      <formula>NOT(ISERROR(SEARCH("SL",AE10)))</formula>
    </cfRule>
    <cfRule type="containsText" priority="379" operator="containsText" dxfId="5" text="NP">
      <formula>NOT(ISERROR(SEARCH("NP",AE10)))</formula>
    </cfRule>
    <cfRule type="containsText" priority="380" operator="containsText" dxfId="4" text="SH">
      <formula>NOT(ISERROR(SEARCH("SH",AE10)))</formula>
    </cfRule>
    <cfRule type="containsText" priority="381" operator="containsText" dxfId="3" text="RD">
      <formula>NOT(ISERROR(SEARCH("RD",AE10)))</formula>
    </cfRule>
    <cfRule type="containsText" priority="382" operator="containsText" dxfId="234" text="OTE">
      <formula>NOT(ISERROR(SEARCH("OTE",AE10)))</formula>
    </cfRule>
    <cfRule type="containsText" priority="383" operator="containsText" dxfId="9" text="AL">
      <formula>NOT(ISERROR(SEARCH("AL",AE10)))</formula>
    </cfRule>
    <cfRule type="containsText" priority="384" operator="containsText" dxfId="6" text="SL">
      <formula>NOT(ISERROR(SEARCH("SL",AE10)))</formula>
    </cfRule>
    <cfRule type="containsText" priority="385" operator="containsText" dxfId="5" text="NP">
      <formula>NOT(ISERROR(SEARCH("NP",AE10)))</formula>
    </cfRule>
    <cfRule type="containsText" priority="386" operator="containsText" dxfId="4" text="SH">
      <formula>NOT(ISERROR(SEARCH("SH",AE10)))</formula>
    </cfRule>
    <cfRule type="containsText" priority="387" operator="containsText" dxfId="3" text="RD">
      <formula>NOT(ISERROR(SEARCH("RD",AE10)))</formula>
    </cfRule>
    <cfRule type="cellIs" priority="388" operator="equal" dxfId="7">
      <formula>"GS"</formula>
    </cfRule>
    <cfRule type="cellIs" priority="389" operator="equal" dxfId="232">
      <formula>"NC"</formula>
    </cfRule>
    <cfRule type="cellIs" priority="390" operator="equal" dxfId="7">
      <formula>"SG"</formula>
    </cfRule>
    <cfRule type="containsText" priority="391" operator="containsText" dxfId="235" text="EC">
      <formula>NOT(ISERROR(SEARCH("EC",AE10)))</formula>
    </cfRule>
    <cfRule type="containsText" priority="392" operator="containsText" dxfId="234" text="OTE">
      <formula>NOT(ISERROR(SEARCH("OTE",AE10)))</formula>
    </cfRule>
    <cfRule type="containsText" priority="393" operator="containsText" dxfId="9" text="AL">
      <formula>NOT(ISERROR(SEARCH("AL",AE10)))</formula>
    </cfRule>
    <cfRule type="containsText" priority="394" operator="containsText" dxfId="6" text="SL">
      <formula>NOT(ISERROR(SEARCH("SL",AE10)))</formula>
    </cfRule>
    <cfRule type="containsText" priority="395" operator="containsText" dxfId="5" text="NP">
      <formula>NOT(ISERROR(SEARCH("NP",AE10)))</formula>
    </cfRule>
    <cfRule type="containsText" priority="396" operator="containsText" dxfId="4" text="SH">
      <formula>NOT(ISERROR(SEARCH("SH",AE10)))</formula>
    </cfRule>
    <cfRule type="containsText" priority="397" operator="containsText" dxfId="3" text="RD">
      <formula>NOT(ISERROR(SEARCH("RD",AE10)))</formula>
    </cfRule>
    <cfRule type="containsText" priority="398" operator="containsText" dxfId="234" text="OTE">
      <formula>NOT(ISERROR(SEARCH("OTE",AE10)))</formula>
    </cfRule>
    <cfRule type="containsText" priority="399" operator="containsText" dxfId="9" text="AL">
      <formula>NOT(ISERROR(SEARCH("AL",AE10)))</formula>
    </cfRule>
    <cfRule type="containsText" priority="400" operator="containsText" dxfId="6" text="SL">
      <formula>NOT(ISERROR(SEARCH("SL",AE10)))</formula>
    </cfRule>
    <cfRule type="containsText" priority="401" operator="containsText" dxfId="5" text="NP">
      <formula>NOT(ISERROR(SEARCH("NP",AE10)))</formula>
    </cfRule>
    <cfRule type="containsText" priority="402" operator="containsText" dxfId="4" text="SH">
      <formula>NOT(ISERROR(SEARCH("SH",AE10)))</formula>
    </cfRule>
    <cfRule type="containsText" priority="403" operator="containsText" dxfId="3" text="RD">
      <formula>NOT(ISERROR(SEARCH("RD",AE10)))</formula>
    </cfRule>
    <cfRule type="cellIs" priority="475" operator="equal" dxfId="7">
      <formula>"GS"</formula>
    </cfRule>
    <cfRule type="cellIs" priority="476" operator="equal" dxfId="232">
      <formula>"NC"</formula>
    </cfRule>
    <cfRule type="cellIs" priority="477" operator="equal" dxfId="7">
      <formula>"SG"</formula>
    </cfRule>
    <cfRule type="containsText" priority="478" operator="containsText" dxfId="235" text="EC">
      <formula>NOT(ISERROR(SEARCH("EC",AE10)))</formula>
    </cfRule>
    <cfRule type="containsText" priority="479" operator="containsText" dxfId="234" text="OTE">
      <formula>NOT(ISERROR(SEARCH("OTE",AE10)))</formula>
    </cfRule>
    <cfRule type="containsText" priority="480" operator="containsText" dxfId="9" text="AL">
      <formula>NOT(ISERROR(SEARCH("AL",AE10)))</formula>
    </cfRule>
    <cfRule type="containsText" priority="481" operator="containsText" dxfId="6" text="SL">
      <formula>NOT(ISERROR(SEARCH("SL",AE10)))</formula>
    </cfRule>
    <cfRule type="containsText" priority="482" operator="containsText" dxfId="5" text="NP">
      <formula>NOT(ISERROR(SEARCH("NP",AE10)))</formula>
    </cfRule>
    <cfRule type="containsText" priority="483" operator="containsText" dxfId="4" text="SH">
      <formula>NOT(ISERROR(SEARCH("SH",AE10)))</formula>
    </cfRule>
    <cfRule type="containsText" priority="484" operator="containsText" dxfId="3" text="RD">
      <formula>NOT(ISERROR(SEARCH("RD",AE10)))</formula>
    </cfRule>
    <cfRule type="containsText" priority="485" operator="containsText" dxfId="234" text="OTE">
      <formula>NOT(ISERROR(SEARCH("OTE",AE10)))</formula>
    </cfRule>
    <cfRule type="containsText" priority="486" operator="containsText" dxfId="9" text="AL">
      <formula>NOT(ISERROR(SEARCH("AL",AE10)))</formula>
    </cfRule>
    <cfRule type="containsText" priority="487" operator="containsText" dxfId="6" text="SL">
      <formula>NOT(ISERROR(SEARCH("SL",AE10)))</formula>
    </cfRule>
    <cfRule type="containsText" priority="488" operator="containsText" dxfId="5" text="NP">
      <formula>NOT(ISERROR(SEARCH("NP",AE10)))</formula>
    </cfRule>
    <cfRule type="containsText" priority="489" operator="containsText" dxfId="4" text="SH">
      <formula>NOT(ISERROR(SEARCH("SH",AE10)))</formula>
    </cfRule>
    <cfRule type="containsText" priority="490" operator="containsText" dxfId="3" text="RD">
      <formula>NOT(ISERROR(SEARCH("RD",AE10)))</formula>
    </cfRule>
    <cfRule type="cellIs" priority="491" operator="equal" dxfId="7">
      <formula>"GS"</formula>
    </cfRule>
    <cfRule type="cellIs" priority="492" operator="equal" dxfId="232">
      <formula>"NC"</formula>
    </cfRule>
    <cfRule type="cellIs" priority="493" operator="equal" dxfId="7">
      <formula>"SG"</formula>
    </cfRule>
    <cfRule type="containsText" priority="494" operator="containsText" dxfId="235" text="EC">
      <formula>NOT(ISERROR(SEARCH("EC",AE10)))</formula>
    </cfRule>
    <cfRule type="containsText" priority="495" operator="containsText" dxfId="234" text="OTE">
      <formula>NOT(ISERROR(SEARCH("OTE",AE10)))</formula>
    </cfRule>
    <cfRule type="containsText" priority="496" operator="containsText" dxfId="9" text="AL">
      <formula>NOT(ISERROR(SEARCH("AL",AE10)))</formula>
    </cfRule>
    <cfRule type="containsText" priority="497" operator="containsText" dxfId="6" text="SL">
      <formula>NOT(ISERROR(SEARCH("SL",AE10)))</formula>
    </cfRule>
    <cfRule type="containsText" priority="498" operator="containsText" dxfId="5" text="NP">
      <formula>NOT(ISERROR(SEARCH("NP",AE10)))</formula>
    </cfRule>
    <cfRule type="containsText" priority="499" operator="containsText" dxfId="4" text="SH">
      <formula>NOT(ISERROR(SEARCH("SH",AE10)))</formula>
    </cfRule>
    <cfRule type="containsText" priority="500" operator="containsText" dxfId="3" text="RD">
      <formula>NOT(ISERROR(SEARCH("RD",AE10)))</formula>
    </cfRule>
    <cfRule type="containsText" priority="501" operator="containsText" dxfId="234" text="OTE">
      <formula>NOT(ISERROR(SEARCH("OTE",AE10)))</formula>
    </cfRule>
    <cfRule type="containsText" priority="502" operator="containsText" dxfId="9" text="AL">
      <formula>NOT(ISERROR(SEARCH("AL",AE10)))</formula>
    </cfRule>
    <cfRule type="containsText" priority="503" operator="containsText" dxfId="6" text="SL">
      <formula>NOT(ISERROR(SEARCH("SL",AE10)))</formula>
    </cfRule>
    <cfRule type="containsText" priority="504" operator="containsText" dxfId="5" text="NP">
      <formula>NOT(ISERROR(SEARCH("NP",AE10)))</formula>
    </cfRule>
    <cfRule type="containsText" priority="505" operator="containsText" dxfId="4" text="SH">
      <formula>NOT(ISERROR(SEARCH("SH",AE10)))</formula>
    </cfRule>
    <cfRule type="containsText" priority="506" operator="containsText" dxfId="3" text="RD">
      <formula>NOT(ISERROR(SEARCH("RD",AE10)))</formula>
    </cfRule>
  </conditionalFormatting>
  <conditionalFormatting sqref="AJ9:AJ10">
    <cfRule type="cellIs" priority="829" operator="equal" dxfId="7">
      <formula>"GS"</formula>
    </cfRule>
    <cfRule type="cellIs" priority="830" operator="equal" dxfId="232">
      <formula>"NC"</formula>
    </cfRule>
    <cfRule type="cellIs" priority="831" operator="equal" dxfId="7">
      <formula>"SG"</formula>
    </cfRule>
    <cfRule type="containsText" priority="832" operator="containsText" dxfId="235" text="EC">
      <formula>NOT(ISERROR(SEARCH("EC",AJ9)))</formula>
    </cfRule>
    <cfRule type="containsText" priority="833" operator="containsText" dxfId="234" text="OTE">
      <formula>NOT(ISERROR(SEARCH("OTE",AJ9)))</formula>
    </cfRule>
    <cfRule type="containsText" priority="834" operator="containsText" dxfId="9" text="AL">
      <formula>NOT(ISERROR(SEARCH("AL",AJ9)))</formula>
    </cfRule>
    <cfRule type="containsText" priority="835" operator="containsText" dxfId="6" text="SL">
      <formula>NOT(ISERROR(SEARCH("SL",AJ9)))</formula>
    </cfRule>
    <cfRule type="containsText" priority="836" operator="containsText" dxfId="5" text="NP">
      <formula>NOT(ISERROR(SEARCH("NP",AJ9)))</formula>
    </cfRule>
    <cfRule type="containsText" priority="837" operator="containsText" dxfId="4" text="SH">
      <formula>NOT(ISERROR(SEARCH("SH",AJ9)))</formula>
    </cfRule>
    <cfRule type="containsText" priority="838" operator="containsText" dxfId="3" text="RD">
      <formula>NOT(ISERROR(SEARCH("RD",AJ9)))</formula>
    </cfRule>
    <cfRule type="containsText" priority="839" operator="containsText" dxfId="234" text="OTE">
      <formula>NOT(ISERROR(SEARCH("OTE",AJ9)))</formula>
    </cfRule>
    <cfRule type="containsText" priority="840" operator="containsText" dxfId="9" text="AL">
      <formula>NOT(ISERROR(SEARCH("AL",AJ9)))</formula>
    </cfRule>
    <cfRule type="containsText" priority="841" operator="containsText" dxfId="6" text="SL">
      <formula>NOT(ISERROR(SEARCH("SL",AJ9)))</formula>
    </cfRule>
    <cfRule type="containsText" priority="842" operator="containsText" dxfId="5" text="NP">
      <formula>NOT(ISERROR(SEARCH("NP",AJ9)))</formula>
    </cfRule>
    <cfRule type="containsText" priority="843" operator="containsText" dxfId="4" text="SH">
      <formula>NOT(ISERROR(SEARCH("SH",AJ9)))</formula>
    </cfRule>
    <cfRule type="containsText" priority="844" operator="containsText" dxfId="3" text="RD">
      <formula>NOT(ISERROR(SEARCH("RD",AJ9)))</formula>
    </cfRule>
  </conditionalFormatting>
  <conditionalFormatting sqref="AJ10">
    <cfRule type="cellIs" priority="308" operator="equal" dxfId="7">
      <formula>"GS"</formula>
    </cfRule>
    <cfRule type="cellIs" priority="309" operator="equal" dxfId="232">
      <formula>"NC"</formula>
    </cfRule>
    <cfRule type="cellIs" priority="310" operator="equal" dxfId="7">
      <formula>"SG"</formula>
    </cfRule>
    <cfRule type="containsText" priority="311" operator="containsText" dxfId="235" text="EC">
      <formula>NOT(ISERROR(SEARCH("EC",AJ10)))</formula>
    </cfRule>
    <cfRule type="containsText" priority="312" operator="containsText" dxfId="234" text="OTE">
      <formula>NOT(ISERROR(SEARCH("OTE",AJ10)))</formula>
    </cfRule>
    <cfRule type="containsText" priority="313" operator="containsText" dxfId="9" text="AL">
      <formula>NOT(ISERROR(SEARCH("AL",AJ10)))</formula>
    </cfRule>
    <cfRule type="containsText" priority="314" operator="containsText" dxfId="6" text="SL">
      <formula>NOT(ISERROR(SEARCH("SL",AJ10)))</formula>
    </cfRule>
    <cfRule type="containsText" priority="315" operator="containsText" dxfId="5" text="NP">
      <formula>NOT(ISERROR(SEARCH("NP",AJ10)))</formula>
    </cfRule>
    <cfRule type="containsText" priority="316" operator="containsText" dxfId="4" text="SH">
      <formula>NOT(ISERROR(SEARCH("SH",AJ10)))</formula>
    </cfRule>
    <cfRule type="containsText" priority="317" operator="containsText" dxfId="3" text="RD">
      <formula>NOT(ISERROR(SEARCH("RD",AJ10)))</formula>
    </cfRule>
    <cfRule type="containsText" priority="318" operator="containsText" dxfId="234" text="OTE">
      <formula>NOT(ISERROR(SEARCH("OTE",AJ10)))</formula>
    </cfRule>
    <cfRule type="containsText" priority="319" operator="containsText" dxfId="9" text="AL">
      <formula>NOT(ISERROR(SEARCH("AL",AJ10)))</formula>
    </cfRule>
    <cfRule type="containsText" priority="320" operator="containsText" dxfId="6" text="SL">
      <formula>NOT(ISERROR(SEARCH("SL",AJ10)))</formula>
    </cfRule>
    <cfRule type="containsText" priority="321" operator="containsText" dxfId="5" text="NP">
      <formula>NOT(ISERROR(SEARCH("NP",AJ10)))</formula>
    </cfRule>
    <cfRule type="containsText" priority="322" operator="containsText" dxfId="4" text="SH">
      <formula>NOT(ISERROR(SEARCH("SH",AJ10)))</formula>
    </cfRule>
    <cfRule type="containsText" priority="323" operator="containsText" dxfId="3" text="RD">
      <formula>NOT(ISERROR(SEARCH("RD",AJ10)))</formula>
    </cfRule>
    <cfRule type="cellIs" priority="324" operator="equal" dxfId="7">
      <formula>"GS"</formula>
    </cfRule>
    <cfRule type="cellIs" priority="325" operator="equal" dxfId="232">
      <formula>"NC"</formula>
    </cfRule>
    <cfRule type="cellIs" priority="326" operator="equal" dxfId="7">
      <formula>"SG"</formula>
    </cfRule>
    <cfRule type="containsText" priority="327" operator="containsText" dxfId="235" text="EC">
      <formula>NOT(ISERROR(SEARCH("EC",AJ10)))</formula>
    </cfRule>
    <cfRule type="containsText" priority="328" operator="containsText" dxfId="234" text="OTE">
      <formula>NOT(ISERROR(SEARCH("OTE",AJ10)))</formula>
    </cfRule>
    <cfRule type="containsText" priority="329" operator="containsText" dxfId="9" text="AL">
      <formula>NOT(ISERROR(SEARCH("AL",AJ10)))</formula>
    </cfRule>
    <cfRule type="containsText" priority="330" operator="containsText" dxfId="6" text="SL">
      <formula>NOT(ISERROR(SEARCH("SL",AJ10)))</formula>
    </cfRule>
    <cfRule type="containsText" priority="331" operator="containsText" dxfId="5" text="NP">
      <formula>NOT(ISERROR(SEARCH("NP",AJ10)))</formula>
    </cfRule>
    <cfRule type="containsText" priority="332" operator="containsText" dxfId="4" text="SH">
      <formula>NOT(ISERROR(SEARCH("SH",AJ10)))</formula>
    </cfRule>
    <cfRule type="containsText" priority="333" operator="containsText" dxfId="3" text="RD">
      <formula>NOT(ISERROR(SEARCH("RD",AJ10)))</formula>
    </cfRule>
    <cfRule type="containsText" priority="334" operator="containsText" dxfId="234" text="OTE">
      <formula>NOT(ISERROR(SEARCH("OTE",AJ10)))</formula>
    </cfRule>
    <cfRule type="containsText" priority="335" operator="containsText" dxfId="9" text="AL">
      <formula>NOT(ISERROR(SEARCH("AL",AJ10)))</formula>
    </cfRule>
    <cfRule type="containsText" priority="336" operator="containsText" dxfId="6" text="SL">
      <formula>NOT(ISERROR(SEARCH("SL",AJ10)))</formula>
    </cfRule>
    <cfRule type="containsText" priority="337" operator="containsText" dxfId="5" text="NP">
      <formula>NOT(ISERROR(SEARCH("NP",AJ10)))</formula>
    </cfRule>
    <cfRule type="containsText" priority="338" operator="containsText" dxfId="4" text="SH">
      <formula>NOT(ISERROR(SEARCH("SH",AJ10)))</formula>
    </cfRule>
    <cfRule type="containsText" priority="339" operator="containsText" dxfId="3" text="RD">
      <formula>NOT(ISERROR(SEARCH("RD",AJ10)))</formula>
    </cfRule>
    <cfRule type="cellIs" priority="340" operator="equal" dxfId="7">
      <formula>"GS"</formula>
    </cfRule>
    <cfRule type="cellIs" priority="341" operator="equal" dxfId="232">
      <formula>"NC"</formula>
    </cfRule>
    <cfRule type="cellIs" priority="342" operator="equal" dxfId="7">
      <formula>"SG"</formula>
    </cfRule>
    <cfRule type="containsText" priority="343" operator="containsText" dxfId="235" text="EC">
      <formula>NOT(ISERROR(SEARCH("EC",AJ10)))</formula>
    </cfRule>
    <cfRule type="containsText" priority="344" operator="containsText" dxfId="234" text="OTE">
      <formula>NOT(ISERROR(SEARCH("OTE",AJ10)))</formula>
    </cfRule>
    <cfRule type="containsText" priority="345" operator="containsText" dxfId="9" text="AL">
      <formula>NOT(ISERROR(SEARCH("AL",AJ10)))</formula>
    </cfRule>
    <cfRule type="containsText" priority="346" operator="containsText" dxfId="6" text="SL">
      <formula>NOT(ISERROR(SEARCH("SL",AJ10)))</formula>
    </cfRule>
    <cfRule type="containsText" priority="347" operator="containsText" dxfId="5" text="NP">
      <formula>NOT(ISERROR(SEARCH("NP",AJ10)))</formula>
    </cfRule>
    <cfRule type="containsText" priority="348" operator="containsText" dxfId="4" text="SH">
      <formula>NOT(ISERROR(SEARCH("SH",AJ10)))</formula>
    </cfRule>
    <cfRule type="containsText" priority="349" operator="containsText" dxfId="3" text="RD">
      <formula>NOT(ISERROR(SEARCH("RD",AJ10)))</formula>
    </cfRule>
    <cfRule type="containsText" priority="350" operator="containsText" dxfId="234" text="OTE">
      <formula>NOT(ISERROR(SEARCH("OTE",AJ10)))</formula>
    </cfRule>
    <cfRule type="containsText" priority="351" operator="containsText" dxfId="9" text="AL">
      <formula>NOT(ISERROR(SEARCH("AL",AJ10)))</formula>
    </cfRule>
    <cfRule type="containsText" priority="352" operator="containsText" dxfId="6" text="SL">
      <formula>NOT(ISERROR(SEARCH("SL",AJ10)))</formula>
    </cfRule>
    <cfRule type="containsText" priority="353" operator="containsText" dxfId="5" text="NP">
      <formula>NOT(ISERROR(SEARCH("NP",AJ10)))</formula>
    </cfRule>
    <cfRule type="containsText" priority="354" operator="containsText" dxfId="4" text="SH">
      <formula>NOT(ISERROR(SEARCH("SH",AJ10)))</formula>
    </cfRule>
    <cfRule type="containsText" priority="355" operator="containsText" dxfId="3" text="RD">
      <formula>NOT(ISERROR(SEARCH("RD",AJ10)))</formula>
    </cfRule>
    <cfRule type="cellIs" priority="356" operator="equal" dxfId="7">
      <formula>"GS"</formula>
    </cfRule>
    <cfRule type="cellIs" priority="357" operator="equal" dxfId="232">
      <formula>"NC"</formula>
    </cfRule>
    <cfRule type="cellIs" priority="358" operator="equal" dxfId="7">
      <formula>"SG"</formula>
    </cfRule>
    <cfRule type="containsText" priority="359" operator="containsText" dxfId="235" text="EC">
      <formula>NOT(ISERROR(SEARCH("EC",AJ10)))</formula>
    </cfRule>
    <cfRule type="containsText" priority="360" operator="containsText" dxfId="234" text="OTE">
      <formula>NOT(ISERROR(SEARCH("OTE",AJ10)))</formula>
    </cfRule>
    <cfRule type="containsText" priority="361" operator="containsText" dxfId="9" text="AL">
      <formula>NOT(ISERROR(SEARCH("AL",AJ10)))</formula>
    </cfRule>
    <cfRule type="containsText" priority="362" operator="containsText" dxfId="6" text="SL">
      <formula>NOT(ISERROR(SEARCH("SL",AJ10)))</formula>
    </cfRule>
    <cfRule type="containsText" priority="363" operator="containsText" dxfId="5" text="NP">
      <formula>NOT(ISERROR(SEARCH("NP",AJ10)))</formula>
    </cfRule>
    <cfRule type="containsText" priority="364" operator="containsText" dxfId="4" text="SH">
      <formula>NOT(ISERROR(SEARCH("SH",AJ10)))</formula>
    </cfRule>
    <cfRule type="containsText" priority="365" operator="containsText" dxfId="3" text="RD">
      <formula>NOT(ISERROR(SEARCH("RD",AJ10)))</formula>
    </cfRule>
    <cfRule type="containsText" priority="366" operator="containsText" dxfId="234" text="OTE">
      <formula>NOT(ISERROR(SEARCH("OTE",AJ10)))</formula>
    </cfRule>
    <cfRule type="containsText" priority="367" operator="containsText" dxfId="9" text="AL">
      <formula>NOT(ISERROR(SEARCH("AL",AJ10)))</formula>
    </cfRule>
    <cfRule type="containsText" priority="368" operator="containsText" dxfId="6" text="SL">
      <formula>NOT(ISERROR(SEARCH("SL",AJ10)))</formula>
    </cfRule>
    <cfRule type="containsText" priority="369" operator="containsText" dxfId="5" text="NP">
      <formula>NOT(ISERROR(SEARCH("NP",AJ10)))</formula>
    </cfRule>
    <cfRule type="containsText" priority="370" operator="containsText" dxfId="4" text="SH">
      <formula>NOT(ISERROR(SEARCH("SH",AJ10)))</formula>
    </cfRule>
    <cfRule type="containsText" priority="371" operator="containsText" dxfId="3" text="RD">
      <formula>NOT(ISERROR(SEARCH("RD",AJ10)))</formula>
    </cfRule>
  </conditionalFormatting>
  <conditionalFormatting sqref="AJ24">
    <cfRule type="cellIs" priority="725" operator="equal" dxfId="7">
      <formula>"GS"</formula>
    </cfRule>
    <cfRule type="cellIs" priority="726" operator="equal" dxfId="232">
      <formula>"NC"</formula>
    </cfRule>
    <cfRule type="cellIs" priority="727" operator="equal" dxfId="7">
      <formula>"SG"</formula>
    </cfRule>
    <cfRule type="containsText" priority="728" operator="containsText" dxfId="235" text="EC">
      <formula>NOT(ISERROR(SEARCH("EC",AJ24)))</formula>
    </cfRule>
    <cfRule type="containsText" priority="729" operator="containsText" dxfId="234" text="OTE">
      <formula>NOT(ISERROR(SEARCH("OTE",AJ24)))</formula>
    </cfRule>
    <cfRule type="containsText" priority="730" operator="containsText" dxfId="9" text="AL">
      <formula>NOT(ISERROR(SEARCH("AL",AJ24)))</formula>
    </cfRule>
    <cfRule type="containsText" priority="731" operator="containsText" dxfId="6" text="SL">
      <formula>NOT(ISERROR(SEARCH("SL",AJ24)))</formula>
    </cfRule>
    <cfRule type="containsText" priority="732" operator="containsText" dxfId="5" text="NP">
      <formula>NOT(ISERROR(SEARCH("NP",AJ24)))</formula>
    </cfRule>
    <cfRule type="containsText" priority="733" operator="containsText" dxfId="4" text="SH">
      <formula>NOT(ISERROR(SEARCH("SH",AJ24)))</formula>
    </cfRule>
    <cfRule type="containsText" priority="734" operator="containsText" dxfId="3" text="RD">
      <formula>NOT(ISERROR(SEARCH("RD",AJ24)))</formula>
    </cfRule>
    <cfRule type="containsText" priority="735" operator="containsText" dxfId="234" text="OTE">
      <formula>NOT(ISERROR(SEARCH("OTE",AJ24)))</formula>
    </cfRule>
    <cfRule type="containsText" priority="736" operator="containsText" dxfId="9" text="AL">
      <formula>NOT(ISERROR(SEARCH("AL",AJ24)))</formula>
    </cfRule>
    <cfRule type="containsText" priority="737" operator="containsText" dxfId="6" text="SL">
      <formula>NOT(ISERROR(SEARCH("SL",AJ24)))</formula>
    </cfRule>
    <cfRule type="containsText" priority="738" operator="containsText" dxfId="5" text="NP">
      <formula>NOT(ISERROR(SEARCH("NP",AJ24)))</formula>
    </cfRule>
    <cfRule type="containsText" priority="739" operator="containsText" dxfId="4" text="SH">
      <formula>NOT(ISERROR(SEARCH("SH",AJ24)))</formula>
    </cfRule>
    <cfRule type="containsText" priority="740" operator="containsText" dxfId="3" text="RD">
      <formula>NOT(ISERROR(SEARCH("RD",AJ24)))</formula>
    </cfRule>
    <cfRule type="cellIs" priority="741" operator="equal" dxfId="232">
      <formula>"NC"</formula>
    </cfRule>
    <cfRule type="containsText" priority="742" operator="containsText" dxfId="235" text="EC">
      <formula>NOT(ISERROR(SEARCH("EC",AJ24)))</formula>
    </cfRule>
    <cfRule type="containsText" priority="743" operator="containsText" dxfId="234" text="OTE">
      <formula>NOT(ISERROR(SEARCH("OTE",AJ24)))</formula>
    </cfRule>
    <cfRule type="containsText" priority="744" operator="containsText" dxfId="9" text="AL">
      <formula>NOT(ISERROR(SEARCH("AL",AJ24)))</formula>
    </cfRule>
    <cfRule type="containsText" priority="745" operator="containsText" dxfId="6" text="SL">
      <formula>NOT(ISERROR(SEARCH("SL",AJ24)))</formula>
    </cfRule>
    <cfRule type="containsText" priority="746" operator="containsText" dxfId="5" text="NP">
      <formula>NOT(ISERROR(SEARCH("NP",AJ24)))</formula>
    </cfRule>
    <cfRule type="containsText" priority="747" operator="containsText" dxfId="4" text="SH">
      <formula>NOT(ISERROR(SEARCH("SH",AJ24)))</formula>
    </cfRule>
    <cfRule type="containsText" priority="748" operator="containsText" dxfId="3" text="RD">
      <formula>NOT(ISERROR(SEARCH("RD",AJ24)))</formula>
    </cfRule>
  </conditionalFormatting>
  <conditionalFormatting sqref="AG44">
    <cfRule type="cellIs" priority="146" operator="equal" dxfId="8">
      <formula>"CL"</formula>
    </cfRule>
    <cfRule type="cellIs" priority="147" operator="equal" dxfId="7">
      <formula>"GS"</formula>
    </cfRule>
    <cfRule type="containsText" priority="148" operator="containsText" dxfId="6" text="SL">
      <formula>NOT(ISERROR(SEARCH("SL",AG44)))</formula>
    </cfRule>
    <cfRule type="containsText" priority="149" operator="containsText" dxfId="5" text="NP">
      <formula>NOT(ISERROR(SEARCH("NP",AG44)))</formula>
    </cfRule>
    <cfRule type="containsText" priority="150" operator="containsText" dxfId="4" text="SH">
      <formula>NOT(ISERROR(SEARCH("SH",AG44)))</formula>
    </cfRule>
    <cfRule type="containsText" priority="151" operator="containsText" dxfId="3" text="RD">
      <formula>NOT(ISERROR(SEARCH("RD",AG44)))</formula>
    </cfRule>
    <cfRule type="cellIs" priority="152" operator="equal" dxfId="74">
      <formula>"OTN"</formula>
    </cfRule>
    <cfRule type="cellIs" priority="153" operator="equal" dxfId="3">
      <formula>"SR"</formula>
    </cfRule>
    <cfRule type="cellIs" priority="154" operator="equal" dxfId="7">
      <formula>"SG"</formula>
    </cfRule>
    <cfRule type="containsText" priority="155" operator="containsText" dxfId="9" text="AL">
      <formula>NOT(ISERROR(SEARCH("AL",AG44)))</formula>
    </cfRule>
    <cfRule type="containsText" priority="157" operator="containsText" dxfId="6" text="SL">
      <formula>NOT(ISERROR(SEARCH("SL",AG44)))</formula>
    </cfRule>
    <cfRule type="containsText" priority="158" operator="containsText" dxfId="5" text="NP">
      <formula>NOT(ISERROR(SEARCH("NP",AG44)))</formula>
    </cfRule>
    <cfRule type="containsText" priority="159" operator="containsText" dxfId="4" text="SH">
      <formula>NOT(ISERROR(SEARCH("SH",AG44)))</formula>
    </cfRule>
    <cfRule type="containsText" priority="160" operator="containsText" dxfId="3" text="RD">
      <formula>NOT(ISERROR(SEARCH("RD",AG44)))</formula>
    </cfRule>
  </conditionalFormatting>
  <conditionalFormatting sqref="AK26">
    <cfRule type="containsText" priority="711" operator="containsText" dxfId="234" text="OTE">
      <formula>NOT(ISERROR(SEARCH("OTE",AK26)))</formula>
    </cfRule>
    <cfRule type="containsText" priority="712" operator="containsText" dxfId="9" text="AL">
      <formula>NOT(ISERROR(SEARCH("AL",AK26)))</formula>
    </cfRule>
    <cfRule type="containsText" priority="713" operator="containsText" dxfId="6" text="SL">
      <formula>NOT(ISERROR(SEARCH("SL",AK26)))</formula>
    </cfRule>
    <cfRule type="containsText" priority="714" operator="containsText" dxfId="5" text="NP">
      <formula>NOT(ISERROR(SEARCH("NP",AK26)))</formula>
    </cfRule>
    <cfRule type="containsText" priority="715" operator="containsText" dxfId="4" text="SH">
      <formula>NOT(ISERROR(SEARCH("SH",AK26)))</formula>
    </cfRule>
    <cfRule type="containsText" priority="716" operator="containsText" dxfId="3" text="RD">
      <formula>NOT(ISERROR(SEARCH("RD",AK26)))</formula>
    </cfRule>
    <cfRule type="cellIs" priority="717" operator="equal" dxfId="232">
      <formula>"NC"</formula>
    </cfRule>
    <cfRule type="containsText" priority="718" operator="containsText" dxfId="235" text="EC">
      <formula>NOT(ISERROR(SEARCH("EC",AK26)))</formula>
    </cfRule>
    <cfRule type="containsText" priority="719" operator="containsText" dxfId="234" text="OTE">
      <formula>NOT(ISERROR(SEARCH("OTE",AK26)))</formula>
    </cfRule>
    <cfRule type="containsText" priority="720" operator="containsText" dxfId="9" text="AL">
      <formula>NOT(ISERROR(SEARCH("AL",AK26)))</formula>
    </cfRule>
    <cfRule type="containsText" priority="721" operator="containsText" dxfId="6" text="SL">
      <formula>NOT(ISERROR(SEARCH("SL",AK26)))</formula>
    </cfRule>
    <cfRule type="containsText" priority="722" operator="containsText" dxfId="5" text="NP">
      <formula>NOT(ISERROR(SEARCH("NP",AK26)))</formula>
    </cfRule>
    <cfRule type="containsText" priority="723" operator="containsText" dxfId="4" text="SH">
      <formula>NOT(ISERROR(SEARCH("SH",AK26)))</formula>
    </cfRule>
    <cfRule type="containsText" priority="724" operator="containsText" dxfId="3" text="RD">
      <formula>NOT(ISERROR(SEARCH("RD",AK26)))</formula>
    </cfRule>
  </conditionalFormatting>
  <conditionalFormatting sqref="AK26:AK27">
    <cfRule type="cellIs" priority="687" operator="equal" dxfId="7">
      <formula>"GS"</formula>
    </cfRule>
    <cfRule type="cellIs" priority="689" operator="equal" dxfId="7">
      <formula>"SG"</formula>
    </cfRule>
    <cfRule type="cellIs" priority="703" operator="equal" dxfId="232">
      <formula>"NC"</formula>
    </cfRule>
    <cfRule type="containsText" priority="704" operator="containsText" dxfId="235" text="EC">
      <formula>NOT(ISERROR(SEARCH("EC",AK26)))</formula>
    </cfRule>
    <cfRule type="containsText" priority="705" operator="containsText" dxfId="234" text="OTE">
      <formula>NOT(ISERROR(SEARCH("OTE",AK26)))</formula>
    </cfRule>
    <cfRule type="containsText" priority="706" operator="containsText" dxfId="9" text="AL">
      <formula>NOT(ISERROR(SEARCH("AL",AK26)))</formula>
    </cfRule>
    <cfRule type="containsText" priority="707" operator="containsText" dxfId="6" text="SL">
      <formula>NOT(ISERROR(SEARCH("SL",AK26)))</formula>
    </cfRule>
    <cfRule type="containsText" priority="708" operator="containsText" dxfId="5" text="NP">
      <formula>NOT(ISERROR(SEARCH("NP",AK26)))</formula>
    </cfRule>
    <cfRule type="containsText" priority="709" operator="containsText" dxfId="4" text="SH">
      <formula>NOT(ISERROR(SEARCH("SH",AK26)))</formula>
    </cfRule>
    <cfRule type="containsText" priority="710" operator="containsText" dxfId="3" text="RD">
      <formula>NOT(ISERROR(SEARCH("RD",AK26)))</formula>
    </cfRule>
  </conditionalFormatting>
  <conditionalFormatting sqref="AK27">
    <cfRule type="cellIs" priority="688" operator="equal" dxfId="232">
      <formula>"NC"</formula>
    </cfRule>
    <cfRule type="containsText" priority="690" operator="containsText" dxfId="235" text="EC">
      <formula>NOT(ISERROR(SEARCH("EC",AK27)))</formula>
    </cfRule>
    <cfRule type="containsText" priority="691" operator="containsText" dxfId="234" text="OTE">
      <formula>NOT(ISERROR(SEARCH("OTE",AK27)))</formula>
    </cfRule>
    <cfRule type="containsText" priority="692" operator="containsText" dxfId="9" text="AL">
      <formula>NOT(ISERROR(SEARCH("AL",AK27)))</formula>
    </cfRule>
    <cfRule type="containsText" priority="693" operator="containsText" dxfId="6" text="SL">
      <formula>NOT(ISERROR(SEARCH("SL",AK27)))</formula>
    </cfRule>
    <cfRule type="containsText" priority="694" operator="containsText" dxfId="5" text="NP">
      <formula>NOT(ISERROR(SEARCH("NP",AK27)))</formula>
    </cfRule>
    <cfRule type="containsText" priority="695" operator="containsText" dxfId="4" text="SH">
      <formula>NOT(ISERROR(SEARCH("SH",AK27)))</formula>
    </cfRule>
    <cfRule type="containsText" priority="696" operator="containsText" dxfId="3" text="RD">
      <formula>NOT(ISERROR(SEARCH("RD",AK27)))</formula>
    </cfRule>
    <cfRule type="containsText" priority="697" operator="containsText" dxfId="234" text="OTE">
      <formula>NOT(ISERROR(SEARCH("OTE",AK27)))</formula>
    </cfRule>
    <cfRule type="containsText" priority="698" operator="containsText" dxfId="9" text="AL">
      <formula>NOT(ISERROR(SEARCH("AL",AK27)))</formula>
    </cfRule>
    <cfRule type="containsText" priority="699" operator="containsText" dxfId="6" text="SL">
      <formula>NOT(ISERROR(SEARCH("SL",AK27)))</formula>
    </cfRule>
    <cfRule type="containsText" priority="700" operator="containsText" dxfId="5" text="NP">
      <formula>NOT(ISERROR(SEARCH("NP",AK27)))</formula>
    </cfRule>
    <cfRule type="containsText" priority="701" operator="containsText" dxfId="4" text="SH">
      <formula>NOT(ISERROR(SEARCH("SH",AK27)))</formula>
    </cfRule>
    <cfRule type="containsText" priority="702" operator="containsText" dxfId="3" text="RD">
      <formula>NOT(ISERROR(SEARCH("RD",AK27)))</formula>
    </cfRule>
  </conditionalFormatting>
  <conditionalFormatting sqref="AL19">
    <cfRule type="cellIs" priority="766" operator="equal" dxfId="7">
      <formula>"GS"</formula>
    </cfRule>
    <cfRule type="cellIs" priority="767" operator="equal" dxfId="232">
      <formula>"NC"</formula>
    </cfRule>
    <cfRule type="cellIs" priority="768" operator="equal" dxfId="7">
      <formula>"SG"</formula>
    </cfRule>
    <cfRule type="containsText" priority="769" operator="containsText" dxfId="235" text="EC">
      <formula>NOT(ISERROR(SEARCH("EC",AL19)))</formula>
    </cfRule>
    <cfRule type="containsText" priority="770" operator="containsText" dxfId="234" text="OTE">
      <formula>NOT(ISERROR(SEARCH("OTE",AL19)))</formula>
    </cfRule>
    <cfRule type="containsText" priority="771" operator="containsText" dxfId="9" text="AL">
      <formula>NOT(ISERROR(SEARCH("AL",AL19)))</formula>
    </cfRule>
    <cfRule type="containsText" priority="772" operator="containsText" dxfId="6" text="SL">
      <formula>NOT(ISERROR(SEARCH("SL",AL19)))</formula>
    </cfRule>
    <cfRule type="containsText" priority="773" operator="containsText" dxfId="5" text="NP">
      <formula>NOT(ISERROR(SEARCH("NP",AL19)))</formula>
    </cfRule>
    <cfRule type="containsText" priority="774" operator="containsText" dxfId="4" text="SH">
      <formula>NOT(ISERROR(SEARCH("SH",AL19)))</formula>
    </cfRule>
    <cfRule type="containsText" priority="775" operator="containsText" dxfId="3" text="RD">
      <formula>NOT(ISERROR(SEARCH("RD",AL19)))</formula>
    </cfRule>
    <cfRule type="containsText" priority="776" operator="containsText" dxfId="234" text="OTE">
      <formula>NOT(ISERROR(SEARCH("OTE",AL19)))</formula>
    </cfRule>
    <cfRule type="containsText" priority="777" operator="containsText" dxfId="9" text="AL">
      <formula>NOT(ISERROR(SEARCH("AL",AL19)))</formula>
    </cfRule>
    <cfRule type="containsText" priority="778" operator="containsText" dxfId="6" text="SL">
      <formula>NOT(ISERROR(SEARCH("SL",AL19)))</formula>
    </cfRule>
    <cfRule type="containsText" priority="779" operator="containsText" dxfId="5" text="NP">
      <formula>NOT(ISERROR(SEARCH("NP",AL19)))</formula>
    </cfRule>
    <cfRule type="containsText" priority="780" operator="containsText" dxfId="4" text="SH">
      <formula>NOT(ISERROR(SEARCH("SH",AL19)))</formula>
    </cfRule>
    <cfRule type="containsText" priority="781" operator="containsText" dxfId="3" text="RD">
      <formula>NOT(ISERROR(SEARCH("RD",AL19)))</formula>
    </cfRule>
    <cfRule type="cellIs" priority="782" operator="equal" dxfId="232">
      <formula>"NC"</formula>
    </cfRule>
    <cfRule type="containsText" priority="783" operator="containsText" dxfId="235" text="EC">
      <formula>NOT(ISERROR(SEARCH("EC",AL19)))</formula>
    </cfRule>
    <cfRule type="containsText" priority="784" operator="containsText" dxfId="234" text="OTE">
      <formula>NOT(ISERROR(SEARCH("OTE",AL19)))</formula>
    </cfRule>
    <cfRule type="containsText" priority="785" operator="containsText" dxfId="9" text="AL">
      <formula>NOT(ISERROR(SEARCH("AL",AL19)))</formula>
    </cfRule>
    <cfRule type="containsText" priority="786" operator="containsText" dxfId="6" text="SL">
      <formula>NOT(ISERROR(SEARCH("SL",AL19)))</formula>
    </cfRule>
    <cfRule type="containsText" priority="787" operator="containsText" dxfId="5" text="NP">
      <formula>NOT(ISERROR(SEARCH("NP",AL19)))</formula>
    </cfRule>
    <cfRule type="containsText" priority="788" operator="containsText" dxfId="4" text="SH">
      <formula>NOT(ISERROR(SEARCH("SH",AL19)))</formula>
    </cfRule>
    <cfRule type="containsText" priority="789" operator="containsText" dxfId="3" text="RD">
      <formula>NOT(ISERROR(SEARCH("RD",AL19)))</formula>
    </cfRule>
    <cfRule type="containsText" priority="790" operator="containsText" dxfId="234" text="OTE">
      <formula>NOT(ISERROR(SEARCH("OTE",AL19)))</formula>
    </cfRule>
    <cfRule type="containsText" priority="791" operator="containsText" dxfId="9" text="AL">
      <formula>NOT(ISERROR(SEARCH("AL",AL19)))</formula>
    </cfRule>
    <cfRule type="containsText" priority="792" operator="containsText" dxfId="6" text="SL">
      <formula>NOT(ISERROR(SEARCH("SL",AL19)))</formula>
    </cfRule>
    <cfRule type="containsText" priority="793" operator="containsText" dxfId="5" text="NP">
      <formula>NOT(ISERROR(SEARCH("NP",AL19)))</formula>
    </cfRule>
    <cfRule type="containsText" priority="794" operator="containsText" dxfId="4" text="SH">
      <formula>NOT(ISERROR(SEARCH("SH",AL19)))</formula>
    </cfRule>
    <cfRule type="containsText" priority="795" operator="containsText" dxfId="3" text="RD">
      <formula>NOT(ISERROR(SEARCH("RD",AL19)))</formula>
    </cfRule>
  </conditionalFormatting>
  <conditionalFormatting sqref="AL22">
    <cfRule type="cellIs" priority="663" operator="equal" dxfId="7">
      <formula>"GS"</formula>
    </cfRule>
    <cfRule type="cellIs" priority="664" operator="equal" dxfId="232">
      <formula>"NC"</formula>
    </cfRule>
    <cfRule type="cellIs" priority="665" operator="equal" dxfId="7">
      <formula>"SG"</formula>
    </cfRule>
    <cfRule type="containsText" priority="666" operator="containsText" dxfId="235" text="EC">
      <formula>NOT(ISERROR(SEARCH("EC",AL22)))</formula>
    </cfRule>
    <cfRule type="containsText" priority="667" operator="containsText" dxfId="234" text="OTE">
      <formula>NOT(ISERROR(SEARCH("OTE",AL22)))</formula>
    </cfRule>
    <cfRule type="containsText" priority="668" operator="containsText" dxfId="9" text="AL">
      <formula>NOT(ISERROR(SEARCH("AL",AL22)))</formula>
    </cfRule>
    <cfRule type="containsText" priority="669" operator="containsText" dxfId="6" text="SL">
      <formula>NOT(ISERROR(SEARCH("SL",AL22)))</formula>
    </cfRule>
    <cfRule type="containsText" priority="670" operator="containsText" dxfId="5" text="NP">
      <formula>NOT(ISERROR(SEARCH("NP",AL22)))</formula>
    </cfRule>
    <cfRule type="containsText" priority="671" operator="containsText" dxfId="4" text="SH">
      <formula>NOT(ISERROR(SEARCH("SH",AL22)))</formula>
    </cfRule>
    <cfRule type="containsText" priority="672" operator="containsText" dxfId="3" text="RD">
      <formula>NOT(ISERROR(SEARCH("RD",AL22)))</formula>
    </cfRule>
    <cfRule type="containsText" priority="673" operator="containsText" dxfId="234" text="OTE">
      <formula>NOT(ISERROR(SEARCH("OTE",AL22)))</formula>
    </cfRule>
    <cfRule type="containsText" priority="674" operator="containsText" dxfId="9" text="AL">
      <formula>NOT(ISERROR(SEARCH("AL",AL22)))</formula>
    </cfRule>
    <cfRule type="containsText" priority="675" operator="containsText" dxfId="6" text="SL">
      <formula>NOT(ISERROR(SEARCH("SL",AL22)))</formula>
    </cfRule>
    <cfRule type="containsText" priority="676" operator="containsText" dxfId="5" text="NP">
      <formula>NOT(ISERROR(SEARCH("NP",AL22)))</formula>
    </cfRule>
    <cfRule type="containsText" priority="677" operator="containsText" dxfId="4" text="SH">
      <formula>NOT(ISERROR(SEARCH("SH",AL22)))</formula>
    </cfRule>
    <cfRule type="containsText" priority="678" operator="containsText" dxfId="3" text="RD">
      <formula>NOT(ISERROR(SEARCH("RD",AL22)))</formula>
    </cfRule>
    <cfRule type="cellIs" priority="679" operator="equal" dxfId="232">
      <formula>"NC"</formula>
    </cfRule>
    <cfRule type="containsText" priority="680" operator="containsText" dxfId="235" text="EC">
      <formula>NOT(ISERROR(SEARCH("EC",AL22)))</formula>
    </cfRule>
    <cfRule type="containsText" priority="681" operator="containsText" dxfId="234" text="OTE">
      <formula>NOT(ISERROR(SEARCH("OTE",AL22)))</formula>
    </cfRule>
    <cfRule type="containsText" priority="682" operator="containsText" dxfId="9" text="AL">
      <formula>NOT(ISERROR(SEARCH("AL",AL22)))</formula>
    </cfRule>
    <cfRule type="containsText" priority="683" operator="containsText" dxfId="6" text="SL">
      <formula>NOT(ISERROR(SEARCH("SL",AL22)))</formula>
    </cfRule>
    <cfRule type="containsText" priority="684" operator="containsText" dxfId="5" text="NP">
      <formula>NOT(ISERROR(SEARCH("NP",AL22)))</formula>
    </cfRule>
    <cfRule type="containsText" priority="685" operator="containsText" dxfId="4" text="SH">
      <formula>NOT(ISERROR(SEARCH("SH",AL22)))</formula>
    </cfRule>
    <cfRule type="containsText" priority="686" operator="containsText" dxfId="3" text="RD">
      <formula>NOT(ISERROR(SEARCH("RD",AL22)))</formula>
    </cfRule>
  </conditionalFormatting>
  <conditionalFormatting sqref="AM23">
    <cfRule type="cellIs" priority="639" operator="equal" dxfId="7">
      <formula>"GS"</formula>
    </cfRule>
    <cfRule type="cellIs" priority="640" operator="equal" dxfId="232">
      <formula>"NC"</formula>
    </cfRule>
    <cfRule type="cellIs" priority="641" operator="equal" dxfId="7">
      <formula>"SG"</formula>
    </cfRule>
    <cfRule type="containsText" priority="642" operator="containsText" dxfId="235" text="EC">
      <formula>NOT(ISERROR(SEARCH("EC",AM23)))</formula>
    </cfRule>
    <cfRule type="containsText" priority="643" operator="containsText" dxfId="234" text="OTE">
      <formula>NOT(ISERROR(SEARCH("OTE",AM23)))</formula>
    </cfRule>
    <cfRule type="containsText" priority="644" operator="containsText" dxfId="9" text="AL">
      <formula>NOT(ISERROR(SEARCH("AL",AM23)))</formula>
    </cfRule>
    <cfRule type="containsText" priority="645" operator="containsText" dxfId="6" text="SL">
      <formula>NOT(ISERROR(SEARCH("SL",AM23)))</formula>
    </cfRule>
    <cfRule type="containsText" priority="646" operator="containsText" dxfId="5" text="NP">
      <formula>NOT(ISERROR(SEARCH("NP",AM23)))</formula>
    </cfRule>
    <cfRule type="containsText" priority="647" operator="containsText" dxfId="4" text="SH">
      <formula>NOT(ISERROR(SEARCH("SH",AM23)))</formula>
    </cfRule>
    <cfRule type="containsText" priority="648" operator="containsText" dxfId="3" text="RD">
      <formula>NOT(ISERROR(SEARCH("RD",AM23)))</formula>
    </cfRule>
    <cfRule type="containsText" priority="649" operator="containsText" dxfId="234" text="OTE">
      <formula>NOT(ISERROR(SEARCH("OTE",AM23)))</formula>
    </cfRule>
    <cfRule type="containsText" priority="650" operator="containsText" dxfId="9" text="AL">
      <formula>NOT(ISERROR(SEARCH("AL",AM23)))</formula>
    </cfRule>
    <cfRule type="containsText" priority="651" operator="containsText" dxfId="6" text="SL">
      <formula>NOT(ISERROR(SEARCH("SL",AM23)))</formula>
    </cfRule>
    <cfRule type="containsText" priority="652" operator="containsText" dxfId="5" text="NP">
      <formula>NOT(ISERROR(SEARCH("NP",AM23)))</formula>
    </cfRule>
    <cfRule type="containsText" priority="653" operator="containsText" dxfId="4" text="SH">
      <formula>NOT(ISERROR(SEARCH("SH",AM23)))</formula>
    </cfRule>
    <cfRule type="containsText" priority="654" operator="containsText" dxfId="3" text="RD">
      <formula>NOT(ISERROR(SEARCH("RD",AM23)))</formula>
    </cfRule>
    <cfRule type="cellIs" priority="655" operator="equal" dxfId="232">
      <formula>"NC"</formula>
    </cfRule>
    <cfRule type="containsText" priority="656" operator="containsText" dxfId="235" text="EC">
      <formula>NOT(ISERROR(SEARCH("EC",AM23)))</formula>
    </cfRule>
    <cfRule type="containsText" priority="657" operator="containsText" dxfId="234" text="OTE">
      <formula>NOT(ISERROR(SEARCH("OTE",AM23)))</formula>
    </cfRule>
    <cfRule type="containsText" priority="658" operator="containsText" dxfId="9" text="AL">
      <formula>NOT(ISERROR(SEARCH("AL",AM23)))</formula>
    </cfRule>
    <cfRule type="containsText" priority="659" operator="containsText" dxfId="6" text="SL">
      <formula>NOT(ISERROR(SEARCH("SL",AM23)))</formula>
    </cfRule>
    <cfRule type="containsText" priority="660" operator="containsText" dxfId="5" text="NP">
      <formula>NOT(ISERROR(SEARCH("NP",AM23)))</formula>
    </cfRule>
    <cfRule type="containsText" priority="661" operator="containsText" dxfId="4" text="SH">
      <formula>NOT(ISERROR(SEARCH("SH",AM23)))</formula>
    </cfRule>
    <cfRule type="containsText" priority="662" operator="containsText" dxfId="3" text="RD">
      <formula>NOT(ISERROR(SEARCH("RD",AM23)))</formula>
    </cfRule>
  </conditionalFormatting>
  <conditionalFormatting sqref="AV6:BC10">
    <cfRule type="cellIs" priority="171" operator="equal" dxfId="59">
      <formula>0</formula>
    </cfRule>
  </conditionalFormatting>
  <conditionalFormatting sqref="AV19:BC29">
    <cfRule type="cellIs" priority="170" operator="equal" dxfId="59">
      <formula>0</formula>
    </cfRule>
  </conditionalFormatting>
  <conditionalFormatting sqref="AG8:AI10">
    <cfRule type="cellIs" priority="133" operator="equal" dxfId="221">
      <formula>"CL"</formula>
    </cfRule>
    <cfRule type="cellIs" priority="134" operator="equal" dxfId="232">
      <formula>"NC"</formula>
    </cfRule>
    <cfRule type="containsText" priority="135" operator="containsText" dxfId="235" text="EC">
      <formula>NOT(ISERROR(SEARCH("EC",AG8)))</formula>
    </cfRule>
    <cfRule type="containsText" priority="136" operator="containsText" dxfId="234" text="OTE">
      <formula>NOT(ISERROR(SEARCH("OTE",AG8)))</formula>
    </cfRule>
    <cfRule type="containsText" priority="137" operator="containsText" dxfId="9" text="AL">
      <formula>NOT(ISERROR(SEARCH("AL",AG8)))</formula>
    </cfRule>
    <cfRule type="containsText" priority="138" operator="containsText" dxfId="6" text="SL">
      <formula>NOT(ISERROR(SEARCH("SL",AG8)))</formula>
    </cfRule>
    <cfRule type="containsText" priority="139" operator="containsText" dxfId="5" text="NP">
      <formula>NOT(ISERROR(SEARCH("NP",AG8)))</formula>
    </cfRule>
    <cfRule type="containsText" priority="140" operator="containsText" dxfId="4" text="SH">
      <formula>NOT(ISERROR(SEARCH("SH",AG8)))</formula>
    </cfRule>
    <cfRule type="containsText" priority="141" operator="containsText" dxfId="3" text="RD">
      <formula>NOT(ISERROR(SEARCH("RD",AG8)))</formula>
    </cfRule>
    <cfRule type="cellIs" priority="51" operator="equal" dxfId="7">
      <formula>"GS"</formula>
    </cfRule>
    <cfRule type="cellIs" priority="52" operator="equal" dxfId="7">
      <formula>"SG"</formula>
    </cfRule>
  </conditionalFormatting>
  <conditionalFormatting sqref="AG9:AG10">
    <cfRule type="cellIs" priority="117" operator="equal" dxfId="7">
      <formula>"GS"</formula>
    </cfRule>
    <cfRule type="cellIs" priority="118" operator="equal" dxfId="232">
      <formula>"NC"</formula>
    </cfRule>
    <cfRule type="cellIs" priority="119" operator="equal" dxfId="7">
      <formula>"SG"</formula>
    </cfRule>
    <cfRule type="containsText" priority="120" operator="containsText" dxfId="235" text="EC">
      <formula>NOT(ISERROR(SEARCH("EC",AG9)))</formula>
    </cfRule>
    <cfRule type="containsText" priority="121" operator="containsText" dxfId="234" text="OTE">
      <formula>NOT(ISERROR(SEARCH("OTE",AG9)))</formula>
    </cfRule>
    <cfRule type="containsText" priority="122" operator="containsText" dxfId="9" text="AL">
      <formula>NOT(ISERROR(SEARCH("AL",AG9)))</formula>
    </cfRule>
    <cfRule type="containsText" priority="123" operator="containsText" dxfId="6" text="SL">
      <formula>NOT(ISERROR(SEARCH("SL",AG9)))</formula>
    </cfRule>
    <cfRule type="containsText" priority="124" operator="containsText" dxfId="5" text="NP">
      <formula>NOT(ISERROR(SEARCH("NP",AG9)))</formula>
    </cfRule>
    <cfRule type="containsText" priority="125" operator="containsText" dxfId="4" text="SH">
      <formula>NOT(ISERROR(SEARCH("SH",AG9)))</formula>
    </cfRule>
    <cfRule type="containsText" priority="126" operator="containsText" dxfId="3" text="RD">
      <formula>NOT(ISERROR(SEARCH("RD",AG9)))</formula>
    </cfRule>
    <cfRule type="containsText" priority="127" operator="containsText" dxfId="234" text="OTE">
      <formula>NOT(ISERROR(SEARCH("OTE",AG9)))</formula>
    </cfRule>
    <cfRule type="containsText" priority="128" operator="containsText" dxfId="9" text="AL">
      <formula>NOT(ISERROR(SEARCH("AL",AG9)))</formula>
    </cfRule>
    <cfRule type="containsText" priority="129" operator="containsText" dxfId="6" text="SL">
      <formula>NOT(ISERROR(SEARCH("SL",AG9)))</formula>
    </cfRule>
    <cfRule type="containsText" priority="130" operator="containsText" dxfId="5" text="NP">
      <formula>NOT(ISERROR(SEARCH("NP",AG9)))</formula>
    </cfRule>
    <cfRule type="containsText" priority="131" operator="containsText" dxfId="4" text="SH">
      <formula>NOT(ISERROR(SEARCH("SH",AG9)))</formula>
    </cfRule>
    <cfRule type="containsText" priority="132" operator="containsText" dxfId="3" text="RD">
      <formula>NOT(ISERROR(SEARCH("RD",AG9)))</formula>
    </cfRule>
  </conditionalFormatting>
  <conditionalFormatting sqref="AG10">
    <cfRule type="cellIs" priority="53" operator="equal" dxfId="7">
      <formula>"GS"</formula>
    </cfRule>
    <cfRule type="cellIs" priority="54" operator="equal" dxfId="232">
      <formula>"NC"</formula>
    </cfRule>
    <cfRule type="cellIs" priority="55" operator="equal" dxfId="7">
      <formula>"SG"</formula>
    </cfRule>
    <cfRule type="containsText" priority="56" operator="containsText" dxfId="235" text="EC">
      <formula>NOT(ISERROR(SEARCH("EC",AG10)))</formula>
    </cfRule>
    <cfRule type="containsText" priority="57" operator="containsText" dxfId="234" text="OTE">
      <formula>NOT(ISERROR(SEARCH("OTE",AG10)))</formula>
    </cfRule>
    <cfRule type="containsText" priority="58" operator="containsText" dxfId="9" text="AL">
      <formula>NOT(ISERROR(SEARCH("AL",AG10)))</formula>
    </cfRule>
    <cfRule type="containsText" priority="59" operator="containsText" dxfId="6" text="SL">
      <formula>NOT(ISERROR(SEARCH("SL",AG10)))</formula>
    </cfRule>
    <cfRule type="containsText" priority="60" operator="containsText" dxfId="5" text="NP">
      <formula>NOT(ISERROR(SEARCH("NP",AG10)))</formula>
    </cfRule>
    <cfRule type="containsText" priority="61" operator="containsText" dxfId="4" text="SH">
      <formula>NOT(ISERROR(SEARCH("SH",AG10)))</formula>
    </cfRule>
    <cfRule type="containsText" priority="62" operator="containsText" dxfId="3" text="RD">
      <formula>NOT(ISERROR(SEARCH("RD",AG10)))</formula>
    </cfRule>
    <cfRule type="containsText" priority="63" operator="containsText" dxfId="234" text="OTE">
      <formula>NOT(ISERROR(SEARCH("OTE",AG10)))</formula>
    </cfRule>
    <cfRule type="containsText" priority="64" operator="containsText" dxfId="9" text="AL">
      <formula>NOT(ISERROR(SEARCH("AL",AG10)))</formula>
    </cfRule>
    <cfRule type="containsText" priority="65" operator="containsText" dxfId="6" text="SL">
      <formula>NOT(ISERROR(SEARCH("SL",AG10)))</formula>
    </cfRule>
    <cfRule type="containsText" priority="66" operator="containsText" dxfId="5" text="NP">
      <formula>NOT(ISERROR(SEARCH("NP",AG10)))</formula>
    </cfRule>
    <cfRule type="containsText" priority="67" operator="containsText" dxfId="4" text="SH">
      <formula>NOT(ISERROR(SEARCH("SH",AG10)))</formula>
    </cfRule>
    <cfRule type="containsText" priority="68" operator="containsText" dxfId="3" text="RD">
      <formula>NOT(ISERROR(SEARCH("RD",AG10)))</formula>
    </cfRule>
    <cfRule type="cellIs" priority="69" operator="equal" dxfId="7">
      <formula>"GS"</formula>
    </cfRule>
    <cfRule type="cellIs" priority="70" operator="equal" dxfId="232">
      <formula>"NC"</formula>
    </cfRule>
    <cfRule type="cellIs" priority="71" operator="equal" dxfId="7">
      <formula>"SG"</formula>
    </cfRule>
    <cfRule type="containsText" priority="72" operator="containsText" dxfId="235" text="EC">
      <formula>NOT(ISERROR(SEARCH("EC",AG10)))</formula>
    </cfRule>
    <cfRule type="containsText" priority="73" operator="containsText" dxfId="234" text="OTE">
      <formula>NOT(ISERROR(SEARCH("OTE",AG10)))</formula>
    </cfRule>
    <cfRule type="containsText" priority="74" operator="containsText" dxfId="9" text="AL">
      <formula>NOT(ISERROR(SEARCH("AL",AG10)))</formula>
    </cfRule>
    <cfRule type="containsText" priority="75" operator="containsText" dxfId="6" text="SL">
      <formula>NOT(ISERROR(SEARCH("SL",AG10)))</formula>
    </cfRule>
    <cfRule type="containsText" priority="76" operator="containsText" dxfId="5" text="NP">
      <formula>NOT(ISERROR(SEARCH("NP",AG10)))</formula>
    </cfRule>
    <cfRule type="containsText" priority="77" operator="containsText" dxfId="4" text="SH">
      <formula>NOT(ISERROR(SEARCH("SH",AG10)))</formula>
    </cfRule>
    <cfRule type="containsText" priority="78" operator="containsText" dxfId="3" text="RD">
      <formula>NOT(ISERROR(SEARCH("RD",AG10)))</formula>
    </cfRule>
    <cfRule type="containsText" priority="79" operator="containsText" dxfId="234" text="OTE">
      <formula>NOT(ISERROR(SEARCH("OTE",AG10)))</formula>
    </cfRule>
    <cfRule type="containsText" priority="80" operator="containsText" dxfId="9" text="AL">
      <formula>NOT(ISERROR(SEARCH("AL",AG10)))</formula>
    </cfRule>
    <cfRule type="containsText" priority="81" operator="containsText" dxfId="6" text="SL">
      <formula>NOT(ISERROR(SEARCH("SL",AG10)))</formula>
    </cfRule>
    <cfRule type="containsText" priority="82" operator="containsText" dxfId="5" text="NP">
      <formula>NOT(ISERROR(SEARCH("NP",AG10)))</formula>
    </cfRule>
    <cfRule type="containsText" priority="83" operator="containsText" dxfId="4" text="SH">
      <formula>NOT(ISERROR(SEARCH("SH",AG10)))</formula>
    </cfRule>
    <cfRule type="containsText" priority="84" operator="containsText" dxfId="3" text="RD">
      <formula>NOT(ISERROR(SEARCH("RD",AG10)))</formula>
    </cfRule>
    <cfRule type="cellIs" priority="85" operator="equal" dxfId="7">
      <formula>"GS"</formula>
    </cfRule>
    <cfRule type="cellIs" priority="86" operator="equal" dxfId="232">
      <formula>"NC"</formula>
    </cfRule>
    <cfRule type="cellIs" priority="87" operator="equal" dxfId="7">
      <formula>"SG"</formula>
    </cfRule>
    <cfRule type="containsText" priority="88" operator="containsText" dxfId="235" text="EC">
      <formula>NOT(ISERROR(SEARCH("EC",AG10)))</formula>
    </cfRule>
    <cfRule type="containsText" priority="89" operator="containsText" dxfId="234" text="OTE">
      <formula>NOT(ISERROR(SEARCH("OTE",AG10)))</formula>
    </cfRule>
    <cfRule type="containsText" priority="90" operator="containsText" dxfId="9" text="AL">
      <formula>NOT(ISERROR(SEARCH("AL",AG10)))</formula>
    </cfRule>
    <cfRule type="containsText" priority="91" operator="containsText" dxfId="6" text="SL">
      <formula>NOT(ISERROR(SEARCH("SL",AG10)))</formula>
    </cfRule>
    <cfRule type="containsText" priority="92" operator="containsText" dxfId="5" text="NP">
      <formula>NOT(ISERROR(SEARCH("NP",AG10)))</formula>
    </cfRule>
    <cfRule type="containsText" priority="93" operator="containsText" dxfId="4" text="SH">
      <formula>NOT(ISERROR(SEARCH("SH",AG10)))</formula>
    </cfRule>
    <cfRule type="containsText" priority="94" operator="containsText" dxfId="3" text="RD">
      <formula>NOT(ISERROR(SEARCH("RD",AG10)))</formula>
    </cfRule>
    <cfRule type="containsText" priority="95" operator="containsText" dxfId="234" text="OTE">
      <formula>NOT(ISERROR(SEARCH("OTE",AG10)))</formula>
    </cfRule>
    <cfRule type="containsText" priority="96" operator="containsText" dxfId="9" text="AL">
      <formula>NOT(ISERROR(SEARCH("AL",AG10)))</formula>
    </cfRule>
    <cfRule type="containsText" priority="97" operator="containsText" dxfId="6" text="SL">
      <formula>NOT(ISERROR(SEARCH("SL",AG10)))</formula>
    </cfRule>
    <cfRule type="containsText" priority="98" operator="containsText" dxfId="5" text="NP">
      <formula>NOT(ISERROR(SEARCH("NP",AG10)))</formula>
    </cfRule>
    <cfRule type="containsText" priority="99" operator="containsText" dxfId="4" text="SH">
      <formula>NOT(ISERROR(SEARCH("SH",AG10)))</formula>
    </cfRule>
    <cfRule type="containsText" priority="100" operator="containsText" dxfId="3" text="RD">
      <formula>NOT(ISERROR(SEARCH("RD",AG10)))</formula>
    </cfRule>
    <cfRule type="cellIs" priority="101" operator="equal" dxfId="7">
      <formula>"GS"</formula>
    </cfRule>
    <cfRule type="cellIs" priority="102" operator="equal" dxfId="232">
      <formula>"NC"</formula>
    </cfRule>
    <cfRule type="cellIs" priority="103" operator="equal" dxfId="7">
      <formula>"SG"</formula>
    </cfRule>
    <cfRule type="containsText" priority="104" operator="containsText" dxfId="235" text="EC">
      <formula>NOT(ISERROR(SEARCH("EC",AG10)))</formula>
    </cfRule>
    <cfRule type="containsText" priority="105" operator="containsText" dxfId="234" text="OTE">
      <formula>NOT(ISERROR(SEARCH("OTE",AG10)))</formula>
    </cfRule>
    <cfRule type="containsText" priority="106" operator="containsText" dxfId="9" text="AL">
      <formula>NOT(ISERROR(SEARCH("AL",AG10)))</formula>
    </cfRule>
    <cfRule type="containsText" priority="107" operator="containsText" dxfId="6" text="SL">
      <formula>NOT(ISERROR(SEARCH("SL",AG10)))</formula>
    </cfRule>
    <cfRule type="containsText" priority="108" operator="containsText" dxfId="5" text="NP">
      <formula>NOT(ISERROR(SEARCH("NP",AG10)))</formula>
    </cfRule>
    <cfRule type="containsText" priority="109" operator="containsText" dxfId="4" text="SH">
      <formula>NOT(ISERROR(SEARCH("SH",AG10)))</formula>
    </cfRule>
    <cfRule type="containsText" priority="110" operator="containsText" dxfId="3" text="RD">
      <formula>NOT(ISERROR(SEARCH("RD",AG10)))</formula>
    </cfRule>
    <cfRule type="containsText" priority="111" operator="containsText" dxfId="234" text="OTE">
      <formula>NOT(ISERROR(SEARCH("OTE",AG10)))</formula>
    </cfRule>
    <cfRule type="containsText" priority="112" operator="containsText" dxfId="9" text="AL">
      <formula>NOT(ISERROR(SEARCH("AL",AG10)))</formula>
    </cfRule>
    <cfRule type="containsText" priority="113" operator="containsText" dxfId="6" text="SL">
      <formula>NOT(ISERROR(SEARCH("SL",AG10)))</formula>
    </cfRule>
    <cfRule type="containsText" priority="114" operator="containsText" dxfId="5" text="NP">
      <formula>NOT(ISERROR(SEARCH("NP",AG10)))</formula>
    </cfRule>
    <cfRule type="containsText" priority="115" operator="containsText" dxfId="4" text="SH">
      <formula>NOT(ISERROR(SEARCH("SH",AG10)))</formula>
    </cfRule>
    <cfRule type="containsText" priority="116" operator="containsText" dxfId="3" text="RD">
      <formula>NOT(ISERROR(SEARCH("RD",AG10)))</formula>
    </cfRule>
  </conditionalFormatting>
  <conditionalFormatting sqref="AG14:AI18 AG31:AI31">
    <cfRule type="containsText" priority="46" operator="containsText" dxfId="23" text="AL">
      <formula>NOT(ISERROR(SEARCH("AL",AG14)))</formula>
    </cfRule>
    <cfRule type="containsText" priority="47" operator="containsText" dxfId="6" text="SL">
      <formula>NOT(ISERROR(SEARCH("SL",AG14)))</formula>
    </cfRule>
    <cfRule type="containsText" priority="48" operator="containsText" dxfId="5" text="NP">
      <formula>NOT(ISERROR(SEARCH("NP",AG14)))</formula>
    </cfRule>
    <cfRule type="containsText" priority="49" operator="containsText" dxfId="4" text="SH">
      <formula>NOT(ISERROR(SEARCH("SH",AG14)))</formula>
    </cfRule>
    <cfRule type="containsText" priority="50" operator="containsText" dxfId="3" text="RD">
      <formula>NOT(ISERROR(SEARCH("RD",AG14)))</formula>
    </cfRule>
    <cfRule type="cellIs" priority="36" operator="equal" dxfId="232">
      <formula>"NC"</formula>
    </cfRule>
    <cfRule type="containsText" priority="38" operator="containsText" dxfId="235" text="EC">
      <formula>NOT(ISERROR(SEARCH("EC",AG14)))</formula>
    </cfRule>
    <cfRule type="containsText" priority="45" operator="containsText" dxfId="234" text="OTE">
      <formula>NOT(ISERROR(SEARCH("OTE",AG14)))</formula>
    </cfRule>
  </conditionalFormatting>
  <conditionalFormatting sqref="AG20:AI29">
    <cfRule type="containsText" priority="8" operator="containsText" dxfId="235" text="EC">
      <formula>NOT(ISERROR(SEARCH("EC",AG20)))</formula>
    </cfRule>
    <cfRule type="containsText" priority="9" operator="containsText" dxfId="234" text="OTE">
      <formula>NOT(ISERROR(SEARCH("OTE",AG20)))</formula>
    </cfRule>
    <cfRule type="containsText" priority="10" operator="containsText" dxfId="9" text="AL">
      <formula>NOT(ISERROR(SEARCH("AL",AG20)))</formula>
    </cfRule>
    <cfRule type="containsText" priority="11" operator="containsText" dxfId="6" text="SL">
      <formula>NOT(ISERROR(SEARCH("SL",AG20)))</formula>
    </cfRule>
    <cfRule type="containsText" priority="12" operator="containsText" dxfId="5" text="NP">
      <formula>NOT(ISERROR(SEARCH("NP",AG20)))</formula>
    </cfRule>
    <cfRule type="containsText" priority="13" operator="containsText" dxfId="4" text="SH">
      <formula>NOT(ISERROR(SEARCH("SH",AG20)))</formula>
    </cfRule>
    <cfRule type="containsText" priority="14" operator="containsText" dxfId="3" text="RD">
      <formula>NOT(ISERROR(SEARCH("RD",AG20)))</formula>
    </cfRule>
    <cfRule type="containsText" priority="15" operator="containsText" dxfId="234" text="OTE">
      <formula>NOT(ISERROR(SEARCH("OTE",AG20)))</formula>
    </cfRule>
    <cfRule type="containsText" priority="16" operator="containsText" dxfId="9" text="AL">
      <formula>NOT(ISERROR(SEARCH("AL",AG20)))</formula>
    </cfRule>
    <cfRule type="containsText" priority="17" operator="containsText" dxfId="6" text="SL">
      <formula>NOT(ISERROR(SEARCH("SL",AG20)))</formula>
    </cfRule>
    <cfRule type="containsText" priority="18" operator="containsText" dxfId="5" text="NP">
      <formula>NOT(ISERROR(SEARCH("NP",AG20)))</formula>
    </cfRule>
    <cfRule type="containsText" priority="19" operator="containsText" dxfId="4" text="SH">
      <formula>NOT(ISERROR(SEARCH("SH",AG20)))</formula>
    </cfRule>
    <cfRule type="containsText" priority="20" operator="containsText" dxfId="3" text="RD">
      <formula>NOT(ISERROR(SEARCH("RD",AG20)))</formula>
    </cfRule>
    <cfRule type="cellIs" priority="4" operator="equal" dxfId="221">
      <formula>"CL"</formula>
    </cfRule>
    <cfRule type="cellIs" priority="5" operator="equal" dxfId="7">
      <formula>"GS"</formula>
    </cfRule>
    <cfRule type="cellIs" priority="6" operator="equal" dxfId="232">
      <formula>"NC"</formula>
    </cfRule>
    <cfRule type="cellIs" priority="7" operator="equal" dxfId="7">
      <formula>"SG"</formula>
    </cfRule>
  </conditionalFormatting>
  <conditionalFormatting sqref="AG19:AI19">
    <cfRule type="cellIs" priority="21" operator="equal" dxfId="221">
      <formula>"CL"</formula>
    </cfRule>
    <cfRule type="cellIs" priority="22" operator="equal" dxfId="7">
      <formula>"GS"</formula>
    </cfRule>
    <cfRule type="cellIs" priority="23" operator="equal" dxfId="232">
      <formula>"NC"</formula>
    </cfRule>
    <cfRule type="cellIs" priority="24" operator="equal" dxfId="7">
      <formula>"SG"</formula>
    </cfRule>
    <cfRule type="containsText" priority="25" operator="containsText" dxfId="235" text="EC">
      <formula>NOT(ISERROR(SEARCH("EC",AG19)))</formula>
    </cfRule>
    <cfRule type="containsText" priority="26" operator="containsText" dxfId="234" text="OTE">
      <formula>NOT(ISERROR(SEARCH("OTE",AG19)))</formula>
    </cfRule>
    <cfRule type="containsText" priority="27" operator="containsText" dxfId="9" text="AL">
      <formula>NOT(ISERROR(SEARCH("AL",AG19)))</formula>
    </cfRule>
    <cfRule type="containsText" priority="28" operator="containsText" dxfId="6" text="SL">
      <formula>NOT(ISERROR(SEARCH("SL",AG19)))</formula>
    </cfRule>
    <cfRule type="containsText" priority="29" operator="containsText" dxfId="5" text="NP">
      <formula>NOT(ISERROR(SEARCH("NP",AG19)))</formula>
    </cfRule>
    <cfRule type="containsText" priority="30" operator="containsText" dxfId="4" text="SH">
      <formula>NOT(ISERROR(SEARCH("SH",AG19)))</formula>
    </cfRule>
    <cfRule type="containsText" priority="31" operator="containsText" dxfId="3" text="RD">
      <formula>NOT(ISERROR(SEARCH("RD",AG19)))</formula>
    </cfRule>
  </conditionalFormatting>
  <conditionalFormatting sqref="AG14:AI18">
    <cfRule type="cellIs" priority="32" operator="equal" dxfId="221">
      <formula>"CL"</formula>
    </cfRule>
  </conditionalFormatting>
  <conditionalFormatting sqref="AG14:AI41">
    <cfRule type="cellIs" priority="2" operator="equal" dxfId="7">
      <formula>"GS"</formula>
    </cfRule>
    <cfRule type="cellIs" priority="3" operator="equal" dxfId="7">
      <formula>"SG"</formula>
    </cfRule>
  </conditionalFormatting>
  <conditionalFormatting sqref="AG31:AI31">
    <cfRule type="containsText" priority="39" operator="containsText" dxfId="234" text="OTE">
      <formula>NOT(ISERROR(SEARCH("OTE",AG31)))</formula>
    </cfRule>
    <cfRule type="containsText" priority="40" operator="containsText" dxfId="23" text="AL">
      <formula>NOT(ISERROR(SEARCH("AL",AG31)))</formula>
    </cfRule>
    <cfRule type="containsText" priority="41" operator="containsText" dxfId="6" text="SL">
      <formula>NOT(ISERROR(SEARCH("SL",AG31)))</formula>
    </cfRule>
    <cfRule type="containsText" priority="42" operator="containsText" dxfId="5" text="NP">
      <formula>NOT(ISERROR(SEARCH("NP",AG31)))</formula>
    </cfRule>
    <cfRule type="containsText" priority="43" operator="containsText" dxfId="4" text="SH">
      <formula>NOT(ISERROR(SEARCH("SH",AG31)))</formula>
    </cfRule>
    <cfRule type="containsText" priority="44" operator="containsText" dxfId="3" text="RD">
      <formula>NOT(ISERROR(SEARCH("RD",AG31)))</formula>
    </cfRule>
    <cfRule type="cellIs" priority="33" operator="equal" dxfId="1">
      <formula>"TPN"</formula>
    </cfRule>
    <cfRule type="cellIs" priority="34" operator="equal" dxfId="221">
      <formula>"CL"</formula>
    </cfRule>
    <cfRule type="cellIs" priority="35" operator="equal" dxfId="7">
      <formula>"GS"</formula>
    </cfRule>
    <cfRule type="cellIs" priority="37" operator="equal" dxfId="7">
      <formula>"SG"</formula>
    </cfRule>
  </conditionalFormatting>
  <conditionalFormatting sqref="AG33:AI33">
    <cfRule type="cellIs" priority="1" operator="greaterThan" dxfId="22">
      <formula>8</formula>
    </cfRule>
  </conditionalFormatting>
  <pageMargins left="0.2362204724409449" right="0.2362204724409449" top="0.5511811023622047" bottom="0.3543307086614174" header="0.3149606299212598" footer="0.3149606299212598"/>
  <pageSetup orientation="landscape" paperSize="9" scale="45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C59"/>
  <sheetViews>
    <sheetView view="pageBreakPreview" zoomScale="61" zoomScaleNormal="61" zoomScaleSheetLayoutView="61" workbookViewId="0">
      <pane xSplit="8" ySplit="7" topLeftCell="I8" activePane="bottomRight" state="frozen"/>
      <selection pane="topRight" activeCell="G1" sqref="G1"/>
      <selection pane="bottomLeft" activeCell="A7" sqref="A7"/>
      <selection pane="bottomRight" activeCell="V18" sqref="V18"/>
    </sheetView>
  </sheetViews>
  <sheetFormatPr baseColWidth="8" defaultColWidth="9" defaultRowHeight="15" customHeight="1"/>
  <cols>
    <col width="1.625" customWidth="1" style="13" min="1" max="1"/>
    <col width="9" customWidth="1" style="39" min="2" max="2"/>
    <col width="22.125" customWidth="1" style="40" min="3" max="3"/>
    <col width="19.875" customWidth="1" style="40" min="4" max="4"/>
    <col hidden="1" outlineLevel="1" width="9" customWidth="1" style="40" min="5" max="5"/>
    <col hidden="1" outlineLevel="1" width="17.25" customWidth="1" style="40" min="6" max="6"/>
    <col hidden="1" outlineLevel="1" width="12.625" customWidth="1" style="40" min="7" max="7"/>
    <col collapsed="1" width="8" customWidth="1" style="40" min="8" max="8"/>
    <col width="6.625" customWidth="1" style="39" min="9" max="39"/>
    <col width="9.625" customWidth="1" style="40" min="40" max="41"/>
    <col hidden="1" outlineLevel="1" width="10.375" customWidth="1" style="13" min="42" max="42"/>
    <col hidden="1" outlineLevel="1" style="13" min="43" max="55"/>
    <col collapsed="1" width="9" customWidth="1" style="13" min="56" max="56"/>
    <col width="9" customWidth="1" style="13" min="57" max="16384"/>
  </cols>
  <sheetData>
    <row r="1" ht="21.95" customHeight="1" s="459">
      <c r="B1" s="411" t="inlineStr">
        <is>
          <t>泓 建 物 業 管 理 有 限 公 司</t>
        </is>
      </c>
    </row>
    <row r="2" ht="21.95" customHeight="1" s="459">
      <c r="B2" s="411" t="inlineStr">
        <is>
          <t>Pacific Extend Properties Management Limited</t>
        </is>
      </c>
    </row>
    <row r="3" ht="21.95" customHeight="1" s="459">
      <c r="B3" s="428">
        <f>YEAR(O6)&amp;"年"&amp;MONTH(O6)&amp;"月保安出勤及休假記錄  (中更 15:30 - 23:30) "</f>
        <v/>
      </c>
    </row>
    <row r="4" ht="21.95" customHeight="1" s="459">
      <c r="C4" s="33" t="inlineStr">
        <is>
          <t>(C - 352108)</t>
        </is>
      </c>
      <c r="H4" s="88" t="n"/>
      <c r="I4" s="88" t="n"/>
      <c r="J4" s="88" t="n"/>
      <c r="K4" s="88" t="n"/>
      <c r="L4" s="88" t="n"/>
      <c r="M4" s="88" t="n"/>
      <c r="N4" s="412" t="inlineStr">
        <is>
          <t>東匯邨</t>
        </is>
      </c>
      <c r="Z4" s="88" t="n"/>
      <c r="AA4" s="88" t="n"/>
      <c r="AB4" s="88" t="n"/>
      <c r="AC4" s="88" t="n"/>
      <c r="AD4" s="88" t="n"/>
      <c r="AE4" s="88" t="n"/>
      <c r="AF4" s="88" t="n"/>
      <c r="AG4" s="88" t="n"/>
      <c r="AH4" s="88" t="n"/>
      <c r="AI4" s="88" t="n"/>
      <c r="AJ4" s="88" t="n"/>
      <c r="AK4" s="88" t="n"/>
      <c r="AL4" s="88" t="n"/>
      <c r="AM4" s="88" t="n"/>
      <c r="AN4" s="88" t="n"/>
      <c r="AO4" s="88" t="n"/>
    </row>
    <row r="5" ht="21.95" customHeight="1" s="459" thickBot="1">
      <c r="B5" s="35" t="inlineStr">
        <is>
          <t>1. 保安主管出勤時數</t>
        </is>
      </c>
      <c r="I5" s="40" t="n"/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</row>
    <row r="6" ht="21.95" customHeight="1" s="459">
      <c r="A6" s="207" t="n"/>
      <c r="B6" s="220" t="n"/>
      <c r="C6" s="221" t="n"/>
      <c r="D6" s="221" t="n"/>
      <c r="E6" s="222" t="n"/>
      <c r="F6" s="223" t="n"/>
      <c r="G6" s="224" t="n"/>
      <c r="H6" s="221" t="n"/>
      <c r="I6" s="461" t="n">
        <v>46082</v>
      </c>
      <c r="J6" s="461">
        <f>I6+1</f>
        <v/>
      </c>
      <c r="K6" s="461">
        <f>J6+1</f>
        <v/>
      </c>
      <c r="L6" s="461">
        <f>K6+1</f>
        <v/>
      </c>
      <c r="M6" s="461">
        <f>L6+1</f>
        <v/>
      </c>
      <c r="N6" s="461">
        <f>M6+1</f>
        <v/>
      </c>
      <c r="O6" s="461">
        <f>N6+1</f>
        <v/>
      </c>
      <c r="P6" s="461">
        <f>O6+1</f>
        <v/>
      </c>
      <c r="Q6" s="461">
        <f>P6+1</f>
        <v/>
      </c>
      <c r="R6" s="461">
        <f>Q6+1</f>
        <v/>
      </c>
      <c r="S6" s="461">
        <f>R6+1</f>
        <v/>
      </c>
      <c r="T6" s="461">
        <f>S6+1</f>
        <v/>
      </c>
      <c r="U6" s="461">
        <f>T6+1</f>
        <v/>
      </c>
      <c r="V6" s="461">
        <f>U6+1</f>
        <v/>
      </c>
      <c r="W6" s="461">
        <f>V6+1</f>
        <v/>
      </c>
      <c r="X6" s="461">
        <f>W6+1</f>
        <v/>
      </c>
      <c r="Y6" s="461">
        <f>X6+1</f>
        <v/>
      </c>
      <c r="Z6" s="461">
        <f>Y6+1</f>
        <v/>
      </c>
      <c r="AA6" s="461">
        <f>Z6+1</f>
        <v/>
      </c>
      <c r="AB6" s="461">
        <f>AA6+1</f>
        <v/>
      </c>
      <c r="AC6" s="461">
        <f>AB6+1</f>
        <v/>
      </c>
      <c r="AD6" s="461">
        <f>AC6+1</f>
        <v/>
      </c>
      <c r="AE6" s="461">
        <f>AD6+1</f>
        <v/>
      </c>
      <c r="AF6" s="461">
        <f>AE6+1</f>
        <v/>
      </c>
      <c r="AG6" s="461">
        <f>AF6+1</f>
        <v/>
      </c>
      <c r="AH6" s="461">
        <f>AG6+1</f>
        <v/>
      </c>
      <c r="AI6" s="461">
        <f>AH6+1</f>
        <v/>
      </c>
      <c r="AJ6" s="461">
        <f>AI6+1</f>
        <v/>
      </c>
      <c r="AK6" s="461">
        <f>AJ6+1</f>
        <v/>
      </c>
      <c r="AL6" s="461">
        <f>AK6+1</f>
        <v/>
      </c>
      <c r="AM6" s="499">
        <f>AL6+1</f>
        <v/>
      </c>
      <c r="AN6" s="500" t="inlineStr">
        <is>
          <t>工作總
日數</t>
        </is>
      </c>
      <c r="AO6" s="429" t="inlineStr">
        <is>
          <t>工作總
時數</t>
        </is>
      </c>
      <c r="AP6" s="56" t="inlineStr">
        <is>
          <t>NSH/SH</t>
        </is>
      </c>
      <c r="AQ6" s="57" t="inlineStr">
        <is>
          <t>RD</t>
        </is>
      </c>
      <c r="AR6" s="57" t="inlineStr">
        <is>
          <t>NP</t>
        </is>
      </c>
      <c r="AS6" s="57" t="inlineStr">
        <is>
          <t>SL</t>
        </is>
      </c>
      <c r="AT6" s="79" t="inlineStr">
        <is>
          <t>AL</t>
        </is>
      </c>
      <c r="AU6" s="43" t="inlineStr">
        <is>
          <t>RD</t>
        </is>
      </c>
      <c r="AV6" s="18" t="inlineStr">
        <is>
          <t>RD</t>
        </is>
      </c>
      <c r="AW6" s="29" t="inlineStr">
        <is>
          <t>OT</t>
        </is>
      </c>
      <c r="AX6" s="16" t="inlineStr">
        <is>
          <t>NSH</t>
        </is>
      </c>
      <c r="AY6" s="17" t="inlineStr">
        <is>
          <t>SL</t>
        </is>
      </c>
      <c r="AZ6" s="16" t="inlineStr">
        <is>
          <t>NP</t>
        </is>
      </c>
      <c r="BA6" s="16" t="inlineStr">
        <is>
          <t>AL</t>
        </is>
      </c>
      <c r="BB6" s="16" t="inlineStr">
        <is>
          <t>NC</t>
        </is>
      </c>
      <c r="BC6" s="413" t="inlineStr">
        <is>
          <t>已放年假</t>
        </is>
      </c>
    </row>
    <row r="7" ht="21.95" customHeight="1" s="459" thickBot="1">
      <c r="A7" s="207" t="n"/>
      <c r="B7" s="228" t="inlineStr">
        <is>
          <t>排位</t>
        </is>
      </c>
      <c r="C7" s="228" t="inlineStr">
        <is>
          <t>員工編號</t>
        </is>
      </c>
      <c r="D7" s="228" t="inlineStr">
        <is>
          <t>姓名</t>
        </is>
      </c>
      <c r="E7" s="229" t="inlineStr">
        <is>
          <t>Rank</t>
        </is>
      </c>
      <c r="F7" s="230" t="inlineStr">
        <is>
          <t>職銜</t>
        </is>
      </c>
      <c r="G7" s="231" t="inlineStr">
        <is>
          <t>工作時數</t>
        </is>
      </c>
      <c r="H7" s="102" t="inlineStr">
        <is>
          <t>更份</t>
        </is>
      </c>
      <c r="I7" s="466">
        <f>SUBSTITUTE(TEXT(I6,"aaa"),"週","")</f>
        <v/>
      </c>
      <c r="J7" s="466">
        <f>SUBSTITUTE(TEXT(J6,"aaa"),"週","")</f>
        <v/>
      </c>
      <c r="K7" s="466">
        <f>SUBSTITUTE(TEXT(K6,"aaa"),"週","")</f>
        <v/>
      </c>
      <c r="L7" s="466">
        <f>SUBSTITUTE(TEXT(L6,"aaa"),"週","")</f>
        <v/>
      </c>
      <c r="M7" s="466">
        <f>SUBSTITUTE(TEXT(M6,"aaa"),"週","")</f>
        <v/>
      </c>
      <c r="N7" s="466">
        <f>SUBSTITUTE(TEXT(N6,"aaa"),"週","")</f>
        <v/>
      </c>
      <c r="O7" s="466">
        <f>SUBSTITUTE(TEXT(O6,"aaa"),"週","")</f>
        <v/>
      </c>
      <c r="P7" s="466">
        <f>SUBSTITUTE(TEXT(P6,"aaa"),"週","")</f>
        <v/>
      </c>
      <c r="Q7" s="466">
        <f>SUBSTITUTE(TEXT(Q6,"aaa"),"週","")</f>
        <v/>
      </c>
      <c r="R7" s="466">
        <f>SUBSTITUTE(TEXT(R6,"aaa"),"週","")</f>
        <v/>
      </c>
      <c r="S7" s="466">
        <f>SUBSTITUTE(TEXT(S6,"aaa"),"週","")</f>
        <v/>
      </c>
      <c r="T7" s="466">
        <f>SUBSTITUTE(TEXT(T6,"aaa"),"週","")</f>
        <v/>
      </c>
      <c r="U7" s="466">
        <f>SUBSTITUTE(TEXT(U6,"aaa"),"週","")</f>
        <v/>
      </c>
      <c r="V7" s="466">
        <f>SUBSTITUTE(TEXT(V6,"aaa"),"週","")</f>
        <v/>
      </c>
      <c r="W7" s="466">
        <f>SUBSTITUTE(TEXT(W6,"aaa"),"週","")</f>
        <v/>
      </c>
      <c r="X7" s="466">
        <f>SUBSTITUTE(TEXT(X6,"aaa"),"週","")</f>
        <v/>
      </c>
      <c r="Y7" s="466">
        <f>SUBSTITUTE(TEXT(Y6,"aaa"),"週","")</f>
        <v/>
      </c>
      <c r="Z7" s="466">
        <f>SUBSTITUTE(TEXT(Z6,"aaa"),"週","")</f>
        <v/>
      </c>
      <c r="AA7" s="466">
        <f>SUBSTITUTE(TEXT(AA6,"aaa"),"週","")</f>
        <v/>
      </c>
      <c r="AB7" s="466">
        <f>SUBSTITUTE(TEXT(AB6,"aaa"),"週","")</f>
        <v/>
      </c>
      <c r="AC7" s="466">
        <f>SUBSTITUTE(TEXT(AC6,"aaa"),"週","")</f>
        <v/>
      </c>
      <c r="AD7" s="466">
        <f>SUBSTITUTE(TEXT(AD6,"aaa"),"週","")</f>
        <v/>
      </c>
      <c r="AE7" s="466">
        <f>SUBSTITUTE(TEXT(AE6,"aaa"),"週","")</f>
        <v/>
      </c>
      <c r="AF7" s="466">
        <f>SUBSTITUTE(TEXT(AF6,"aaa"),"週","")</f>
        <v/>
      </c>
      <c r="AG7" s="466">
        <f>SUBSTITUTE(TEXT(AG6,"aaa"),"週","")</f>
        <v/>
      </c>
      <c r="AH7" s="466">
        <f>SUBSTITUTE(TEXT(AH6,"aaa"),"週","")</f>
        <v/>
      </c>
      <c r="AI7" s="466">
        <f>SUBSTITUTE(TEXT(AI6,"aaa"),"週","")</f>
        <v/>
      </c>
      <c r="AJ7" s="466">
        <f>SUBSTITUTE(TEXT(AJ6,"aaa"),"週","")</f>
        <v/>
      </c>
      <c r="AK7" s="466">
        <f>SUBSTITUTE(TEXT(AK6,"aaa"),"週","")</f>
        <v/>
      </c>
      <c r="AL7" s="466">
        <f>SUBSTITUTE(TEXT(AL6,"aaa"),"週","")</f>
        <v/>
      </c>
      <c r="AM7" s="501">
        <f>SUBSTITUTE(TEXT(AM6,"aaa"),"週","")</f>
        <v/>
      </c>
      <c r="AN7" s="502" t="n"/>
      <c r="AO7" s="502" t="n"/>
      <c r="AP7" s="58" t="inlineStr">
        <is>
          <t>法定假期</t>
        </is>
      </c>
      <c r="AQ7" s="59" t="inlineStr">
        <is>
          <t>例假</t>
        </is>
      </c>
      <c r="AR7" s="59" t="inlineStr">
        <is>
          <t>無薪假</t>
        </is>
      </c>
      <c r="AS7" s="59" t="inlineStr">
        <is>
          <t>病假</t>
        </is>
      </c>
      <c r="AT7" s="80" t="inlineStr">
        <is>
          <t>年假</t>
        </is>
      </c>
      <c r="AU7" s="47" t="inlineStr">
        <is>
          <t>享有</t>
        </is>
      </c>
      <c r="AV7" s="70" t="inlineStr">
        <is>
          <t>已放</t>
        </is>
      </c>
      <c r="AW7" s="20" t="n"/>
      <c r="AX7" s="19" t="inlineStr">
        <is>
          <t>已放</t>
        </is>
      </c>
      <c r="AY7" s="19" t="inlineStr">
        <is>
          <t>已放</t>
        </is>
      </c>
      <c r="AZ7" s="21" t="inlineStr">
        <is>
          <t>已放</t>
        </is>
      </c>
      <c r="BA7" s="21" t="inlineStr">
        <is>
          <t>已放</t>
        </is>
      </c>
      <c r="BB7" s="21" t="inlineStr">
        <is>
          <t>已放</t>
        </is>
      </c>
      <c r="BC7" s="467" t="n"/>
    </row>
    <row r="8" ht="21.95" customFormat="1" customHeight="1" s="22">
      <c r="A8" s="232" t="n"/>
      <c r="B8" s="233" t="inlineStr">
        <is>
          <t>D01</t>
        </is>
      </c>
      <c r="C8" s="233" t="n">
        <v>4953</v>
      </c>
      <c r="D8" s="233" t="inlineStr">
        <is>
          <t>李瑞青</t>
        </is>
      </c>
      <c r="E8" s="234" t="inlineStr">
        <is>
          <t>GS</t>
        </is>
      </c>
      <c r="F8" s="96" t="inlineStr">
        <is>
          <t>SECU_SUPR</t>
        </is>
      </c>
      <c r="G8" s="97" t="n">
        <v>8</v>
      </c>
      <c r="H8" s="93" t="inlineStr">
        <is>
          <t>中</t>
        </is>
      </c>
      <c r="I8" s="235" t="n">
        <v>8</v>
      </c>
      <c r="J8" s="114" t="n">
        <v>8</v>
      </c>
      <c r="K8" s="114" t="n">
        <v>8</v>
      </c>
      <c r="L8" s="114" t="n">
        <v>8</v>
      </c>
      <c r="M8" s="114" t="n">
        <v>8</v>
      </c>
      <c r="N8" s="114" t="n">
        <v>8</v>
      </c>
      <c r="O8" s="114" t="n">
        <v>8</v>
      </c>
      <c r="P8" s="114" t="n">
        <v>8</v>
      </c>
      <c r="Q8" s="114" t="n">
        <v>8</v>
      </c>
      <c r="R8" s="114" t="n">
        <v>8</v>
      </c>
      <c r="S8" s="114" t="n">
        <v>8</v>
      </c>
      <c r="T8" s="114" t="n">
        <v>8</v>
      </c>
      <c r="U8" s="114" t="n">
        <v>8</v>
      </c>
      <c r="V8" s="114" t="n">
        <v>8</v>
      </c>
      <c r="W8" s="114" t="n">
        <v>8</v>
      </c>
      <c r="X8" s="114" t="n">
        <v>8</v>
      </c>
      <c r="Y8" s="114" t="inlineStr">
        <is>
          <t>NSH</t>
        </is>
      </c>
      <c r="Z8" s="114" t="inlineStr">
        <is>
          <t>NSH</t>
        </is>
      </c>
      <c r="AA8" s="114" t="inlineStr">
        <is>
          <t>NSH</t>
        </is>
      </c>
      <c r="AB8" s="114" t="n">
        <v>8</v>
      </c>
      <c r="AC8" s="114" t="n">
        <v>8</v>
      </c>
      <c r="AD8" s="114" t="n">
        <v>8</v>
      </c>
      <c r="AE8" s="114" t="n">
        <v>8</v>
      </c>
      <c r="AF8" s="114" t="n">
        <v>8</v>
      </c>
      <c r="AG8" s="114" t="n">
        <v>8</v>
      </c>
      <c r="AH8" s="114" t="n">
        <v>8</v>
      </c>
      <c r="AI8" s="114" t="n">
        <v>8</v>
      </c>
      <c r="AJ8" s="114" t="n">
        <v>8</v>
      </c>
      <c r="AK8" s="114" t="n">
        <v>8</v>
      </c>
      <c r="AL8" s="114" t="n">
        <v>8</v>
      </c>
      <c r="AM8" s="445" t="n">
        <v>8</v>
      </c>
      <c r="AN8" s="233">
        <f>COUNT(I8:AM8)</f>
        <v/>
      </c>
      <c r="AO8" s="233">
        <f>SUM(I8:AM8)</f>
        <v/>
      </c>
      <c r="AP8" s="60">
        <f>COUNTIFS($I8:$AM8,"SH")+COUNTIFS($I8:$AM8,"NSH")</f>
        <v/>
      </c>
      <c r="AQ8" s="61">
        <f>COUNTIFS($I8:$AM8,$AQ$6)</f>
        <v/>
      </c>
      <c r="AR8" s="61">
        <f>COUNTIFS($I8:$AM8,$AR$6)</f>
        <v/>
      </c>
      <c r="AS8" s="61">
        <f>COUNTIFS($I8:$AM8,$AS$6)</f>
        <v/>
      </c>
      <c r="AT8" s="77">
        <f>COUNTIFS($I8:$AM8,$AT$6)</f>
        <v/>
      </c>
      <c r="AU8" s="46">
        <f>#REF!</f>
        <v/>
      </c>
      <c r="AV8" s="71">
        <f>COUNTIF(I8:AM8,"RD")</f>
        <v/>
      </c>
      <c r="AW8" s="10">
        <f>AU8-AV8</f>
        <v/>
      </c>
      <c r="AX8" s="10">
        <f>COUNTIF(I8:AM8,"SH")</f>
        <v/>
      </c>
      <c r="AY8" s="10">
        <f>COUNTIF(I8:AM8,"SL")</f>
        <v/>
      </c>
      <c r="AZ8" s="10">
        <f>COUNTIF(I8:AM8,"np")</f>
        <v/>
      </c>
      <c r="BA8" s="10">
        <f>COUNTIF(I8:AM8,"AL*")</f>
        <v/>
      </c>
      <c r="BB8" s="10">
        <f>COUNTIF(I8:AM8,"NC*")</f>
        <v/>
      </c>
      <c r="BC8" s="62" t="n"/>
    </row>
    <row r="9" ht="21.95" customHeight="1" s="459">
      <c r="A9" s="207" t="n"/>
      <c r="B9" s="237" t="inlineStr">
        <is>
          <t>D02</t>
        </is>
      </c>
      <c r="C9" s="237" t="n">
        <v>4960</v>
      </c>
      <c r="D9" s="237" t="inlineStr">
        <is>
          <t>麥藝峰</t>
        </is>
      </c>
      <c r="E9" s="238" t="inlineStr">
        <is>
          <t>GS</t>
        </is>
      </c>
      <c r="F9" s="179" t="inlineStr">
        <is>
          <t>SECU_SUPR</t>
        </is>
      </c>
      <c r="G9" s="180" t="n">
        <v>8</v>
      </c>
      <c r="H9" s="173" t="inlineStr">
        <is>
          <t>中</t>
        </is>
      </c>
      <c r="I9" s="239" t="n">
        <v>8</v>
      </c>
      <c r="J9" s="121" t="n">
        <v>8</v>
      </c>
      <c r="K9" s="121" t="n">
        <v>8</v>
      </c>
      <c r="L9" s="121" t="n">
        <v>8</v>
      </c>
      <c r="M9" s="121" t="inlineStr">
        <is>
          <t>NSH</t>
        </is>
      </c>
      <c r="N9" s="121" t="n">
        <v>8</v>
      </c>
      <c r="O9" s="121" t="n">
        <v>8</v>
      </c>
      <c r="P9" s="121" t="n">
        <v>8</v>
      </c>
      <c r="Q9" s="121" t="n">
        <v>8</v>
      </c>
      <c r="R9" s="121" t="n">
        <v>8</v>
      </c>
      <c r="S9" s="121" t="n">
        <v>8</v>
      </c>
      <c r="T9" s="121" t="n">
        <v>8</v>
      </c>
      <c r="U9" s="121" t="n">
        <v>8</v>
      </c>
      <c r="V9" s="121" t="n">
        <v>8</v>
      </c>
      <c r="W9" s="121" t="n">
        <v>8</v>
      </c>
      <c r="X9" s="121" t="n">
        <v>8</v>
      </c>
      <c r="Y9" s="121" t="n">
        <v>8</v>
      </c>
      <c r="Z9" s="121" t="n">
        <v>8</v>
      </c>
      <c r="AA9" s="121" t="n">
        <v>8</v>
      </c>
      <c r="AB9" s="121" t="n">
        <v>8</v>
      </c>
      <c r="AC9" s="121" t="inlineStr">
        <is>
          <t>NSH</t>
        </is>
      </c>
      <c r="AD9" s="121" t="n">
        <v>8</v>
      </c>
      <c r="AE9" s="121" t="n">
        <v>8</v>
      </c>
      <c r="AF9" s="121" t="n">
        <v>8</v>
      </c>
      <c r="AG9" s="121" t="n">
        <v>8</v>
      </c>
      <c r="AH9" s="121" t="inlineStr">
        <is>
          <t>NSH</t>
        </is>
      </c>
      <c r="AI9" s="121" t="n">
        <v>8</v>
      </c>
      <c r="AJ9" s="121" t="n">
        <v>8</v>
      </c>
      <c r="AK9" s="121" t="inlineStr">
        <is>
          <t>NSH</t>
        </is>
      </c>
      <c r="AL9" s="121" t="n">
        <v>8</v>
      </c>
      <c r="AM9" s="446" t="n">
        <v>8</v>
      </c>
      <c r="AN9" s="237">
        <f>COUNT(I9:AM9)</f>
        <v/>
      </c>
      <c r="AO9" s="237">
        <f>SUM(I9:AM9)</f>
        <v/>
      </c>
      <c r="AP9" s="24">
        <f>COUNTIFS($I9:$AM9,"SH")+COUNTIFS($I9:$AM9,"NSH")</f>
        <v/>
      </c>
      <c r="AQ9" s="7">
        <f>COUNTIFS($I9:$AM9,$AQ$6)</f>
        <v/>
      </c>
      <c r="AR9" s="7">
        <f>COUNTIFS($I9:$AM9,$AR$6)</f>
        <v/>
      </c>
      <c r="AS9" s="7">
        <f>COUNTIFS($I9:$AM9,$AS$6)</f>
        <v/>
      </c>
      <c r="AT9" s="9">
        <f>COUNTIFS($I9:$AM9,$AT$6)</f>
        <v/>
      </c>
      <c r="AU9" s="44">
        <f>#REF!</f>
        <v/>
      </c>
      <c r="AV9" s="71">
        <f>COUNTIF(I9:AM9,"RD")</f>
        <v/>
      </c>
      <c r="AW9" s="10">
        <f>AU9-AV9</f>
        <v/>
      </c>
      <c r="AX9" s="10">
        <f>COUNTIF(I9:AM9,"SH")</f>
        <v/>
      </c>
      <c r="AY9" s="10">
        <f>COUNTIF(I9:AM9,"SL")</f>
        <v/>
      </c>
      <c r="AZ9" s="10">
        <f>COUNTIF(I9:AM9,"np")</f>
        <v/>
      </c>
      <c r="BA9" s="10">
        <f>COUNTIF(I9:AM9,"AL*")</f>
        <v/>
      </c>
      <c r="BB9" s="10">
        <f>COUNTIF(I9:AM9,"NC*")</f>
        <v/>
      </c>
      <c r="BC9" s="62" t="n"/>
    </row>
    <row r="10" ht="21.95" customFormat="1" customHeight="1" s="22" thickBot="1">
      <c r="A10" s="232" t="n"/>
      <c r="B10" s="228" t="inlineStr">
        <is>
          <t>D10</t>
        </is>
      </c>
      <c r="C10" s="228" t="n">
        <v>4963</v>
      </c>
      <c r="D10" s="242" t="inlineStr">
        <is>
          <t>袁葵興</t>
        </is>
      </c>
      <c r="E10" s="243" t="inlineStr">
        <is>
          <t>SG/G</t>
        </is>
      </c>
      <c r="F10" s="244" t="inlineStr">
        <is>
          <t>SECU_G(M)</t>
        </is>
      </c>
      <c r="G10" s="245" t="n">
        <v>8</v>
      </c>
      <c r="H10" s="228" t="inlineStr">
        <is>
          <t>中</t>
        </is>
      </c>
      <c r="I10" s="246" t="inlineStr">
        <is>
          <t>SG</t>
        </is>
      </c>
      <c r="J10" s="129" t="inlineStr">
        <is>
          <t>SG</t>
        </is>
      </c>
      <c r="K10" s="129" t="inlineStr">
        <is>
          <t>SG</t>
        </is>
      </c>
      <c r="L10" s="129" t="inlineStr">
        <is>
          <t>SG</t>
        </is>
      </c>
      <c r="M10" s="129" t="n">
        <v>8</v>
      </c>
      <c r="N10" s="247" t="inlineStr">
        <is>
          <t>RD</t>
        </is>
      </c>
      <c r="O10" s="248" t="inlineStr">
        <is>
          <t>NSH</t>
        </is>
      </c>
      <c r="P10" s="247" t="inlineStr">
        <is>
          <t>NSH</t>
        </is>
      </c>
      <c r="Q10" s="129" t="inlineStr">
        <is>
          <t>SG</t>
        </is>
      </c>
      <c r="R10" s="129" t="inlineStr">
        <is>
          <t>SG</t>
        </is>
      </c>
      <c r="S10" s="129" t="inlineStr">
        <is>
          <t>SG</t>
        </is>
      </c>
      <c r="T10" s="129" t="inlineStr">
        <is>
          <t>SG</t>
        </is>
      </c>
      <c r="U10" s="129" t="inlineStr">
        <is>
          <t>SG</t>
        </is>
      </c>
      <c r="V10" s="129" t="inlineStr">
        <is>
          <t>SG</t>
        </is>
      </c>
      <c r="W10" s="129" t="inlineStr">
        <is>
          <t>SG</t>
        </is>
      </c>
      <c r="X10" s="129" t="inlineStr">
        <is>
          <t>SG</t>
        </is>
      </c>
      <c r="Y10" s="129" t="n">
        <v>8</v>
      </c>
      <c r="Z10" s="129" t="n">
        <v>8</v>
      </c>
      <c r="AA10" s="248" t="n">
        <v>8</v>
      </c>
      <c r="AB10" s="248" t="inlineStr">
        <is>
          <t>NSH</t>
        </is>
      </c>
      <c r="AC10" s="248" t="n">
        <v>8</v>
      </c>
      <c r="AD10" s="129" t="inlineStr">
        <is>
          <t>SG</t>
        </is>
      </c>
      <c r="AE10" s="129" t="inlineStr">
        <is>
          <t>SG</t>
        </is>
      </c>
      <c r="AF10" s="129" t="inlineStr">
        <is>
          <t>SG</t>
        </is>
      </c>
      <c r="AG10" s="129" t="inlineStr">
        <is>
          <t>SG</t>
        </is>
      </c>
      <c r="AH10" s="129" t="n">
        <v>8</v>
      </c>
      <c r="AI10" s="129" t="inlineStr">
        <is>
          <t>SG</t>
        </is>
      </c>
      <c r="AJ10" s="129" t="inlineStr">
        <is>
          <t>SG</t>
        </is>
      </c>
      <c r="AK10" s="129" t="n">
        <v>8</v>
      </c>
      <c r="AL10" s="129" t="inlineStr">
        <is>
          <t>SG</t>
        </is>
      </c>
      <c r="AM10" s="447" t="inlineStr">
        <is>
          <t>SG</t>
        </is>
      </c>
      <c r="AN10" s="237">
        <f>COUNT(I10:AM10)</f>
        <v/>
      </c>
      <c r="AO10" s="228">
        <f>SUM(I10:AM10)</f>
        <v/>
      </c>
      <c r="AP10" s="11">
        <f>COUNTIFS($I10:$AM10,"SH")+COUNTIFS($I10:$AM10,"NSH")</f>
        <v/>
      </c>
      <c r="AQ10" s="4">
        <f>COUNTIFS($I10:$AM10,$AQ$6)</f>
        <v/>
      </c>
      <c r="AR10" s="4">
        <f>COUNTIFS($I10:$AM10,$AR$6)</f>
        <v/>
      </c>
      <c r="AS10" s="4">
        <f>COUNTIFS($I10:$AM10,$AS$6)</f>
        <v/>
      </c>
      <c r="AT10" s="81">
        <f>COUNTIFS($I10:$AM10,$AT$6)</f>
        <v/>
      </c>
      <c r="AU10" s="45">
        <f>#REF!</f>
        <v/>
      </c>
      <c r="AV10" s="72">
        <f>COUNTIF(I10:AM10,"RD")</f>
        <v/>
      </c>
      <c r="AW10" s="68">
        <f>AU10-AV10</f>
        <v/>
      </c>
      <c r="AX10" s="68">
        <f>COUNTIF(I10:AM10,"SH")</f>
        <v/>
      </c>
      <c r="AY10" s="68">
        <f>COUNTIF(I10:AM10,"SL")</f>
        <v/>
      </c>
      <c r="AZ10" s="68">
        <f>COUNTIF(I10:AM10,"np")</f>
        <v/>
      </c>
      <c r="BA10" s="68">
        <f>COUNTIF(I10:AM10,"AL*")</f>
        <v/>
      </c>
      <c r="BB10" s="68">
        <f>COUNTIF(I10:AM10,"NC*")</f>
        <v/>
      </c>
      <c r="BC10" s="69" t="n"/>
    </row>
    <row r="11" ht="21.95" customHeight="1" s="459" thickBot="1">
      <c r="A11" s="207" t="n"/>
      <c r="B11" s="208" t="n"/>
      <c r="C11" s="208" t="n"/>
      <c r="D11" s="208" t="n"/>
      <c r="E11" s="208" t="n"/>
      <c r="F11" s="208" t="n"/>
      <c r="G11" s="208" t="n"/>
      <c r="H11" s="208" t="n"/>
      <c r="I11" s="133" t="n"/>
      <c r="J11" s="133" t="n"/>
      <c r="K11" s="133" t="n"/>
      <c r="L11" s="133" t="n"/>
      <c r="M11" s="133" t="n"/>
      <c r="N11" s="133" t="n"/>
      <c r="O11" s="133" t="n"/>
      <c r="P11" s="133" t="n"/>
      <c r="Q11" s="133" t="n"/>
      <c r="R11" s="133" t="n"/>
      <c r="S11" s="133" t="n"/>
      <c r="T11" s="133" t="n"/>
      <c r="U11" s="133" t="n"/>
      <c r="V11" s="133" t="n"/>
      <c r="W11" s="133" t="n"/>
      <c r="X11" s="133" t="n"/>
      <c r="Y11" s="133" t="n"/>
      <c r="Z11" s="133" t="n"/>
      <c r="AA11" s="133" t="n"/>
      <c r="AB11" s="133" t="n"/>
      <c r="AC11" s="133" t="n"/>
      <c r="AD11" s="133" t="n"/>
      <c r="AE11" s="133" t="n"/>
      <c r="AF11" s="133" t="n"/>
      <c r="AG11" s="133" t="n"/>
      <c r="AH11" s="133" t="n"/>
      <c r="AI11" s="133" t="n"/>
      <c r="AJ11" s="133" t="n"/>
      <c r="AK11" s="133" t="n"/>
      <c r="AL11" s="133" t="n"/>
      <c r="AM11" s="133" t="n"/>
      <c r="AN11" s="249">
        <f>SUM(AN8:AN10)</f>
        <v/>
      </c>
      <c r="AO11" s="250">
        <f>SUM(AO8:AO10)</f>
        <v/>
      </c>
    </row>
    <row r="12" ht="21.95" customHeight="1" s="459" thickBot="1">
      <c r="A12" s="207" t="n"/>
      <c r="B12" s="208" t="n"/>
      <c r="C12" s="208" t="n"/>
      <c r="D12" s="208" t="n"/>
      <c r="E12" s="208" t="n"/>
      <c r="F12" s="208" t="n"/>
      <c r="G12" s="208" t="n"/>
      <c r="H12" s="208" t="n"/>
      <c r="I12" s="133" t="n"/>
      <c r="J12" s="133" t="n"/>
      <c r="K12" s="133" t="n"/>
      <c r="L12" s="133" t="n"/>
      <c r="M12" s="133" t="n"/>
      <c r="N12" s="133" t="n"/>
      <c r="O12" s="133" t="n"/>
      <c r="P12" s="133" t="n"/>
      <c r="Q12" s="133" t="n"/>
      <c r="R12" s="133" t="n"/>
      <c r="S12" s="133" t="n"/>
      <c r="T12" s="133" t="n"/>
      <c r="U12" s="133" t="n"/>
      <c r="V12" s="133" t="n"/>
      <c r="W12" s="133" t="n"/>
      <c r="X12" s="133" t="n"/>
      <c r="Y12" s="133" t="n"/>
      <c r="Z12" s="133" t="n"/>
      <c r="AA12" s="133" t="n"/>
      <c r="AB12" s="133" t="n"/>
      <c r="AC12" s="133" t="n"/>
      <c r="AD12" s="133" t="n"/>
      <c r="AE12" s="133" t="n"/>
      <c r="AF12" s="133" t="n"/>
      <c r="AG12" s="133" t="n"/>
      <c r="AH12" s="133" t="n"/>
      <c r="AI12" s="133" t="n"/>
      <c r="AJ12" s="133" t="n"/>
      <c r="AK12" s="133" t="n"/>
      <c r="AL12" s="133" t="n"/>
      <c r="AM12" s="133" t="n"/>
      <c r="AN12" s="208" t="n"/>
      <c r="AO12" s="208" t="n"/>
    </row>
    <row r="13" ht="21.95" customHeight="1" s="459" thickBot="1">
      <c r="A13" s="207" t="n"/>
      <c r="B13" s="207" t="n"/>
      <c r="C13" s="208" t="n"/>
      <c r="D13" s="208" t="n"/>
      <c r="E13" s="208" t="n"/>
      <c r="F13" s="208" t="n"/>
      <c r="G13" s="208" t="n"/>
      <c r="H13" s="208" t="n"/>
      <c r="I13" s="207" t="n"/>
      <c r="J13" s="207" t="n"/>
      <c r="K13" s="207" t="n"/>
      <c r="L13" s="207" t="n"/>
      <c r="M13" s="207" t="n"/>
      <c r="N13" s="207" t="n"/>
      <c r="O13" s="207" t="n"/>
      <c r="P13" s="207" t="n"/>
      <c r="Q13" s="207" t="n"/>
      <c r="R13" s="207" t="n"/>
      <c r="S13" s="207" t="n"/>
      <c r="T13" s="207" t="n"/>
      <c r="U13" s="207" t="n"/>
      <c r="V13" s="207" t="n"/>
      <c r="W13" s="207" t="n"/>
      <c r="X13" s="207" t="n"/>
      <c r="Y13" s="207" t="n"/>
      <c r="Z13" s="207" t="n"/>
      <c r="AA13" s="207" t="n"/>
      <c r="AB13" s="207" t="n"/>
      <c r="AC13" s="207" t="n"/>
      <c r="AD13" s="207" t="n"/>
      <c r="AE13" s="207" t="n"/>
      <c r="AF13" s="207" t="n"/>
      <c r="AG13" s="207" t="n"/>
      <c r="AH13" s="207" t="n"/>
      <c r="AI13" s="207" t="n"/>
      <c r="AJ13" s="207" t="n"/>
      <c r="AK13" s="207" t="n"/>
      <c r="AL13" s="207" t="n"/>
      <c r="AM13" s="207" t="n"/>
      <c r="AN13" s="250" t="inlineStr">
        <is>
          <t>總日數</t>
        </is>
      </c>
      <c r="AO13" s="250" t="inlineStr">
        <is>
          <t>總時數</t>
        </is>
      </c>
    </row>
    <row r="14" ht="21.95" customHeight="1" s="459">
      <c r="A14" s="207" t="n"/>
      <c r="B14" s="393" t="inlineStr">
        <is>
          <t>保安主任每日工作(實際)總人數</t>
        </is>
      </c>
      <c r="C14" s="393" t="n"/>
      <c r="D14" s="393" t="n"/>
      <c r="E14" s="394" t="n"/>
      <c r="F14" s="394" t="n"/>
      <c r="G14" s="394" t="n"/>
      <c r="H14" s="141" t="inlineStr">
        <is>
          <t>GS</t>
        </is>
      </c>
      <c r="I14" s="251">
        <f>COUNT(I8:I10)</f>
        <v/>
      </c>
      <c r="J14" s="143">
        <f>COUNT(J8:J10)</f>
        <v/>
      </c>
      <c r="K14" s="183">
        <f>COUNT(K8:K10)</f>
        <v/>
      </c>
      <c r="L14" s="143">
        <f>COUNT(L8:L10)</f>
        <v/>
      </c>
      <c r="M14" s="143">
        <f>COUNT(M8:M10)</f>
        <v/>
      </c>
      <c r="N14" s="143">
        <f>COUNT(N8:N10)</f>
        <v/>
      </c>
      <c r="O14" s="143">
        <f>COUNT(O8:O10)</f>
        <v/>
      </c>
      <c r="P14" s="143">
        <f>COUNT(P8:P10)</f>
        <v/>
      </c>
      <c r="Q14" s="143">
        <f>COUNT(Q8:Q10)</f>
        <v/>
      </c>
      <c r="R14" s="143">
        <f>COUNT(R8:R10)</f>
        <v/>
      </c>
      <c r="S14" s="143">
        <f>COUNT(S8:S10)</f>
        <v/>
      </c>
      <c r="T14" s="143">
        <f>COUNT(T8:T10)</f>
        <v/>
      </c>
      <c r="U14" s="143">
        <f>COUNT(U8:U10)</f>
        <v/>
      </c>
      <c r="V14" s="143">
        <f>COUNT(V8:V10)</f>
        <v/>
      </c>
      <c r="W14" s="143">
        <f>COUNT(W8:W10)</f>
        <v/>
      </c>
      <c r="X14" s="143">
        <f>COUNT(X8:X10)</f>
        <v/>
      </c>
      <c r="Y14" s="143">
        <f>COUNT(Y8:Y10)</f>
        <v/>
      </c>
      <c r="Z14" s="143">
        <f>COUNT(Z8:Z10)</f>
        <v/>
      </c>
      <c r="AA14" s="143">
        <f>COUNT(AA8:AA10)</f>
        <v/>
      </c>
      <c r="AB14" s="143">
        <f>COUNT(AB8:AB10)</f>
        <v/>
      </c>
      <c r="AC14" s="143">
        <f>COUNT(AC8:AC10)</f>
        <v/>
      </c>
      <c r="AD14" s="143">
        <f>COUNT(AD8:AD10)</f>
        <v/>
      </c>
      <c r="AE14" s="143">
        <f>COUNT(AE8:AE10)</f>
        <v/>
      </c>
      <c r="AF14" s="143">
        <f>COUNT(AF8:AF10)</f>
        <v/>
      </c>
      <c r="AG14" s="143">
        <f>COUNT(AG8:AG10)</f>
        <v/>
      </c>
      <c r="AH14" s="143">
        <f>COUNT(AH8:AH10)</f>
        <v/>
      </c>
      <c r="AI14" s="143">
        <f>COUNT(AI8:AI10)</f>
        <v/>
      </c>
      <c r="AJ14" s="143">
        <f>COUNT(AJ8:AJ10)</f>
        <v/>
      </c>
      <c r="AK14" s="143">
        <f>COUNT(AK8:AK10)</f>
        <v/>
      </c>
      <c r="AL14" s="143">
        <f>COUNT(AL8:AL10)</f>
        <v/>
      </c>
      <c r="AM14" s="143">
        <f>COUNT(AM8:AM10)</f>
        <v/>
      </c>
      <c r="AN14" s="141">
        <f>SUM(I14:AM14)</f>
        <v/>
      </c>
      <c r="AO14" s="141">
        <f>AN14*8</f>
        <v/>
      </c>
    </row>
    <row r="15" ht="21.95" customHeight="1" s="459">
      <c r="A15" s="207" t="n"/>
      <c r="B15" s="396" t="inlineStr">
        <is>
          <t>保安主任每日工作(要求)總人數</t>
        </is>
      </c>
      <c r="C15" s="396" t="n"/>
      <c r="D15" s="396" t="n"/>
      <c r="E15" s="397" t="n"/>
      <c r="F15" s="397" t="n"/>
      <c r="G15" s="397" t="n"/>
      <c r="H15" s="149" t="n"/>
      <c r="I15" s="252" t="n">
        <v>2</v>
      </c>
      <c r="J15" s="151" t="n">
        <v>2</v>
      </c>
      <c r="K15" s="186" t="n">
        <v>2</v>
      </c>
      <c r="L15" s="151" t="n">
        <v>2</v>
      </c>
      <c r="M15" s="151" t="n">
        <v>2</v>
      </c>
      <c r="N15" s="151" t="n">
        <v>2</v>
      </c>
      <c r="O15" s="151" t="n">
        <v>2</v>
      </c>
      <c r="P15" s="151" t="n">
        <v>2</v>
      </c>
      <c r="Q15" s="151" t="n">
        <v>2</v>
      </c>
      <c r="R15" s="151" t="n">
        <v>2</v>
      </c>
      <c r="S15" s="151" t="n">
        <v>2</v>
      </c>
      <c r="T15" s="151" t="n">
        <v>2</v>
      </c>
      <c r="U15" s="151" t="n">
        <v>2</v>
      </c>
      <c r="V15" s="151" t="n">
        <v>2</v>
      </c>
      <c r="W15" s="151" t="n">
        <v>2</v>
      </c>
      <c r="X15" s="151" t="n">
        <v>2</v>
      </c>
      <c r="Y15" s="151" t="n">
        <v>2</v>
      </c>
      <c r="Z15" s="151" t="n">
        <v>2</v>
      </c>
      <c r="AA15" s="151" t="n">
        <v>2</v>
      </c>
      <c r="AB15" s="151" t="n">
        <v>2</v>
      </c>
      <c r="AC15" s="151" t="n">
        <v>2</v>
      </c>
      <c r="AD15" s="151" t="n">
        <v>2</v>
      </c>
      <c r="AE15" s="151" t="n">
        <v>2</v>
      </c>
      <c r="AF15" s="151" t="n">
        <v>2</v>
      </c>
      <c r="AG15" s="151" t="n">
        <v>2</v>
      </c>
      <c r="AH15" s="151" t="n">
        <v>2</v>
      </c>
      <c r="AI15" s="151" t="n">
        <v>2</v>
      </c>
      <c r="AJ15" s="151" t="n">
        <v>2</v>
      </c>
      <c r="AK15" s="151" t="n">
        <v>2</v>
      </c>
      <c r="AL15" s="151" t="n">
        <v>2</v>
      </c>
      <c r="AM15" s="151" t="n">
        <v>2</v>
      </c>
      <c r="AN15" s="149">
        <f>SUM(I15:AM15)</f>
        <v/>
      </c>
      <c r="AO15" s="149">
        <f>AN15*8</f>
        <v/>
      </c>
    </row>
    <row r="16" ht="21.95" customHeight="1" s="459" thickBot="1">
      <c r="A16" s="207" t="n"/>
      <c r="B16" s="402" t="inlineStr">
        <is>
          <t>保安主任每日工作(缺勤)總人數</t>
        </is>
      </c>
      <c r="C16" s="402" t="n"/>
      <c r="D16" s="402" t="n"/>
      <c r="E16" s="403" t="n"/>
      <c r="F16" s="403" t="n"/>
      <c r="G16" s="403" t="n"/>
      <c r="H16" s="157" t="n"/>
      <c r="I16" s="503">
        <f>IF((I14-I15)&lt;0,I14-I15,0)</f>
        <v/>
      </c>
      <c r="J16" s="471">
        <f>IF((J14-J15)&lt;0,J14-J15,0)</f>
        <v/>
      </c>
      <c r="K16" s="484">
        <f>IF((K14-K15)&lt;0,K14-K15,0)</f>
        <v/>
      </c>
      <c r="L16" s="471">
        <f>IF((L14-L15)&lt;0,L14-L15,0)</f>
        <v/>
      </c>
      <c r="M16" s="471">
        <f>IF((M14-M15)&lt;0,M14-M15,0)</f>
        <v/>
      </c>
      <c r="N16" s="471">
        <f>IF((N14-N15)&lt;0,N14-N15,0)</f>
        <v/>
      </c>
      <c r="O16" s="471">
        <f>IF((O14-O15)&lt;0,O14-O15,0)</f>
        <v/>
      </c>
      <c r="P16" s="471">
        <f>IF((P14-P15)&lt;0,P14-P15,0)</f>
        <v/>
      </c>
      <c r="Q16" s="471">
        <f>IF((Q14-Q15)&lt;0,Q14-Q15,0)</f>
        <v/>
      </c>
      <c r="R16" s="471">
        <f>IF((RG14-RG15)&lt;0,RG14-RG15,0)</f>
        <v/>
      </c>
      <c r="S16" s="471">
        <f>IF((S14-S15)&lt;0,S14-S15,0)</f>
        <v/>
      </c>
      <c r="T16" s="471">
        <f>IF((T14-T15)&lt;0,T14-T15,0)</f>
        <v/>
      </c>
      <c r="U16" s="471">
        <f>IF((U14-U15)&lt;0,U14-U15,0)</f>
        <v/>
      </c>
      <c r="V16" s="471">
        <f>IF((V14-V15)&lt;0,V14-V15,0)</f>
        <v/>
      </c>
      <c r="W16" s="471">
        <f>IF((W14-W15)&lt;0,W14-W15,0)</f>
        <v/>
      </c>
      <c r="X16" s="471">
        <f>IF((X14-X15)&lt;0,X14-X15,0)</f>
        <v/>
      </c>
      <c r="Y16" s="471">
        <f>IF((Y14-Y15)&lt;0,Y14-Y15,0)</f>
        <v/>
      </c>
      <c r="Z16" s="471">
        <f>IF((Z14-Z15)&lt;0,Z14-Z15,0)</f>
        <v/>
      </c>
      <c r="AA16" s="471">
        <f>IF((AA14-AA15)&lt;0,AA14-AA15,0)</f>
        <v/>
      </c>
      <c r="AB16" s="471">
        <f>IF((AB14-AB15)&lt;0,AB14-AB15,0)</f>
        <v/>
      </c>
      <c r="AC16" s="471">
        <f>IF((AC14-AC15)&lt;0,AC14-AC15,0)</f>
        <v/>
      </c>
      <c r="AD16" s="471">
        <f>IF((AD14-AD15)&lt;0,AD14-AD15,0)</f>
        <v/>
      </c>
      <c r="AE16" s="471">
        <f>IF((AE14-AE15)&lt;0,AE14-AE15,0)</f>
        <v/>
      </c>
      <c r="AF16" s="471">
        <f>IF((AF14-AF15)&lt;0,AF14-AF15,0)</f>
        <v/>
      </c>
      <c r="AG16" s="471">
        <f>IF((AG14-AG15)&lt;0,AG14-AG15,0)</f>
        <v/>
      </c>
      <c r="AH16" s="471">
        <f>IF((AH14-AH15)&lt;0,AH14-AH15,0)</f>
        <v/>
      </c>
      <c r="AI16" s="471">
        <f>IF((AI14-AI15)&lt;0,AI14-AI15,0)</f>
        <v/>
      </c>
      <c r="AJ16" s="471">
        <f>IF((AJ14-AJ15)&lt;0,AJ14-AJ15,0)</f>
        <v/>
      </c>
      <c r="AK16" s="471">
        <f>IF((AK14-AK15)&lt;0,AK14-AK15,0)</f>
        <v/>
      </c>
      <c r="AL16" s="471">
        <f>IF((AL14-AL15)&lt;0,AL14-AL15,0)</f>
        <v/>
      </c>
      <c r="AM16" s="471">
        <f>IF((AM14-AM15)&lt;0,AM14-AM15,0)</f>
        <v/>
      </c>
      <c r="AN16" s="254">
        <f>SUM(I16:AM16)</f>
        <v/>
      </c>
      <c r="AO16" s="490">
        <f>AN16*8</f>
        <v/>
      </c>
    </row>
    <row r="17" ht="21.95" customHeight="1" s="459">
      <c r="A17" s="207" t="n"/>
      <c r="B17" s="162" t="n"/>
      <c r="C17" s="162" t="n"/>
      <c r="D17" s="162" t="n"/>
      <c r="E17" s="162" t="n"/>
      <c r="F17" s="162" t="n"/>
      <c r="G17" s="162" t="n"/>
      <c r="H17" s="162" t="n"/>
      <c r="I17" s="473" t="n"/>
      <c r="J17" s="473" t="n"/>
      <c r="K17" s="473" t="n"/>
      <c r="L17" s="473" t="n"/>
      <c r="M17" s="473" t="n"/>
      <c r="N17" s="473" t="n"/>
      <c r="O17" s="473" t="n"/>
      <c r="P17" s="473" t="n"/>
      <c r="Q17" s="473" t="n"/>
      <c r="R17" s="473" t="n"/>
      <c r="S17" s="473" t="n"/>
      <c r="T17" s="473" t="n"/>
      <c r="U17" s="473" t="n"/>
      <c r="V17" s="473" t="n"/>
      <c r="W17" s="473" t="n"/>
      <c r="X17" s="473" t="n"/>
      <c r="Y17" s="473" t="n"/>
      <c r="Z17" s="473" t="n"/>
      <c r="AA17" s="473" t="n"/>
      <c r="AB17" s="473" t="n"/>
      <c r="AC17" s="473" t="n"/>
      <c r="AD17" s="473" t="n"/>
      <c r="AE17" s="473" t="n"/>
      <c r="AF17" s="473" t="n"/>
      <c r="AG17" s="473" t="n"/>
      <c r="AH17" s="473" t="n"/>
      <c r="AI17" s="473" t="n"/>
      <c r="AJ17" s="473" t="n"/>
      <c r="AK17" s="473" t="n"/>
      <c r="AL17" s="473" t="n"/>
      <c r="AM17" s="473" t="n"/>
      <c r="AN17" s="473" t="n"/>
      <c r="AO17" s="473" t="n"/>
    </row>
    <row r="18" ht="21.95" customHeight="1" s="459" thickBot="1">
      <c r="A18" s="207" t="n"/>
      <c r="B18" s="89" t="inlineStr">
        <is>
          <t>2. 特別保安員/普通保安員出勤時數</t>
        </is>
      </c>
      <c r="C18" s="162" t="n"/>
      <c r="D18" s="162" t="n"/>
      <c r="E18" s="162" t="n"/>
      <c r="F18" s="162" t="n"/>
      <c r="G18" s="162" t="n"/>
      <c r="H18" s="162" t="n"/>
      <c r="I18" s="473" t="n"/>
      <c r="J18" s="473" t="n"/>
      <c r="K18" s="473" t="n"/>
      <c r="L18" s="473" t="n"/>
      <c r="M18" s="473" t="n"/>
      <c r="N18" s="473" t="n"/>
      <c r="O18" s="473" t="n"/>
      <c r="P18" s="473" t="n"/>
      <c r="Q18" s="473" t="n"/>
      <c r="R18" s="473" t="n"/>
      <c r="S18" s="473" t="n"/>
      <c r="T18" s="473" t="n"/>
      <c r="U18" s="473" t="n"/>
      <c r="V18" s="473" t="n"/>
      <c r="W18" s="473" t="n"/>
      <c r="X18" s="473" t="n"/>
      <c r="Y18" s="473" t="n"/>
      <c r="Z18" s="473" t="n"/>
      <c r="AA18" s="473" t="n"/>
      <c r="AB18" s="473" t="n"/>
      <c r="AC18" s="473" t="n"/>
      <c r="AD18" s="473" t="n"/>
      <c r="AE18" s="473" t="n"/>
      <c r="AF18" s="473" t="n"/>
      <c r="AG18" s="473" t="n"/>
      <c r="AH18" s="473" t="n"/>
      <c r="AI18" s="473" t="n"/>
      <c r="AJ18" s="473" t="n"/>
      <c r="AK18" s="473" t="n"/>
      <c r="AL18" s="473" t="n"/>
      <c r="AM18" s="473" t="n"/>
      <c r="AN18" s="473" t="n"/>
      <c r="AO18" s="473" t="n"/>
    </row>
    <row r="19" ht="21.95" customHeight="1" s="459">
      <c r="A19" s="207" t="n"/>
      <c r="B19" s="255" t="inlineStr">
        <is>
          <t>D03</t>
        </is>
      </c>
      <c r="C19" s="221" t="n">
        <v>4956</v>
      </c>
      <c r="D19" s="221" t="inlineStr">
        <is>
          <t>陳青霞</t>
        </is>
      </c>
      <c r="E19" s="222" t="inlineStr">
        <is>
          <t>SG/G</t>
        </is>
      </c>
      <c r="F19" s="223" t="inlineStr">
        <is>
          <t>SECU_G(M)</t>
        </is>
      </c>
      <c r="G19" s="224" t="n">
        <v>8</v>
      </c>
      <c r="H19" s="221" t="inlineStr">
        <is>
          <t>中</t>
        </is>
      </c>
      <c r="I19" s="257" t="inlineStr">
        <is>
          <t>NSH</t>
        </is>
      </c>
      <c r="J19" s="258" t="n">
        <v>8</v>
      </c>
      <c r="K19" s="259" t="n">
        <v>8</v>
      </c>
      <c r="L19" s="259" t="n">
        <v>8</v>
      </c>
      <c r="M19" s="223" t="n">
        <v>8</v>
      </c>
      <c r="N19" s="259" t="n">
        <v>8</v>
      </c>
      <c r="O19" s="259" t="n">
        <v>8</v>
      </c>
      <c r="P19" s="259" t="n">
        <v>8</v>
      </c>
      <c r="Q19" s="259" t="n">
        <v>8</v>
      </c>
      <c r="R19" s="259" t="n">
        <v>8</v>
      </c>
      <c r="S19" s="259" t="n">
        <v>8</v>
      </c>
      <c r="T19" s="259" t="n">
        <v>8</v>
      </c>
      <c r="U19" s="259" t="n">
        <v>8</v>
      </c>
      <c r="V19" s="259" t="inlineStr">
        <is>
          <t>NSH</t>
        </is>
      </c>
      <c r="W19" s="259" t="inlineStr">
        <is>
          <t>NSH</t>
        </is>
      </c>
      <c r="X19" s="259" t="n">
        <v>8</v>
      </c>
      <c r="Y19" s="258" t="n">
        <v>8</v>
      </c>
      <c r="Z19" s="259" t="n">
        <v>8</v>
      </c>
      <c r="AA19" s="259" t="n">
        <v>8</v>
      </c>
      <c r="AB19" s="259" t="n">
        <v>8</v>
      </c>
      <c r="AC19" s="259" t="n">
        <v>8</v>
      </c>
      <c r="AD19" s="259" t="n">
        <v>8</v>
      </c>
      <c r="AE19" s="259" t="n">
        <v>8</v>
      </c>
      <c r="AF19" s="259" t="n">
        <v>8</v>
      </c>
      <c r="AG19" s="258" t="n">
        <v>8</v>
      </c>
      <c r="AH19" s="259" t="n">
        <v>8</v>
      </c>
      <c r="AI19" s="259" t="n">
        <v>8</v>
      </c>
      <c r="AJ19" s="258" t="n">
        <v>8</v>
      </c>
      <c r="AK19" s="259" t="n">
        <v>8</v>
      </c>
      <c r="AL19" s="259" t="n">
        <v>8</v>
      </c>
      <c r="AM19" s="260" t="n">
        <v>8</v>
      </c>
      <c r="AN19" s="255">
        <f>COUNT(I19:AM19)</f>
        <v/>
      </c>
      <c r="AO19" s="221">
        <f>SUM(I19:AM19)</f>
        <v/>
      </c>
      <c r="AP19" s="15">
        <f>COUNTIFS($I19:$AM19,"SH")+COUNTIFS($I19:$AM19,"NSH")</f>
        <v/>
      </c>
      <c r="AQ19" s="3">
        <f>COUNTIFS($I19:$AM19,$AQ$6)</f>
        <v/>
      </c>
      <c r="AR19" s="3">
        <f>COUNTIFS($I19:$AM19,$AR$6)</f>
        <v/>
      </c>
      <c r="AS19" s="3">
        <f>COUNTIFS($I19:$AM19,$AS$6)</f>
        <v/>
      </c>
      <c r="AT19" s="76">
        <f>COUNTIFS($I19:$AM19,$AT$6)</f>
        <v/>
      </c>
      <c r="AU19" s="74">
        <f>#REF!</f>
        <v/>
      </c>
      <c r="AV19" s="6">
        <f>COUNTIF(I19:AM19,"RD")</f>
        <v/>
      </c>
      <c r="AW19" s="6">
        <f>AU19-AV19</f>
        <v/>
      </c>
      <c r="AX19" s="6">
        <f>COUNTIF(I19:AM19,"SH")</f>
        <v/>
      </c>
      <c r="AY19" s="6">
        <f>COUNTIF(I19:AM19,"SL")</f>
        <v/>
      </c>
      <c r="AZ19" s="6">
        <f>COUNTIF(I19:AM19,"np")</f>
        <v/>
      </c>
      <c r="BA19" s="6">
        <f>COUNTIF(I19:AM19,"AL*")</f>
        <v/>
      </c>
      <c r="BB19" s="6">
        <f>COUNTIF(I19:AM19,"NC*")</f>
        <v/>
      </c>
      <c r="BC19" s="65" t="n"/>
    </row>
    <row r="20" ht="21.95" customHeight="1" s="459">
      <c r="A20" s="207" t="n"/>
      <c r="B20" s="241" t="inlineStr">
        <is>
          <t>D04</t>
        </is>
      </c>
      <c r="C20" s="237" t="n">
        <v>4962</v>
      </c>
      <c r="D20" s="237" t="inlineStr">
        <is>
          <t>郭仕花</t>
        </is>
      </c>
      <c r="E20" s="261" t="inlineStr">
        <is>
          <t>SG/G</t>
        </is>
      </c>
      <c r="F20" s="119" t="inlineStr">
        <is>
          <t>SECU_G(M)</t>
        </is>
      </c>
      <c r="G20" s="262" t="n">
        <v>8</v>
      </c>
      <c r="H20" s="237" t="inlineStr">
        <is>
          <t>中</t>
        </is>
      </c>
      <c r="I20" s="263" t="n">
        <v>8</v>
      </c>
      <c r="J20" s="264" t="n">
        <v>8</v>
      </c>
      <c r="K20" s="264" t="n">
        <v>8</v>
      </c>
      <c r="L20" s="264" t="n">
        <v>8</v>
      </c>
      <c r="M20" s="264" t="n">
        <v>8</v>
      </c>
      <c r="N20" s="264" t="n">
        <v>8</v>
      </c>
      <c r="O20" s="264" t="n">
        <v>8</v>
      </c>
      <c r="P20" s="265" t="n">
        <v>8</v>
      </c>
      <c r="Q20" s="264" t="inlineStr">
        <is>
          <t>NSH</t>
        </is>
      </c>
      <c r="R20" s="264" t="n">
        <v>8</v>
      </c>
      <c r="S20" s="264" t="n">
        <v>8</v>
      </c>
      <c r="T20" s="264" t="n">
        <v>8</v>
      </c>
      <c r="U20" s="264" t="n">
        <v>8</v>
      </c>
      <c r="V20" s="264" t="n">
        <v>8</v>
      </c>
      <c r="W20" s="264" t="inlineStr">
        <is>
          <t>NSH</t>
        </is>
      </c>
      <c r="X20" s="264" t="n">
        <v>8</v>
      </c>
      <c r="Y20" s="264" t="n">
        <v>8</v>
      </c>
      <c r="Z20" s="264" t="n">
        <v>8</v>
      </c>
      <c r="AA20" s="265" t="n">
        <v>8</v>
      </c>
      <c r="AB20" s="264" t="n">
        <v>8</v>
      </c>
      <c r="AC20" s="264" t="n">
        <v>8</v>
      </c>
      <c r="AD20" s="264" t="n">
        <v>8</v>
      </c>
      <c r="AE20" s="264" t="n">
        <v>8</v>
      </c>
      <c r="AF20" s="265" t="n">
        <v>8</v>
      </c>
      <c r="AG20" s="264" t="inlineStr">
        <is>
          <t>NSH</t>
        </is>
      </c>
      <c r="AH20" s="264" t="n">
        <v>8</v>
      </c>
      <c r="AI20" s="264" t="n">
        <v>8</v>
      </c>
      <c r="AJ20" s="264" t="inlineStr">
        <is>
          <t>NSH</t>
        </is>
      </c>
      <c r="AK20" s="264" t="n">
        <v>8</v>
      </c>
      <c r="AL20" s="264" t="n">
        <v>8</v>
      </c>
      <c r="AM20" s="266" t="n">
        <v>8</v>
      </c>
      <c r="AN20" s="241">
        <f>COUNT(I20:AM20)</f>
        <v/>
      </c>
      <c r="AO20" s="237">
        <f>SUM(I20:AM20)</f>
        <v/>
      </c>
      <c r="AP20" s="60">
        <f>COUNTIFS($I20:$AM20,"SH")+COUNTIFS($I20:$AM20,"NSH")</f>
        <v/>
      </c>
      <c r="AQ20" s="61">
        <f>COUNTIFS($I20:$AM20,$AQ$6)</f>
        <v/>
      </c>
      <c r="AR20" s="61">
        <f>COUNTIFS($I20:$AM20,$AR$6)</f>
        <v/>
      </c>
      <c r="AS20" s="61">
        <f>COUNTIFS($I20:$AM20,$AS$6)</f>
        <v/>
      </c>
      <c r="AT20" s="77">
        <f>COUNTIFS($I20:$AM20,$AT$6)</f>
        <v/>
      </c>
      <c r="AU20" s="46">
        <f>#REF!</f>
        <v/>
      </c>
      <c r="AV20" s="10">
        <f>COUNTIF(I20:AM20,"RD")</f>
        <v/>
      </c>
      <c r="AW20" s="10">
        <f>AU20-AV20</f>
        <v/>
      </c>
      <c r="AX20" s="10">
        <f>COUNTIF(I20:AM20,"SH")</f>
        <v/>
      </c>
      <c r="AY20" s="10">
        <f>COUNTIF(I20:AM20,"SL")</f>
        <v/>
      </c>
      <c r="AZ20" s="10">
        <f>COUNTIF(I20:AM20,"np")</f>
        <v/>
      </c>
      <c r="BA20" s="10">
        <f>COUNTIF(I20:AM20,"AL*")</f>
        <v/>
      </c>
      <c r="BB20" s="10">
        <f>COUNTIF(I20:AM20,"NC*")</f>
        <v/>
      </c>
      <c r="BC20" s="62" t="n"/>
    </row>
    <row r="21" ht="21.95" customHeight="1" s="459">
      <c r="A21" s="207" t="n"/>
      <c r="B21" s="241" t="inlineStr">
        <is>
          <t>D05</t>
        </is>
      </c>
      <c r="C21" s="237" t="n">
        <v>4955</v>
      </c>
      <c r="D21" s="237" t="inlineStr">
        <is>
          <t>陳小莉</t>
        </is>
      </c>
      <c r="E21" s="261" t="inlineStr">
        <is>
          <t>SG/G</t>
        </is>
      </c>
      <c r="F21" s="119" t="inlineStr">
        <is>
          <t>SECU_G(M)</t>
        </is>
      </c>
      <c r="G21" s="262" t="n">
        <v>8</v>
      </c>
      <c r="H21" s="237" t="inlineStr">
        <is>
          <t>中</t>
        </is>
      </c>
      <c r="I21" s="263" t="n">
        <v>8</v>
      </c>
      <c r="J21" s="264" t="n">
        <v>8</v>
      </c>
      <c r="K21" s="265" t="n">
        <v>8</v>
      </c>
      <c r="L21" s="264" t="n">
        <v>8</v>
      </c>
      <c r="M21" s="264" t="n">
        <v>8</v>
      </c>
      <c r="N21" s="264" t="n">
        <v>8</v>
      </c>
      <c r="O21" s="264" t="n">
        <v>8</v>
      </c>
      <c r="P21" s="264" t="n">
        <v>8</v>
      </c>
      <c r="Q21" s="264" t="n">
        <v>8</v>
      </c>
      <c r="R21" s="265" t="n">
        <v>8</v>
      </c>
      <c r="S21" s="264" t="n">
        <v>8</v>
      </c>
      <c r="T21" s="264" t="n">
        <v>8</v>
      </c>
      <c r="U21" s="264" t="n">
        <v>8</v>
      </c>
      <c r="V21" s="264" t="inlineStr">
        <is>
          <t>NSH</t>
        </is>
      </c>
      <c r="W21" s="264" t="n">
        <v>8</v>
      </c>
      <c r="X21" s="264" t="n">
        <v>8</v>
      </c>
      <c r="Y21" s="264" t="n">
        <v>8</v>
      </c>
      <c r="Z21" s="265" t="n">
        <v>8</v>
      </c>
      <c r="AA21" s="264" t="n">
        <v>8</v>
      </c>
      <c r="AB21" s="264" t="n">
        <v>8</v>
      </c>
      <c r="AC21" s="264" t="n">
        <v>8</v>
      </c>
      <c r="AD21" s="264" t="inlineStr">
        <is>
          <t>NSH</t>
        </is>
      </c>
      <c r="AE21" s="264" t="n">
        <v>8</v>
      </c>
      <c r="AF21" s="264" t="n">
        <v>8</v>
      </c>
      <c r="AG21" s="265" t="n">
        <v>8</v>
      </c>
      <c r="AH21" s="264" t="n">
        <v>8</v>
      </c>
      <c r="AI21" s="264" t="n">
        <v>8</v>
      </c>
      <c r="AJ21" s="265" t="n">
        <v>8</v>
      </c>
      <c r="AK21" s="264" t="n">
        <v>8</v>
      </c>
      <c r="AL21" s="264" t="n">
        <v>8</v>
      </c>
      <c r="AM21" s="266" t="inlineStr">
        <is>
          <t>NSH</t>
        </is>
      </c>
      <c r="AN21" s="241">
        <f>COUNT(I21:AM21)</f>
        <v/>
      </c>
      <c r="AO21" s="237">
        <f>SUM(I21:AM21)</f>
        <v/>
      </c>
      <c r="AP21" s="60">
        <f>COUNTIFS($I21:$AM21,"SH")+COUNTIFS($I21:$AM21,"NSH")</f>
        <v/>
      </c>
      <c r="AQ21" s="61">
        <f>COUNTIFS($I21:$AM21,$AQ$6)</f>
        <v/>
      </c>
      <c r="AR21" s="61">
        <f>COUNTIFS($I21:$AM21,$AR$6)</f>
        <v/>
      </c>
      <c r="AS21" s="61">
        <f>COUNTIFS($I21:$AM21,$AS$6)</f>
        <v/>
      </c>
      <c r="AT21" s="77">
        <f>COUNTIFS($I21:$AM21,$AT$6)</f>
        <v/>
      </c>
      <c r="AU21" s="46">
        <f>#REF!</f>
        <v/>
      </c>
      <c r="AV21" s="10">
        <f>COUNTIF(I21:AM21,"RD")</f>
        <v/>
      </c>
      <c r="AW21" s="10">
        <f>AU21-AV21</f>
        <v/>
      </c>
      <c r="AX21" s="10">
        <f>COUNTIF(I21:AM21,"SH")</f>
        <v/>
      </c>
      <c r="AY21" s="10">
        <f>COUNTIF(I21:AM21,"SL")</f>
        <v/>
      </c>
      <c r="AZ21" s="10">
        <f>COUNTIF(I21:AM21,"np")</f>
        <v/>
      </c>
      <c r="BA21" s="10">
        <f>COUNTIF(I21:AM21,"AL*")</f>
        <v/>
      </c>
      <c r="BB21" s="10">
        <f>COUNTIF(I21:AM21,"NC*")</f>
        <v/>
      </c>
      <c r="BC21" s="62" t="n"/>
    </row>
    <row r="22" ht="21.95" customHeight="1" s="459">
      <c r="A22" s="207" t="n"/>
      <c r="B22" s="241" t="inlineStr">
        <is>
          <t>D06</t>
        </is>
      </c>
      <c r="C22" s="237" t="n">
        <v>4961</v>
      </c>
      <c r="D22" s="237" t="inlineStr">
        <is>
          <t>陳賽娟</t>
        </is>
      </c>
      <c r="E22" s="261" t="inlineStr">
        <is>
          <t>SG/G</t>
        </is>
      </c>
      <c r="F22" s="119" t="inlineStr">
        <is>
          <t>SECU_G(M)</t>
        </is>
      </c>
      <c r="G22" s="262" t="n">
        <v>8</v>
      </c>
      <c r="H22" s="237" t="inlineStr">
        <is>
          <t>中</t>
        </is>
      </c>
      <c r="I22" s="263" t="n">
        <v>8</v>
      </c>
      <c r="J22" s="264" t="n">
        <v>8</v>
      </c>
      <c r="K22" s="264" t="n">
        <v>8</v>
      </c>
      <c r="L22" s="264" t="inlineStr">
        <is>
          <t>RD</t>
        </is>
      </c>
      <c r="M22" s="264" t="n">
        <v>8</v>
      </c>
      <c r="N22" s="264" t="n">
        <v>8</v>
      </c>
      <c r="O22" s="264" t="n">
        <v>8</v>
      </c>
      <c r="P22" s="264" t="n">
        <v>8</v>
      </c>
      <c r="Q22" s="264" t="n">
        <v>8</v>
      </c>
      <c r="R22" s="264" t="n">
        <v>8</v>
      </c>
      <c r="S22" s="264" t="n">
        <v>8</v>
      </c>
      <c r="T22" s="264" t="inlineStr">
        <is>
          <t>NSH</t>
        </is>
      </c>
      <c r="U22" s="265" t="n">
        <v>8</v>
      </c>
      <c r="V22" s="264" t="n">
        <v>8</v>
      </c>
      <c r="W22" s="264" t="n">
        <v>8</v>
      </c>
      <c r="X22" s="264" t="inlineStr">
        <is>
          <t>NSH</t>
        </is>
      </c>
      <c r="Y22" s="264" t="n">
        <v>8</v>
      </c>
      <c r="Z22" s="265" t="n">
        <v>8</v>
      </c>
      <c r="AA22" s="264" t="n">
        <v>8</v>
      </c>
      <c r="AB22" s="264" t="n">
        <v>8</v>
      </c>
      <c r="AC22" s="264" t="n">
        <v>8</v>
      </c>
      <c r="AD22" s="264" t="n">
        <v>8</v>
      </c>
      <c r="AE22" s="264" t="inlineStr">
        <is>
          <t>NSH</t>
        </is>
      </c>
      <c r="AF22" s="264" t="n">
        <v>8</v>
      </c>
      <c r="AG22" s="264" t="n">
        <v>8</v>
      </c>
      <c r="AH22" s="264" t="n">
        <v>8</v>
      </c>
      <c r="AI22" s="265" t="n">
        <v>8</v>
      </c>
      <c r="AJ22" s="264" t="n">
        <v>8</v>
      </c>
      <c r="AK22" s="264" t="n">
        <v>8</v>
      </c>
      <c r="AL22" s="265" t="n">
        <v>8</v>
      </c>
      <c r="AM22" s="266" t="n">
        <v>8</v>
      </c>
      <c r="AN22" s="241">
        <f>COUNT(I22:AM22)</f>
        <v/>
      </c>
      <c r="AO22" s="237">
        <f>SUM(I22:AM22)</f>
        <v/>
      </c>
      <c r="AP22" s="60">
        <f>COUNTIFS($I22:$AM22,"SH")+COUNTIFS($I22:$AM22,"NSH")</f>
        <v/>
      </c>
      <c r="AQ22" s="61">
        <f>COUNTIFS($I22:$AM22,$AQ$6)</f>
        <v/>
      </c>
      <c r="AR22" s="61">
        <f>COUNTIFS($I22:$AM22,$AR$6)</f>
        <v/>
      </c>
      <c r="AS22" s="61">
        <f>COUNTIFS($I22:$AM22,$AS$6)</f>
        <v/>
      </c>
      <c r="AT22" s="77">
        <f>COUNTIFS($I22:$AM22,$AT$6)</f>
        <v/>
      </c>
      <c r="AU22" s="46">
        <f>#REF!</f>
        <v/>
      </c>
      <c r="AV22" s="10">
        <f>COUNTIF(I22:AM22,"RD")</f>
        <v/>
      </c>
      <c r="AW22" s="10">
        <f>AU22-AV22</f>
        <v/>
      </c>
      <c r="AX22" s="10">
        <f>COUNTIF(I22:AM22,"SH")</f>
        <v/>
      </c>
      <c r="AY22" s="10">
        <f>COUNTIF(I22:AM22,"SL")</f>
        <v/>
      </c>
      <c r="AZ22" s="10">
        <f>COUNTIF(I22:AM22,"np")</f>
        <v/>
      </c>
      <c r="BA22" s="10">
        <f>COUNTIF(I22:AM22,"AL*")</f>
        <v/>
      </c>
      <c r="BB22" s="10">
        <f>COUNTIF(I22:AM22,"NC*")</f>
        <v/>
      </c>
      <c r="BC22" s="62" t="n"/>
    </row>
    <row r="23" ht="21.95" customHeight="1" s="459">
      <c r="A23" s="207" t="n"/>
      <c r="B23" s="241" t="inlineStr">
        <is>
          <t>D07</t>
        </is>
      </c>
      <c r="C23" s="237" t="n">
        <v>4957</v>
      </c>
      <c r="D23" s="237" t="inlineStr">
        <is>
          <t>王育紅</t>
        </is>
      </c>
      <c r="E23" s="261" t="inlineStr">
        <is>
          <t>SG/G</t>
        </is>
      </c>
      <c r="F23" s="119" t="inlineStr">
        <is>
          <t>SECU_G(M)</t>
        </is>
      </c>
      <c r="G23" s="262" t="n">
        <v>8</v>
      </c>
      <c r="H23" s="237" t="inlineStr">
        <is>
          <t>中</t>
        </is>
      </c>
      <c r="I23" s="263" t="n">
        <v>8</v>
      </c>
      <c r="J23" s="264" t="inlineStr">
        <is>
          <t>NSH</t>
        </is>
      </c>
      <c r="K23" s="264" t="n">
        <v>8</v>
      </c>
      <c r="L23" s="264" t="n">
        <v>8</v>
      </c>
      <c r="M23" s="264" t="n">
        <v>8</v>
      </c>
      <c r="N23" s="264" t="n">
        <v>8</v>
      </c>
      <c r="O23" s="264" t="n">
        <v>8</v>
      </c>
      <c r="P23" s="264" t="n">
        <v>8</v>
      </c>
      <c r="Q23" s="264" t="n">
        <v>8</v>
      </c>
      <c r="R23" s="264" t="n">
        <v>8</v>
      </c>
      <c r="S23" s="264" t="n">
        <v>8</v>
      </c>
      <c r="T23" s="264" t="n">
        <v>8</v>
      </c>
      <c r="U23" s="264" t="n">
        <v>8</v>
      </c>
      <c r="V23" s="264" t="n">
        <v>8</v>
      </c>
      <c r="W23" s="264" t="n">
        <v>8</v>
      </c>
      <c r="X23" s="264" t="n">
        <v>8</v>
      </c>
      <c r="Y23" s="265" t="n">
        <v>8</v>
      </c>
      <c r="Z23" s="264" t="n">
        <v>8</v>
      </c>
      <c r="AA23" s="264" t="inlineStr">
        <is>
          <t>NSH</t>
        </is>
      </c>
      <c r="AB23" s="264" t="n">
        <v>8</v>
      </c>
      <c r="AC23" s="264" t="n">
        <v>8</v>
      </c>
      <c r="AD23" s="265" t="n">
        <v>8</v>
      </c>
      <c r="AE23" s="264" t="n">
        <v>8</v>
      </c>
      <c r="AF23" s="264" t="n">
        <v>8</v>
      </c>
      <c r="AG23" s="264" t="inlineStr">
        <is>
          <t>NSH</t>
        </is>
      </c>
      <c r="AH23" s="265" t="n">
        <v>8</v>
      </c>
      <c r="AI23" s="265" t="n">
        <v>8</v>
      </c>
      <c r="AJ23" s="264" t="inlineStr">
        <is>
          <t>NSH</t>
        </is>
      </c>
      <c r="AK23" s="265" t="n">
        <v>8</v>
      </c>
      <c r="AL23" s="265" t="n">
        <v>8</v>
      </c>
      <c r="AM23" s="266" t="n">
        <v>8</v>
      </c>
      <c r="AN23" s="241">
        <f>COUNT(I23:AM23)</f>
        <v/>
      </c>
      <c r="AO23" s="237">
        <f>SUM(I23:AM23)</f>
        <v/>
      </c>
      <c r="AP23" s="60">
        <f>COUNTIFS($I23:$AM23,"SH")+COUNTIFS($I23:$AM23,"NSH")</f>
        <v/>
      </c>
      <c r="AQ23" s="61">
        <f>COUNTIFS($I23:$AM23,$AQ$6)</f>
        <v/>
      </c>
      <c r="AR23" s="61">
        <f>COUNTIFS($I23:$AM23,$AR$6)</f>
        <v/>
      </c>
      <c r="AS23" s="61">
        <f>COUNTIFS($I23:$AM23,$AS$6)</f>
        <v/>
      </c>
      <c r="AT23" s="77">
        <f>COUNTIFS($I23:$AM23,$AT$6)</f>
        <v/>
      </c>
      <c r="AU23" s="46">
        <f>#REF!</f>
        <v/>
      </c>
      <c r="AV23" s="10">
        <f>COUNTIF(I23:AM23,"RD")</f>
        <v/>
      </c>
      <c r="AW23" s="10">
        <f>AU23-AV23</f>
        <v/>
      </c>
      <c r="AX23" s="10">
        <f>COUNTIF(I23:AM23,"SH")</f>
        <v/>
      </c>
      <c r="AY23" s="10">
        <f>COUNTIF(I23:AM23,"SL")</f>
        <v/>
      </c>
      <c r="AZ23" s="10">
        <f>COUNTIF(I23:AM23,"np")</f>
        <v/>
      </c>
      <c r="BA23" s="10">
        <f>COUNTIF(I23:AM23,"AL*")</f>
        <v/>
      </c>
      <c r="BB23" s="10">
        <f>COUNTIF(I23:AM23,"NC*")</f>
        <v/>
      </c>
      <c r="BC23" s="62" t="n"/>
    </row>
    <row r="24" ht="21.95" customHeight="1" s="459">
      <c r="A24" s="207" t="n"/>
      <c r="B24" s="241" t="inlineStr">
        <is>
          <t>D08</t>
        </is>
      </c>
      <c r="C24" s="237" t="n">
        <v>4959</v>
      </c>
      <c r="D24" s="237" t="inlineStr">
        <is>
          <t>葉玨瑩</t>
        </is>
      </c>
      <c r="E24" s="261" t="inlineStr">
        <is>
          <t>SG/G</t>
        </is>
      </c>
      <c r="F24" s="119" t="inlineStr">
        <is>
          <t>SECU_G(M)</t>
        </is>
      </c>
      <c r="G24" s="262" t="n">
        <v>8</v>
      </c>
      <c r="H24" s="237" t="inlineStr">
        <is>
          <t>中</t>
        </is>
      </c>
      <c r="I24" s="267" t="n">
        <v>8</v>
      </c>
      <c r="J24" s="264" t="n">
        <v>8</v>
      </c>
      <c r="K24" s="264" t="n">
        <v>8</v>
      </c>
      <c r="L24" s="264" t="n">
        <v>8</v>
      </c>
      <c r="M24" s="264" t="n">
        <v>8</v>
      </c>
      <c r="N24" s="264" t="n">
        <v>8</v>
      </c>
      <c r="O24" s="264" t="n">
        <v>8</v>
      </c>
      <c r="P24" s="264" t="n">
        <v>8</v>
      </c>
      <c r="Q24" s="264" t="n">
        <v>8</v>
      </c>
      <c r="R24" s="264" t="n">
        <v>8</v>
      </c>
      <c r="S24" s="264" t="n">
        <v>8</v>
      </c>
      <c r="T24" s="264" t="n">
        <v>8</v>
      </c>
      <c r="U24" s="264" t="inlineStr">
        <is>
          <t>NSH</t>
        </is>
      </c>
      <c r="V24" s="264" t="n">
        <v>8</v>
      </c>
      <c r="W24" s="264" t="n">
        <v>8</v>
      </c>
      <c r="X24" s="264" t="inlineStr">
        <is>
          <t>NSH</t>
        </is>
      </c>
      <c r="Y24" s="264" t="n">
        <v>8</v>
      </c>
      <c r="Z24" s="264" t="n">
        <v>8</v>
      </c>
      <c r="AA24" s="264" t="n">
        <v>8</v>
      </c>
      <c r="AB24" s="264" t="n">
        <v>8</v>
      </c>
      <c r="AC24" s="264" t="n">
        <v>8</v>
      </c>
      <c r="AD24" s="265" t="n">
        <v>8</v>
      </c>
      <c r="AE24" s="265" t="inlineStr">
        <is>
          <t>NSH</t>
        </is>
      </c>
      <c r="AF24" s="264" t="n">
        <v>8</v>
      </c>
      <c r="AG24" s="264" t="n">
        <v>8</v>
      </c>
      <c r="AH24" s="264" t="n">
        <v>8</v>
      </c>
      <c r="AI24" s="264" t="n">
        <v>8</v>
      </c>
      <c r="AJ24" s="264" t="n">
        <v>8</v>
      </c>
      <c r="AK24" s="264" t="n">
        <v>8</v>
      </c>
      <c r="AL24" s="264" t="n">
        <v>8</v>
      </c>
      <c r="AM24" s="266" t="n">
        <v>8</v>
      </c>
      <c r="AN24" s="241">
        <f>COUNT(I24:AM24)</f>
        <v/>
      </c>
      <c r="AO24" s="237">
        <f>SUM(I24:AM24)</f>
        <v/>
      </c>
      <c r="AP24" s="60">
        <f>COUNTIFS($I24:$AM24,"SH")+COUNTIFS($I24:$AM24,"NSH")</f>
        <v/>
      </c>
      <c r="AQ24" s="61">
        <f>COUNTIFS($I24:$AM24,$AQ$6)</f>
        <v/>
      </c>
      <c r="AR24" s="61">
        <f>COUNTIFS($I24:$AM24,$AR$6)</f>
        <v/>
      </c>
      <c r="AS24" s="61">
        <f>COUNTIFS($I24:$AM24,$AS$6)</f>
        <v/>
      </c>
      <c r="AT24" s="77">
        <f>COUNTIFS($I24:$AM24,$AT$6)</f>
        <v/>
      </c>
      <c r="AU24" s="46">
        <f>#REF!</f>
        <v/>
      </c>
      <c r="AV24" s="10">
        <f>COUNTIF(I24:AM24,"RD")</f>
        <v/>
      </c>
      <c r="AW24" s="10">
        <f>AU24-AV24</f>
        <v/>
      </c>
      <c r="AX24" s="10">
        <f>COUNTIF(I24:AM24,"SH")</f>
        <v/>
      </c>
      <c r="AY24" s="10">
        <f>COUNTIF(I24:AM24,"SL")</f>
        <v/>
      </c>
      <c r="AZ24" s="10">
        <f>COUNTIF(I24:AM24,"np")</f>
        <v/>
      </c>
      <c r="BA24" s="10">
        <f>COUNTIF(I24:AM24,"AL*")</f>
        <v/>
      </c>
      <c r="BB24" s="10">
        <f>COUNTIF(I24:AM24,"NC*")</f>
        <v/>
      </c>
      <c r="BC24" s="62" t="n"/>
    </row>
    <row r="25" ht="21.95" customFormat="1" customHeight="1" s="22">
      <c r="A25" s="232" t="n"/>
      <c r="B25" s="268" t="inlineStr">
        <is>
          <t>D09</t>
        </is>
      </c>
      <c r="C25" s="269" t="n">
        <v>4954</v>
      </c>
      <c r="D25" s="269" t="inlineStr">
        <is>
          <t>何双清</t>
        </is>
      </c>
      <c r="E25" s="261" t="inlineStr">
        <is>
          <t>SG/G</t>
        </is>
      </c>
      <c r="F25" s="119" t="inlineStr">
        <is>
          <t>SECU_G(M)</t>
        </is>
      </c>
      <c r="G25" s="262" t="n">
        <v>8</v>
      </c>
      <c r="H25" s="237" t="inlineStr">
        <is>
          <t>中</t>
        </is>
      </c>
      <c r="I25" s="263" t="n">
        <v>8</v>
      </c>
      <c r="J25" s="264" t="n">
        <v>8</v>
      </c>
      <c r="K25" s="264" t="inlineStr">
        <is>
          <t>NSH</t>
        </is>
      </c>
      <c r="L25" s="264" t="n">
        <v>8</v>
      </c>
      <c r="M25" s="264" t="n">
        <v>8</v>
      </c>
      <c r="N25" s="265" t="n">
        <v>8</v>
      </c>
      <c r="O25" s="264" t="n">
        <v>8</v>
      </c>
      <c r="P25" s="264" t="n">
        <v>8</v>
      </c>
      <c r="Q25" s="264" t="n">
        <v>8</v>
      </c>
      <c r="R25" s="264" t="inlineStr">
        <is>
          <t>NSH</t>
        </is>
      </c>
      <c r="S25" s="264" t="n">
        <v>8</v>
      </c>
      <c r="T25" s="264" t="n">
        <v>8</v>
      </c>
      <c r="U25" s="264" t="n">
        <v>8</v>
      </c>
      <c r="V25" s="264" t="n">
        <v>8</v>
      </c>
      <c r="W25" s="264" t="n">
        <v>8</v>
      </c>
      <c r="X25" s="264" t="n">
        <v>8</v>
      </c>
      <c r="Y25" s="264" t="inlineStr">
        <is>
          <t>NSH</t>
        </is>
      </c>
      <c r="Z25" s="264" t="n">
        <v>8</v>
      </c>
      <c r="AA25" s="264" t="n">
        <v>8</v>
      </c>
      <c r="AB25" s="264" t="n">
        <v>8</v>
      </c>
      <c r="AC25" s="264" t="n">
        <v>8</v>
      </c>
      <c r="AD25" s="264" t="n">
        <v>8</v>
      </c>
      <c r="AE25" s="264" t="n">
        <v>8</v>
      </c>
      <c r="AF25" s="264" t="n">
        <v>8</v>
      </c>
      <c r="AG25" s="264" t="n">
        <v>8</v>
      </c>
      <c r="AH25" s="265" t="n">
        <v>8</v>
      </c>
      <c r="AI25" s="264" t="n">
        <v>8</v>
      </c>
      <c r="AJ25" s="264" t="n">
        <v>8</v>
      </c>
      <c r="AK25" s="265" t="n">
        <v>8</v>
      </c>
      <c r="AL25" s="264" t="n">
        <v>8</v>
      </c>
      <c r="AM25" s="266" t="n">
        <v>8</v>
      </c>
      <c r="AN25" s="268">
        <f>COUNT(I25:AM25)</f>
        <v/>
      </c>
      <c r="AO25" s="269">
        <f>SUM(I25:AM25)</f>
        <v/>
      </c>
      <c r="AP25" s="60">
        <f>COUNTIFS($I25:$AM25,"SH")+COUNTIFS($I25:$AM25,"NSH")</f>
        <v/>
      </c>
      <c r="AQ25" s="61">
        <f>COUNTIFS($I25:$AM25,$AQ$6)</f>
        <v/>
      </c>
      <c r="AR25" s="61">
        <f>COUNTIFS($I25:$AM25,$AR$6)</f>
        <v/>
      </c>
      <c r="AS25" s="61">
        <f>COUNTIFS($I25:$AM25,$AS$6)</f>
        <v/>
      </c>
      <c r="AT25" s="77">
        <f>COUNTIFS($I25:$AM25,$AT$6)</f>
        <v/>
      </c>
      <c r="AU25" s="46">
        <f>#REF!</f>
        <v/>
      </c>
      <c r="AV25" s="10">
        <f>COUNTIF(I25:AM25,"RD")</f>
        <v/>
      </c>
      <c r="AW25" s="10">
        <f>AU25-AV25</f>
        <v/>
      </c>
      <c r="AX25" s="10">
        <f>COUNTIF(I25:AM25,"SH")</f>
        <v/>
      </c>
      <c r="AY25" s="10">
        <f>COUNTIF(I25:AM25,"SL")</f>
        <v/>
      </c>
      <c r="AZ25" s="10">
        <f>COUNTIF(I25:AM25,"np")</f>
        <v/>
      </c>
      <c r="BA25" s="10">
        <f>COUNTIF(I25:AM25,"AL*")</f>
        <v/>
      </c>
      <c r="BB25" s="10">
        <f>COUNTIF(I25:AM25,"NC*")</f>
        <v/>
      </c>
      <c r="BC25" s="62" t="n"/>
    </row>
    <row r="26" ht="21.95" customHeight="1" s="459">
      <c r="A26" s="207" t="n"/>
      <c r="B26" s="241" t="inlineStr">
        <is>
          <t>D10</t>
        </is>
      </c>
      <c r="C26" s="237" t="n">
        <v>4963</v>
      </c>
      <c r="D26" s="313" t="inlineStr">
        <is>
          <t>袁葵興</t>
        </is>
      </c>
      <c r="E26" s="261" t="inlineStr">
        <is>
          <t>SG/G</t>
        </is>
      </c>
      <c r="F26" s="119" t="inlineStr">
        <is>
          <t>SECU_G(M)</t>
        </is>
      </c>
      <c r="G26" s="262" t="n">
        <v>8</v>
      </c>
      <c r="H26" s="237" t="inlineStr">
        <is>
          <t>中</t>
        </is>
      </c>
      <c r="I26" s="263" t="n">
        <v>8</v>
      </c>
      <c r="J26" s="264" t="n">
        <v>8</v>
      </c>
      <c r="K26" s="264" t="n">
        <v>8</v>
      </c>
      <c r="L26" s="264" t="n">
        <v>8</v>
      </c>
      <c r="M26" s="264" t="inlineStr">
        <is>
          <t>GS</t>
        </is>
      </c>
      <c r="N26" s="264" t="inlineStr">
        <is>
          <t>RD</t>
        </is>
      </c>
      <c r="O26" s="265" t="inlineStr">
        <is>
          <t>NSH</t>
        </is>
      </c>
      <c r="P26" s="264" t="inlineStr">
        <is>
          <t>NSH</t>
        </is>
      </c>
      <c r="Q26" s="264" t="n">
        <v>8</v>
      </c>
      <c r="R26" s="264" t="n">
        <v>8</v>
      </c>
      <c r="S26" s="264" t="n">
        <v>8</v>
      </c>
      <c r="T26" s="264" t="n">
        <v>8</v>
      </c>
      <c r="U26" s="264" t="n">
        <v>8</v>
      </c>
      <c r="V26" s="264" t="n">
        <v>8</v>
      </c>
      <c r="W26" s="264" t="n">
        <v>8</v>
      </c>
      <c r="X26" s="264" t="n">
        <v>8</v>
      </c>
      <c r="Y26" s="264" t="inlineStr">
        <is>
          <t>GS</t>
        </is>
      </c>
      <c r="Z26" s="264" t="inlineStr">
        <is>
          <t>GS</t>
        </is>
      </c>
      <c r="AA26" s="264" t="inlineStr">
        <is>
          <t>GS</t>
        </is>
      </c>
      <c r="AB26" s="265" t="inlineStr">
        <is>
          <t>NSH</t>
        </is>
      </c>
      <c r="AC26" s="264" t="inlineStr">
        <is>
          <t>GS</t>
        </is>
      </c>
      <c r="AD26" s="264" t="n">
        <v>8</v>
      </c>
      <c r="AE26" s="264" t="n">
        <v>8</v>
      </c>
      <c r="AF26" s="264" t="n">
        <v>8</v>
      </c>
      <c r="AG26" s="264" t="n">
        <v>8</v>
      </c>
      <c r="AH26" s="264" t="inlineStr">
        <is>
          <t>GS</t>
        </is>
      </c>
      <c r="AI26" s="264" t="n">
        <v>8</v>
      </c>
      <c r="AJ26" s="264" t="n">
        <v>8</v>
      </c>
      <c r="AK26" s="264" t="inlineStr">
        <is>
          <t>GS</t>
        </is>
      </c>
      <c r="AL26" s="264" t="n">
        <v>8</v>
      </c>
      <c r="AM26" s="266" t="n">
        <v>8</v>
      </c>
      <c r="AN26" s="241">
        <f>COUNT(I26:AM26)</f>
        <v/>
      </c>
      <c r="AO26" s="237">
        <f>SUM(I26:AM26)</f>
        <v/>
      </c>
      <c r="AP26" s="60">
        <f>COUNTIFS($I26:$AM26,"SH")+COUNTIFS($I26:$AM26,"NSH")</f>
        <v/>
      </c>
      <c r="AQ26" s="61">
        <f>COUNTIFS($I26:$AM26,$AQ$6)</f>
        <v/>
      </c>
      <c r="AR26" s="61">
        <f>COUNTIFS($I26:$AM26,$AR$6)</f>
        <v/>
      </c>
      <c r="AS26" s="61">
        <f>COUNTIFS($I26:$AM26,$AS$6)</f>
        <v/>
      </c>
      <c r="AT26" s="77">
        <f>COUNTIFS($I26:$AM26,$AT$6)</f>
        <v/>
      </c>
      <c r="AU26" s="46">
        <f>#REF!</f>
        <v/>
      </c>
      <c r="AV26" s="10">
        <f>COUNTIF(I26:AM26,"RD")</f>
        <v/>
      </c>
      <c r="AW26" s="10">
        <f>AU26-AV26</f>
        <v/>
      </c>
      <c r="AX26" s="10">
        <f>COUNTIF(I26:AM26,"SH")</f>
        <v/>
      </c>
      <c r="AY26" s="10">
        <f>COUNTIF(I26:AM26,"SL")</f>
        <v/>
      </c>
      <c r="AZ26" s="10">
        <f>COUNTIF(I26:AM26,"np")</f>
        <v/>
      </c>
      <c r="BA26" s="10">
        <f>COUNTIF(I26:AM26,"AL*")</f>
        <v/>
      </c>
      <c r="BB26" s="10">
        <f>COUNTIF(I26:AM26,"NC*")</f>
        <v/>
      </c>
      <c r="BC26" s="62" t="n"/>
    </row>
    <row r="27" ht="21.95" customHeight="1" s="459">
      <c r="A27" s="207" t="n"/>
      <c r="B27" s="241" t="inlineStr">
        <is>
          <t>D11</t>
        </is>
      </c>
      <c r="C27" s="237" t="n">
        <v>4958</v>
      </c>
      <c r="D27" s="237" t="inlineStr">
        <is>
          <t>方其揚</t>
        </is>
      </c>
      <c r="E27" s="261" t="inlineStr">
        <is>
          <t>SG/G</t>
        </is>
      </c>
      <c r="F27" s="119" t="inlineStr">
        <is>
          <t>SECU_G(M)</t>
        </is>
      </c>
      <c r="G27" s="262" t="n">
        <v>8</v>
      </c>
      <c r="H27" s="237" t="inlineStr">
        <is>
          <t>中</t>
        </is>
      </c>
      <c r="I27" s="263" t="n">
        <v>8</v>
      </c>
      <c r="J27" s="264" t="n">
        <v>8</v>
      </c>
      <c r="K27" s="264" t="n">
        <v>8</v>
      </c>
      <c r="L27" s="264" t="n">
        <v>8</v>
      </c>
      <c r="M27" s="264" t="n">
        <v>8</v>
      </c>
      <c r="N27" s="264" t="n">
        <v>8</v>
      </c>
      <c r="O27" s="264" t="n">
        <v>8</v>
      </c>
      <c r="P27" s="264" t="n">
        <v>8</v>
      </c>
      <c r="Q27" s="265" t="n">
        <v>8</v>
      </c>
      <c r="R27" s="264" t="n">
        <v>8</v>
      </c>
      <c r="S27" s="264" t="n">
        <v>8</v>
      </c>
      <c r="T27" s="264" t="n">
        <v>8</v>
      </c>
      <c r="U27" s="264" t="n">
        <v>8</v>
      </c>
      <c r="V27" s="264" t="n">
        <v>8</v>
      </c>
      <c r="W27" s="264" t="n">
        <v>8</v>
      </c>
      <c r="X27" s="264" t="n">
        <v>8</v>
      </c>
      <c r="Y27" s="264" t="n">
        <v>8</v>
      </c>
      <c r="Z27" s="264" t="n">
        <v>8</v>
      </c>
      <c r="AA27" s="264" t="n">
        <v>8</v>
      </c>
      <c r="AB27" s="264" t="inlineStr">
        <is>
          <t>RD</t>
        </is>
      </c>
      <c r="AC27" s="265" t="n">
        <v>8</v>
      </c>
      <c r="AD27" s="264" t="n">
        <v>8</v>
      </c>
      <c r="AE27" s="264" t="n">
        <v>8</v>
      </c>
      <c r="AF27" s="264" t="n">
        <v>8</v>
      </c>
      <c r="AG27" s="264" t="n">
        <v>8</v>
      </c>
      <c r="AH27" s="264" t="inlineStr">
        <is>
          <t>NSH</t>
        </is>
      </c>
      <c r="AI27" s="264" t="inlineStr">
        <is>
          <t>NSH</t>
        </is>
      </c>
      <c r="AJ27" s="264" t="n">
        <v>8</v>
      </c>
      <c r="AK27" s="264" t="inlineStr">
        <is>
          <t>NSH</t>
        </is>
      </c>
      <c r="AL27" s="264" t="inlineStr">
        <is>
          <t>NSH</t>
        </is>
      </c>
      <c r="AM27" s="266" t="inlineStr">
        <is>
          <t>NSH</t>
        </is>
      </c>
      <c r="AN27" s="241">
        <f>COUNT(I27:AM27)</f>
        <v/>
      </c>
      <c r="AO27" s="237">
        <f>SUM(I27:AM27)</f>
        <v/>
      </c>
      <c r="AP27" s="60">
        <f>COUNTIFS($I27:$AM27,"SH")+COUNTIFS($I27:$AM27,"NSH")</f>
        <v/>
      </c>
      <c r="AQ27" s="61">
        <f>COUNTIFS($I27:$AM27,$AQ$6)</f>
        <v/>
      </c>
      <c r="AR27" s="61">
        <f>COUNTIFS($I27:$AM27,$AR$6)</f>
        <v/>
      </c>
      <c r="AS27" s="61">
        <f>COUNTIFS($I27:$AM27,$AS$6)</f>
        <v/>
      </c>
      <c r="AT27" s="77">
        <f>COUNTIFS($I27:$AM27,$AT$6)</f>
        <v/>
      </c>
      <c r="AU27" s="46">
        <f>#REF!</f>
        <v/>
      </c>
      <c r="AV27" s="10">
        <f>COUNTIF(I27:AM27,"RD")</f>
        <v/>
      </c>
      <c r="AW27" s="10">
        <f>AU27-AV27</f>
        <v/>
      </c>
      <c r="AX27" s="10">
        <f>COUNTIF(I27:AM27,"SH")</f>
        <v/>
      </c>
      <c r="AY27" s="10">
        <f>COUNTIF(I27:AM27,"SL")</f>
        <v/>
      </c>
      <c r="AZ27" s="10">
        <f>COUNTIF(I27:AM27,"np")</f>
        <v/>
      </c>
      <c r="BA27" s="10">
        <f>COUNTIF(I27:AM27,"AL*")</f>
        <v/>
      </c>
      <c r="BB27" s="10">
        <f>COUNTIF(I27:AM27,"NC*")</f>
        <v/>
      </c>
      <c r="BC27" s="62" t="n"/>
    </row>
    <row r="28" ht="21.95" customHeight="1" s="459">
      <c r="A28" s="207" t="n"/>
      <c r="B28" s="241" t="inlineStr">
        <is>
          <t>D12</t>
        </is>
      </c>
      <c r="C28" s="237" t="n">
        <v>4978</v>
      </c>
      <c r="D28" s="237" t="inlineStr">
        <is>
          <t>李明清</t>
        </is>
      </c>
      <c r="E28" s="261" t="inlineStr">
        <is>
          <t>SG/G</t>
        </is>
      </c>
      <c r="F28" s="119" t="inlineStr">
        <is>
          <t>SECU_G(M)</t>
        </is>
      </c>
      <c r="G28" s="262" t="n">
        <v>8</v>
      </c>
      <c r="H28" s="237" t="inlineStr">
        <is>
          <t>中</t>
        </is>
      </c>
      <c r="I28" s="263" t="n">
        <v>8</v>
      </c>
      <c r="J28" s="264" t="n">
        <v>8</v>
      </c>
      <c r="K28" s="264" t="n">
        <v>8</v>
      </c>
      <c r="L28" s="264" t="n">
        <v>8</v>
      </c>
      <c r="M28" s="265" t="n">
        <v>8</v>
      </c>
      <c r="N28" s="264" t="n">
        <v>8</v>
      </c>
      <c r="O28" s="264" t="inlineStr">
        <is>
          <t>RD</t>
        </is>
      </c>
      <c r="P28" s="264" t="n">
        <v>8</v>
      </c>
      <c r="Q28" s="264" t="n">
        <v>8</v>
      </c>
      <c r="R28" s="264" t="n">
        <v>8</v>
      </c>
      <c r="S28" s="264" t="inlineStr">
        <is>
          <t xml:space="preserve">RD </t>
        </is>
      </c>
      <c r="T28" s="264" t="n">
        <v>8</v>
      </c>
      <c r="U28" s="264" t="n">
        <v>8</v>
      </c>
      <c r="V28" s="265" t="inlineStr">
        <is>
          <t>NC</t>
        </is>
      </c>
      <c r="W28" s="265" t="inlineStr">
        <is>
          <t>NC</t>
        </is>
      </c>
      <c r="X28" s="265" t="inlineStr">
        <is>
          <t>NC</t>
        </is>
      </c>
      <c r="Y28" s="265" t="inlineStr">
        <is>
          <t>NC</t>
        </is>
      </c>
      <c r="Z28" s="265" t="inlineStr">
        <is>
          <t>NC</t>
        </is>
      </c>
      <c r="AA28" s="265" t="inlineStr">
        <is>
          <t>NC</t>
        </is>
      </c>
      <c r="AB28" s="265" t="inlineStr">
        <is>
          <t>NC</t>
        </is>
      </c>
      <c r="AC28" s="265" t="inlineStr">
        <is>
          <t>NC</t>
        </is>
      </c>
      <c r="AD28" s="265" t="inlineStr">
        <is>
          <t>NC</t>
        </is>
      </c>
      <c r="AE28" s="265" t="inlineStr">
        <is>
          <t>NC</t>
        </is>
      </c>
      <c r="AF28" s="265" t="inlineStr">
        <is>
          <t>NC</t>
        </is>
      </c>
      <c r="AG28" s="265" t="inlineStr">
        <is>
          <t>NC</t>
        </is>
      </c>
      <c r="AH28" s="265" t="inlineStr">
        <is>
          <t>NC</t>
        </is>
      </c>
      <c r="AI28" s="265" t="inlineStr">
        <is>
          <t>NC</t>
        </is>
      </c>
      <c r="AJ28" s="265" t="inlineStr">
        <is>
          <t>NC</t>
        </is>
      </c>
      <c r="AK28" s="265" t="inlineStr">
        <is>
          <t>NC</t>
        </is>
      </c>
      <c r="AL28" s="265" t="inlineStr">
        <is>
          <t>NC</t>
        </is>
      </c>
      <c r="AM28" s="270" t="inlineStr">
        <is>
          <t>NC</t>
        </is>
      </c>
      <c r="AN28" s="241">
        <f>COUNT(I28:AM28)</f>
        <v/>
      </c>
      <c r="AO28" s="237">
        <f>SUM(I28:AM28)</f>
        <v/>
      </c>
      <c r="AP28" s="60">
        <f>COUNTIFS($I28:$AM28,"SH")+COUNTIFS($I28:$AM28,"NSH")</f>
        <v/>
      </c>
      <c r="AQ28" s="61">
        <f>COUNTIFS($I28:$AM28,$AQ$6)</f>
        <v/>
      </c>
      <c r="AR28" s="61">
        <f>COUNTIFS($I28:$AM28,$AR$6)</f>
        <v/>
      </c>
      <c r="AS28" s="61">
        <f>COUNTIFS($I28:$AM28,$AS$6)</f>
        <v/>
      </c>
      <c r="AT28" s="77">
        <f>COUNTIFS($I28:$AM28,$AT$6)</f>
        <v/>
      </c>
      <c r="AU28" s="46">
        <f>#REF!</f>
        <v/>
      </c>
      <c r="AV28" s="10">
        <f>COUNTIF(I28:AM28,"RD")</f>
        <v/>
      </c>
      <c r="AW28" s="10">
        <f>AU28-AV28</f>
        <v/>
      </c>
      <c r="AX28" s="10">
        <f>COUNTIF(I28:AM28,"SH")</f>
        <v/>
      </c>
      <c r="AY28" s="10">
        <f>COUNTIF(I28:AM28,"SL")</f>
        <v/>
      </c>
      <c r="AZ28" s="10">
        <f>COUNTIF(I28:AM28,"np")</f>
        <v/>
      </c>
      <c r="BA28" s="10">
        <f>COUNTIF(I28:AM28,"AL*")</f>
        <v/>
      </c>
      <c r="BB28" s="10">
        <f>COUNTIF(I28:AM28,"NC*")</f>
        <v/>
      </c>
      <c r="BC28" s="62" t="n"/>
    </row>
    <row r="29" ht="21.95" customHeight="1" s="459" thickBot="1">
      <c r="A29" s="207" t="n"/>
      <c r="B29" s="352" t="inlineStr">
        <is>
          <t>D13</t>
        </is>
      </c>
      <c r="C29" s="353" t="n">
        <v>5041</v>
      </c>
      <c r="D29" s="354" t="inlineStr">
        <is>
          <t>蕭榮新</t>
        </is>
      </c>
      <c r="E29" s="229" t="inlineStr">
        <is>
          <t>SG/G</t>
        </is>
      </c>
      <c r="F29" s="230" t="inlineStr">
        <is>
          <t>SECU_G(M)</t>
        </is>
      </c>
      <c r="G29" s="231" t="n">
        <v>8</v>
      </c>
      <c r="H29" s="353" t="inlineStr">
        <is>
          <t>中</t>
        </is>
      </c>
      <c r="I29" s="355" t="inlineStr">
        <is>
          <t>NC</t>
        </is>
      </c>
      <c r="J29" s="356" t="inlineStr">
        <is>
          <t>NC</t>
        </is>
      </c>
      <c r="K29" s="356" t="inlineStr">
        <is>
          <t>NC</t>
        </is>
      </c>
      <c r="L29" s="356" t="inlineStr">
        <is>
          <t>NC</t>
        </is>
      </c>
      <c r="M29" s="356" t="inlineStr">
        <is>
          <t>NC</t>
        </is>
      </c>
      <c r="N29" s="356" t="inlineStr">
        <is>
          <t>NC</t>
        </is>
      </c>
      <c r="O29" s="356" t="inlineStr">
        <is>
          <t>NC</t>
        </is>
      </c>
      <c r="P29" s="356" t="inlineStr">
        <is>
          <t>NC</t>
        </is>
      </c>
      <c r="Q29" s="356" t="inlineStr">
        <is>
          <t>NC</t>
        </is>
      </c>
      <c r="R29" s="356" t="inlineStr">
        <is>
          <t>NC</t>
        </is>
      </c>
      <c r="S29" s="356" t="inlineStr">
        <is>
          <t>NC</t>
        </is>
      </c>
      <c r="T29" s="356" t="inlineStr">
        <is>
          <t>NC</t>
        </is>
      </c>
      <c r="U29" s="356" t="inlineStr">
        <is>
          <t>NC</t>
        </is>
      </c>
      <c r="V29" s="356" t="inlineStr">
        <is>
          <t>NC</t>
        </is>
      </c>
      <c r="W29" s="356" t="inlineStr">
        <is>
          <t>NC</t>
        </is>
      </c>
      <c r="X29" s="357" t="n">
        <v>8</v>
      </c>
      <c r="Y29" s="357" t="n">
        <v>8</v>
      </c>
      <c r="Z29" s="357" t="n">
        <v>8</v>
      </c>
      <c r="AA29" s="357" t="n">
        <v>8</v>
      </c>
      <c r="AB29" s="357" t="n">
        <v>8</v>
      </c>
      <c r="AC29" s="357" t="inlineStr">
        <is>
          <t>NSH</t>
        </is>
      </c>
      <c r="AD29" s="357" t="n">
        <v>8</v>
      </c>
      <c r="AE29" s="356" t="n">
        <v>8</v>
      </c>
      <c r="AF29" s="357" t="inlineStr">
        <is>
          <t>NSH</t>
        </is>
      </c>
      <c r="AG29" s="357" t="n">
        <v>8</v>
      </c>
      <c r="AH29" s="357" t="n">
        <v>8</v>
      </c>
      <c r="AI29" s="357" t="inlineStr">
        <is>
          <t>NSH</t>
        </is>
      </c>
      <c r="AJ29" s="357" t="n">
        <v>8</v>
      </c>
      <c r="AK29" s="357" t="n">
        <v>8</v>
      </c>
      <c r="AL29" s="357" t="inlineStr">
        <is>
          <t>NSH</t>
        </is>
      </c>
      <c r="AM29" s="358" t="n">
        <v>8</v>
      </c>
      <c r="AN29" s="352">
        <f>COUNT(I29:AM29)</f>
        <v/>
      </c>
      <c r="AO29" s="353">
        <f>SUM(I29:AM29)</f>
        <v/>
      </c>
      <c r="AP29" s="66">
        <f>COUNTIFS($I29:$AM29,"SH")+COUNTIFS($I29:$AM29,"NSH")</f>
        <v/>
      </c>
      <c r="AQ29" s="67">
        <f>COUNTIFS($I29:$AM29,$AQ$6)</f>
        <v/>
      </c>
      <c r="AR29" s="67">
        <f>COUNTIFS($I29:$AM29,$AR$6)</f>
        <v/>
      </c>
      <c r="AS29" s="67">
        <f>COUNTIFS($I29:$AM29,$AS$6)</f>
        <v/>
      </c>
      <c r="AT29" s="78">
        <f>COUNTIFS($I29:$AM29,$AT$6)</f>
        <v/>
      </c>
      <c r="AU29" s="75">
        <f>#REF!</f>
        <v/>
      </c>
      <c r="AV29" s="68">
        <f>COUNTIF(I29:AM29,"RD")</f>
        <v/>
      </c>
      <c r="AW29" s="68">
        <f>AU29-AV29</f>
        <v/>
      </c>
      <c r="AX29" s="68">
        <f>COUNTIF(I29:AM29,"SH")</f>
        <v/>
      </c>
      <c r="AY29" s="68">
        <f>COUNTIF(I29:AM29,"SL")</f>
        <v/>
      </c>
      <c r="AZ29" s="68">
        <f>COUNTIF(I29:AM29,"np")</f>
        <v/>
      </c>
      <c r="BA29" s="68">
        <f>COUNTIF(I29:AM29,"AL*")</f>
        <v/>
      </c>
      <c r="BB29" s="68">
        <f>COUNTIF(I29:AM29,"NC*")</f>
        <v/>
      </c>
      <c r="BC29" s="69" t="n"/>
    </row>
    <row r="30" ht="21.95" customFormat="1" customHeight="1" s="344">
      <c r="B30" s="359" t="inlineStr">
        <is>
          <t>M13</t>
        </is>
      </c>
      <c r="C30" s="360" t="n">
        <v>4946</v>
      </c>
      <c r="D30" s="359" t="inlineStr">
        <is>
          <t>施少婷</t>
        </is>
      </c>
      <c r="E30" s="361" t="inlineStr">
        <is>
          <t>SG/G</t>
        </is>
      </c>
      <c r="F30" s="362" t="inlineStr">
        <is>
          <t>SECU_G(D)</t>
        </is>
      </c>
      <c r="G30" s="363" t="n">
        <v>8</v>
      </c>
      <c r="H30" s="359" t="inlineStr">
        <is>
          <t>中</t>
        </is>
      </c>
      <c r="I30" s="368" t="inlineStr">
        <is>
          <t>S</t>
        </is>
      </c>
      <c r="J30" s="369" t="inlineStr">
        <is>
          <t>S</t>
        </is>
      </c>
      <c r="K30" s="369" t="inlineStr">
        <is>
          <t>S</t>
        </is>
      </c>
      <c r="L30" s="369" t="inlineStr">
        <is>
          <t>S</t>
        </is>
      </c>
      <c r="M30" s="369" t="inlineStr">
        <is>
          <t>S</t>
        </is>
      </c>
      <c r="N30" s="364" t="n">
        <v>8</v>
      </c>
      <c r="O30" s="364" t="inlineStr">
        <is>
          <t xml:space="preserve">RD </t>
        </is>
      </c>
      <c r="P30" s="369" t="inlineStr">
        <is>
          <t>S</t>
        </is>
      </c>
      <c r="Q30" s="369" t="inlineStr">
        <is>
          <t>S</t>
        </is>
      </c>
      <c r="R30" s="369" t="inlineStr">
        <is>
          <t>S</t>
        </is>
      </c>
      <c r="S30" s="369" t="inlineStr">
        <is>
          <t>S</t>
        </is>
      </c>
      <c r="T30" s="369" t="inlineStr">
        <is>
          <t>S</t>
        </is>
      </c>
      <c r="U30" s="364" t="n">
        <v>8</v>
      </c>
      <c r="V30" s="364" t="n">
        <v>8</v>
      </c>
      <c r="W30" s="364" t="inlineStr">
        <is>
          <t>NSH</t>
        </is>
      </c>
      <c r="X30" s="369" t="inlineStr">
        <is>
          <t>S</t>
        </is>
      </c>
      <c r="Y30" s="369" t="inlineStr">
        <is>
          <t>S</t>
        </is>
      </c>
      <c r="Z30" s="369" t="inlineStr">
        <is>
          <t>S</t>
        </is>
      </c>
      <c r="AA30" s="369" t="inlineStr">
        <is>
          <t>S</t>
        </is>
      </c>
      <c r="AB30" s="369" t="inlineStr">
        <is>
          <t>S</t>
        </is>
      </c>
      <c r="AC30" s="364" t="n">
        <v>8</v>
      </c>
      <c r="AD30" s="364" t="inlineStr">
        <is>
          <t>NSH</t>
        </is>
      </c>
      <c r="AE30" s="369" t="inlineStr">
        <is>
          <t>S</t>
        </is>
      </c>
      <c r="AF30" s="369" t="inlineStr">
        <is>
          <t>S</t>
        </is>
      </c>
      <c r="AG30" s="369" t="inlineStr">
        <is>
          <t>S</t>
        </is>
      </c>
      <c r="AH30" s="369" t="inlineStr">
        <is>
          <t>S</t>
        </is>
      </c>
      <c r="AI30" s="364" t="n">
        <v>8</v>
      </c>
      <c r="AJ30" s="369" t="inlineStr">
        <is>
          <t>S</t>
        </is>
      </c>
      <c r="AK30" s="369" t="inlineStr">
        <is>
          <t>S</t>
        </is>
      </c>
      <c r="AL30" s="364" t="n">
        <v>8</v>
      </c>
      <c r="AM30" s="364" t="inlineStr">
        <is>
          <t>NSH</t>
        </is>
      </c>
      <c r="AN30" s="365">
        <f>COUNT(I30:AM30)</f>
        <v/>
      </c>
      <c r="AO30" s="359">
        <f>SUM(I30:AM30)</f>
        <v/>
      </c>
      <c r="AP30" s="345">
        <f>COUNTIFS($I30:$AM30,"SH")+COUNTIFS($I30:$AM30,"NSH")</f>
        <v/>
      </c>
      <c r="AQ30" s="346">
        <f>COUNTIFS($I30:$AM30,#REF!)</f>
        <v/>
      </c>
      <c r="AR30" s="346">
        <f>COUNTIFS($I30:$AM30,#REF!)</f>
        <v/>
      </c>
      <c r="AS30" s="346">
        <f>COUNTIFS($I30:$AM30,#REF!)</f>
        <v/>
      </c>
      <c r="AT30" s="347">
        <f>COUNTIFS($I30:$AM30,#REF!)</f>
        <v/>
      </c>
      <c r="AU30" s="348">
        <f>#REF!</f>
        <v/>
      </c>
      <c r="AV30" s="349">
        <f>COUNTIF(W30:AO30,"RD")</f>
        <v/>
      </c>
      <c r="AW30" s="349">
        <f>AU30-AV30</f>
        <v/>
      </c>
      <c r="AX30" s="349">
        <f>COUNTIF(W30:AO30,"SH")</f>
        <v/>
      </c>
      <c r="AY30" s="349">
        <f>COUNTIF(W30:AO30,"SL")</f>
        <v/>
      </c>
      <c r="AZ30" s="349">
        <f>COUNTIF(W30:AO30,"np")</f>
        <v/>
      </c>
      <c r="BA30" s="349">
        <f>COUNTIF(W30:AO30,"AL*")</f>
        <v/>
      </c>
      <c r="BB30" s="349">
        <f>COUNTIF(W30:AO30,"NC*")</f>
        <v/>
      </c>
      <c r="BC30" s="350" t="n"/>
    </row>
    <row r="31" ht="21.95" customFormat="1" customHeight="1" s="1" thickBot="1">
      <c r="B31" s="132" t="inlineStr">
        <is>
          <t>M14</t>
        </is>
      </c>
      <c r="C31" s="322" t="n">
        <v>4951</v>
      </c>
      <c r="D31" s="132" t="inlineStr">
        <is>
          <t>項朝華</t>
        </is>
      </c>
      <c r="E31" s="323" t="inlineStr">
        <is>
          <t>SG/G</t>
        </is>
      </c>
      <c r="F31" s="324" t="inlineStr">
        <is>
          <t>SECU_G(D)</t>
        </is>
      </c>
      <c r="G31" s="325" t="n">
        <v>8</v>
      </c>
      <c r="H31" s="132" t="inlineStr">
        <is>
          <t>中</t>
        </is>
      </c>
      <c r="I31" s="326" t="n">
        <v>8</v>
      </c>
      <c r="J31" s="327" t="n">
        <v>8</v>
      </c>
      <c r="K31" s="327" t="n">
        <v>8</v>
      </c>
      <c r="L31" s="327" t="n">
        <v>8</v>
      </c>
      <c r="M31" s="327" t="n">
        <v>8</v>
      </c>
      <c r="N31" s="327" t="inlineStr">
        <is>
          <t xml:space="preserve">RD </t>
        </is>
      </c>
      <c r="O31" s="327" t="n">
        <v>8</v>
      </c>
      <c r="P31" s="327" t="n">
        <v>8</v>
      </c>
      <c r="Q31" s="327" t="n">
        <v>8</v>
      </c>
      <c r="R31" s="327" t="n">
        <v>8</v>
      </c>
      <c r="S31" s="327" t="n">
        <v>8</v>
      </c>
      <c r="T31" s="327" t="n">
        <v>8</v>
      </c>
      <c r="U31" s="327" t="inlineStr">
        <is>
          <t>NSH</t>
        </is>
      </c>
      <c r="V31" s="327" t="inlineStr">
        <is>
          <t xml:space="preserve">RD </t>
        </is>
      </c>
      <c r="W31" s="327" t="n">
        <v>8</v>
      </c>
      <c r="X31" s="327" t="n">
        <v>8</v>
      </c>
      <c r="Y31" s="327" t="n">
        <v>8</v>
      </c>
      <c r="Z31" s="327" t="n">
        <v>8</v>
      </c>
      <c r="AA31" s="327" t="n">
        <v>8</v>
      </c>
      <c r="AB31" s="327" t="n">
        <v>8</v>
      </c>
      <c r="AC31" s="327" t="inlineStr">
        <is>
          <t>NSH</t>
        </is>
      </c>
      <c r="AD31" s="327" t="n">
        <v>8</v>
      </c>
      <c r="AE31" s="327" t="n">
        <v>8</v>
      </c>
      <c r="AF31" s="327" t="n">
        <v>8</v>
      </c>
      <c r="AG31" s="327" t="n">
        <v>8</v>
      </c>
      <c r="AH31" s="327" t="n">
        <v>8</v>
      </c>
      <c r="AI31" s="327" t="inlineStr">
        <is>
          <t>NSH</t>
        </is>
      </c>
      <c r="AJ31" s="327" t="n">
        <v>8</v>
      </c>
      <c r="AK31" s="327" t="n">
        <v>8</v>
      </c>
      <c r="AL31" s="327" t="inlineStr">
        <is>
          <t>NSH</t>
        </is>
      </c>
      <c r="AM31" s="327" t="n">
        <v>8</v>
      </c>
      <c r="AN31" s="343">
        <f>COUNT(I31:AM31)</f>
        <v/>
      </c>
      <c r="AO31" s="132">
        <f>SUM(I31:AM31)</f>
        <v/>
      </c>
      <c r="AP31" s="11">
        <f>COUNTIFS($I31:$AM31,"SH")+COUNTIFS($I31:$AM31,"NSH")</f>
        <v/>
      </c>
      <c r="AQ31" s="4">
        <f>COUNTIFS($I31:$AM31,#REF!)</f>
        <v/>
      </c>
      <c r="AR31" s="4">
        <f>COUNTIFS($I31:$AM31,#REF!)</f>
        <v/>
      </c>
      <c r="AS31" s="4">
        <f>COUNTIFS($I31:$AM31,#REF!)</f>
        <v/>
      </c>
      <c r="AT31" s="81">
        <f>COUNTIFS($I31:$AM31,#REF!)</f>
        <v/>
      </c>
      <c r="AU31" s="75">
        <f>#REF!</f>
        <v/>
      </c>
      <c r="AV31" s="20">
        <f>COUNTIF(W31:AO31,"RD")</f>
        <v/>
      </c>
      <c r="AW31" s="20">
        <f>AU31-AV31</f>
        <v/>
      </c>
      <c r="AX31" s="20">
        <f>COUNTIF(W31:AO31,"SH")</f>
        <v/>
      </c>
      <c r="AY31" s="20">
        <f>COUNTIF(W31:AO31,"SL")</f>
        <v/>
      </c>
      <c r="AZ31" s="20">
        <f>COUNTIF(W31:AO31,"np")</f>
        <v/>
      </c>
      <c r="BA31" s="20">
        <f>COUNTIF(W31:AO31,"AL*")</f>
        <v/>
      </c>
      <c r="BB31" s="20">
        <f>COUNTIF(W31:AO31,"NC*")</f>
        <v/>
      </c>
      <c r="BC31" s="64" t="n"/>
    </row>
    <row r="32" ht="21.95" customHeight="1" s="459" thickBot="1">
      <c r="A32" s="207" t="n"/>
      <c r="B32" s="422" t="inlineStr">
        <is>
          <t>合約要求每日人數:10</t>
        </is>
      </c>
      <c r="D32" s="423" t="inlineStr">
        <is>
          <t xml:space="preserve">每日出勤人數:  </t>
        </is>
      </c>
      <c r="I32" s="90">
        <f>COUNTIF(I19:I31,"8")</f>
        <v/>
      </c>
      <c r="J32" s="90">
        <f>COUNTIF(J19:J31,"8")</f>
        <v/>
      </c>
      <c r="K32" s="90">
        <f>COUNTIF(K19:K31,"8")</f>
        <v/>
      </c>
      <c r="L32" s="90">
        <f>COUNTIF(L19:L31,"8")</f>
        <v/>
      </c>
      <c r="M32" s="90">
        <f>COUNTIF(M19:M31,"8")</f>
        <v/>
      </c>
      <c r="N32" s="90">
        <f>COUNTIF(N19:N31,"8")</f>
        <v/>
      </c>
      <c r="O32" s="90">
        <f>COUNTIF(O19:O31,"8")</f>
        <v/>
      </c>
      <c r="P32" s="90">
        <f>COUNTIF(P19:P31,"8")</f>
        <v/>
      </c>
      <c r="Q32" s="90">
        <f>COUNTIF(Q19:Q31,"8")</f>
        <v/>
      </c>
      <c r="R32" s="90">
        <f>COUNTIF(R19:R31,"8")</f>
        <v/>
      </c>
      <c r="S32" s="90">
        <f>COUNTIF(S19:S31,"8")</f>
        <v/>
      </c>
      <c r="T32" s="90">
        <f>COUNTIF(T19:T31,"8")</f>
        <v/>
      </c>
      <c r="U32" s="90">
        <f>COUNTIF(U19:U31,"8")</f>
        <v/>
      </c>
      <c r="V32" s="90">
        <f>COUNTIF(V19:V31,"8")</f>
        <v/>
      </c>
      <c r="W32" s="90">
        <f>COUNTIF(W19:W31,"8")</f>
        <v/>
      </c>
      <c r="X32" s="90">
        <f>COUNTIF(X19:X31,"8")</f>
        <v/>
      </c>
      <c r="Y32" s="90">
        <f>COUNTIF(Y19:Y31,"8")</f>
        <v/>
      </c>
      <c r="Z32" s="90">
        <f>COUNTIF(Z19:Z31,"8")</f>
        <v/>
      </c>
      <c r="AA32" s="90">
        <f>COUNTIF(AA19:AA31,"8")</f>
        <v/>
      </c>
      <c r="AB32" s="90">
        <f>COUNTIF(AB19:AB31,"8")</f>
        <v/>
      </c>
      <c r="AC32" s="90">
        <f>COUNTIF(AC19:AC31,"8")</f>
        <v/>
      </c>
      <c r="AD32" s="90">
        <f>COUNTIF(AD19:AD31,"8")</f>
        <v/>
      </c>
      <c r="AE32" s="90">
        <f>COUNTIF(AE19:AE31,"8")</f>
        <v/>
      </c>
      <c r="AF32" s="90">
        <f>COUNTIF(AF19:AF31,"8")</f>
        <v/>
      </c>
      <c r="AG32" s="90">
        <f>COUNTIF(AG19:AG31,"8")</f>
        <v/>
      </c>
      <c r="AH32" s="90">
        <f>COUNTIF(AH19:AH31,"8")</f>
        <v/>
      </c>
      <c r="AI32" s="90">
        <f>COUNTIF(AI19:AI31,"8")</f>
        <v/>
      </c>
      <c r="AJ32" s="90">
        <f>COUNTIF(AJ19:AJ31,"8")</f>
        <v/>
      </c>
      <c r="AK32" s="90">
        <f>COUNTIF(AK19:AK31,"8")</f>
        <v/>
      </c>
      <c r="AL32" s="90">
        <f>COUNTIF(AL19:AL31,"8")</f>
        <v/>
      </c>
      <c r="AM32" s="90">
        <f>COUNTIF(AM19:AM31,"8")</f>
        <v/>
      </c>
      <c r="AN32" s="132">
        <f>SUM(AN19:AN29)</f>
        <v/>
      </c>
      <c r="AO32" s="132">
        <f>SUM(AO19:AO29)</f>
        <v/>
      </c>
    </row>
    <row r="33" ht="21.95" customFormat="1" customHeight="1" s="22" thickBot="1">
      <c r="A33" s="207" t="n"/>
      <c r="B33" s="90" t="n"/>
      <c r="C33" s="90" t="n"/>
      <c r="D33" s="90" t="n"/>
      <c r="E33" s="90" t="n"/>
      <c r="F33" s="90" t="n"/>
      <c r="G33" s="90" t="n"/>
      <c r="H33" s="90" t="n"/>
      <c r="I33" s="90" t="n"/>
      <c r="J33" s="90" t="n"/>
      <c r="K33" s="90" t="n"/>
      <c r="L33" s="207" t="n"/>
      <c r="M33" s="90" t="n"/>
      <c r="N33" s="90" t="n"/>
      <c r="O33" s="90" t="n"/>
      <c r="P33" s="90" t="n"/>
      <c r="Q33" s="90" t="n"/>
      <c r="R33" s="90" t="n"/>
      <c r="S33" s="90" t="n"/>
      <c r="T33" s="90" t="n"/>
      <c r="U33" s="90" t="n"/>
      <c r="V33" s="90" t="n"/>
      <c r="W33" s="90" t="n"/>
      <c r="X33" s="90" t="n"/>
      <c r="Y33" s="90" t="n"/>
      <c r="Z33" s="90" t="n"/>
      <c r="AA33" s="90" t="n"/>
      <c r="AB33" s="90" t="n"/>
      <c r="AC33" s="90" t="n"/>
      <c r="AD33" s="90" t="n"/>
      <c r="AE33" s="90" t="n"/>
      <c r="AF33" s="90" t="n"/>
      <c r="AG33" s="90" t="n"/>
      <c r="AH33" s="90" t="n"/>
      <c r="AI33" s="90" t="n"/>
      <c r="AJ33" s="90" t="n"/>
      <c r="AK33" s="90" t="n"/>
      <c r="AL33" s="90" t="n"/>
      <c r="AM33" s="90" t="n"/>
      <c r="AN33" s="273" t="n"/>
      <c r="AO33" s="273" t="n"/>
    </row>
    <row r="34" ht="21.95" customHeight="1" s="459" thickBot="1">
      <c r="A34" s="207" t="n"/>
      <c r="B34" s="207" t="n"/>
      <c r="C34" s="208" t="n"/>
      <c r="D34" s="208" t="n"/>
      <c r="E34" s="208" t="n"/>
      <c r="F34" s="208" t="n"/>
      <c r="G34" s="208" t="n"/>
      <c r="H34" s="208" t="n"/>
      <c r="I34" s="207" t="n"/>
      <c r="J34" s="207" t="n"/>
      <c r="K34" s="207" t="n"/>
      <c r="M34" s="207" t="n"/>
      <c r="N34" s="207" t="n"/>
      <c r="O34" s="207" t="n"/>
      <c r="P34" s="207" t="n"/>
      <c r="Q34" s="207" t="n"/>
      <c r="R34" s="207" t="n"/>
      <c r="S34" s="207" t="n"/>
      <c r="T34" s="207" t="n"/>
      <c r="U34" s="207" t="n"/>
      <c r="V34" s="207" t="n"/>
      <c r="W34" s="207" t="n"/>
      <c r="X34" s="207" t="n"/>
      <c r="Y34" s="207" t="n"/>
      <c r="Z34" s="207" t="n"/>
      <c r="AA34" s="207" t="n"/>
      <c r="AB34" s="207" t="n"/>
      <c r="AC34" s="207" t="n"/>
      <c r="AD34" s="207" t="n"/>
      <c r="AE34" s="207" t="n"/>
      <c r="AF34" s="207" t="n"/>
      <c r="AG34" s="207" t="n"/>
      <c r="AH34" s="207" t="n"/>
      <c r="AI34" s="207" t="n"/>
      <c r="AJ34" s="207" t="n"/>
      <c r="AK34" s="207" t="n"/>
      <c r="AL34" s="207" t="n"/>
      <c r="AM34" s="207" t="n"/>
      <c r="AN34" s="249" t="inlineStr">
        <is>
          <t>總日數</t>
        </is>
      </c>
      <c r="AO34" s="250" t="inlineStr">
        <is>
          <t>總時數</t>
        </is>
      </c>
    </row>
    <row r="35" ht="21.95" customHeight="1" s="459">
      <c r="A35" s="207" t="n"/>
      <c r="B35" s="475" t="inlineStr">
        <is>
          <t>特別保安員每日工作(實際)總人數</t>
        </is>
      </c>
      <c r="C35" s="476" t="n"/>
      <c r="D35" s="477" t="n"/>
      <c r="E35" s="394" t="n"/>
      <c r="F35" s="394" t="n"/>
      <c r="G35" s="394" t="n"/>
      <c r="H35" s="141" t="inlineStr">
        <is>
          <t>SG</t>
        </is>
      </c>
      <c r="I35" s="143" t="n">
        <v>6</v>
      </c>
      <c r="J35" s="143" t="n">
        <v>6</v>
      </c>
      <c r="K35" s="143" t="n">
        <v>6</v>
      </c>
      <c r="L35" s="143" t="n">
        <v>6</v>
      </c>
      <c r="M35" s="143" t="n">
        <v>6</v>
      </c>
      <c r="N35" s="143" t="n">
        <v>6</v>
      </c>
      <c r="O35" s="143" t="n">
        <v>6</v>
      </c>
      <c r="P35" s="143" t="n">
        <v>6</v>
      </c>
      <c r="Q35" s="143" t="n">
        <v>6</v>
      </c>
      <c r="R35" s="143" t="n">
        <v>6</v>
      </c>
      <c r="S35" s="143" t="n">
        <v>6</v>
      </c>
      <c r="T35" s="143" t="n">
        <v>6</v>
      </c>
      <c r="U35" s="143" t="n">
        <v>6</v>
      </c>
      <c r="V35" s="143" t="n">
        <v>6</v>
      </c>
      <c r="W35" s="143" t="n">
        <v>6</v>
      </c>
      <c r="X35" s="143" t="n">
        <v>6</v>
      </c>
      <c r="Y35" s="143" t="n">
        <v>6</v>
      </c>
      <c r="Z35" s="143" t="n">
        <v>6</v>
      </c>
      <c r="AA35" s="143" t="n">
        <v>6</v>
      </c>
      <c r="AB35" s="143" t="n">
        <v>6</v>
      </c>
      <c r="AC35" s="143" t="n">
        <v>6</v>
      </c>
      <c r="AD35" s="143" t="n">
        <v>6</v>
      </c>
      <c r="AE35" s="143" t="n">
        <v>6</v>
      </c>
      <c r="AF35" s="143" t="n">
        <v>6</v>
      </c>
      <c r="AG35" s="143" t="n">
        <v>6</v>
      </c>
      <c r="AH35" s="143" t="n">
        <v>6</v>
      </c>
      <c r="AI35" s="143" t="n">
        <v>6</v>
      </c>
      <c r="AJ35" s="143" t="n">
        <v>6</v>
      </c>
      <c r="AK35" s="143" t="n">
        <v>6</v>
      </c>
      <c r="AL35" s="143" t="n">
        <v>6</v>
      </c>
      <c r="AM35" s="143" t="n">
        <v>6</v>
      </c>
      <c r="AN35" s="141">
        <f>SUM(I35:AM35)</f>
        <v/>
      </c>
      <c r="AO35" s="141">
        <f>AN35*8</f>
        <v/>
      </c>
    </row>
    <row r="36" ht="21.95" customHeight="1" s="459">
      <c r="A36" s="207" t="n"/>
      <c r="B36" s="478" t="inlineStr">
        <is>
          <t>特別保安員每日工作(要求)總人數</t>
        </is>
      </c>
      <c r="C36" s="479" t="n"/>
      <c r="D36" s="480" t="n"/>
      <c r="E36" s="397" t="n"/>
      <c r="F36" s="397" t="n"/>
      <c r="G36" s="397" t="n"/>
      <c r="H36" s="149" t="n"/>
      <c r="I36" s="151" t="n">
        <v>6</v>
      </c>
      <c r="J36" s="151" t="n">
        <v>6</v>
      </c>
      <c r="K36" s="151" t="n">
        <v>6</v>
      </c>
      <c r="L36" s="151" t="n">
        <v>6</v>
      </c>
      <c r="M36" s="151" t="n">
        <v>6</v>
      </c>
      <c r="N36" s="151" t="n">
        <v>6</v>
      </c>
      <c r="O36" s="151" t="n">
        <v>6</v>
      </c>
      <c r="P36" s="151" t="n">
        <v>6</v>
      </c>
      <c r="Q36" s="151" t="n">
        <v>6</v>
      </c>
      <c r="R36" s="151" t="n">
        <v>6</v>
      </c>
      <c r="S36" s="151" t="n">
        <v>6</v>
      </c>
      <c r="T36" s="151" t="n">
        <v>6</v>
      </c>
      <c r="U36" s="151" t="n">
        <v>6</v>
      </c>
      <c r="V36" s="151" t="n">
        <v>6</v>
      </c>
      <c r="W36" s="151" t="n">
        <v>6</v>
      </c>
      <c r="X36" s="151" t="n">
        <v>6</v>
      </c>
      <c r="Y36" s="151" t="n">
        <v>6</v>
      </c>
      <c r="Z36" s="375" t="n">
        <v>6</v>
      </c>
      <c r="AA36" s="151" t="n">
        <v>6</v>
      </c>
      <c r="AB36" s="151" t="n">
        <v>6</v>
      </c>
      <c r="AC36" s="151" t="n">
        <v>6</v>
      </c>
      <c r="AD36" s="151" t="n">
        <v>6</v>
      </c>
      <c r="AE36" s="151" t="n">
        <v>6</v>
      </c>
      <c r="AF36" s="151" t="n">
        <v>6</v>
      </c>
      <c r="AG36" s="151" t="n">
        <v>6</v>
      </c>
      <c r="AH36" s="151" t="n">
        <v>6</v>
      </c>
      <c r="AI36" s="151" t="n">
        <v>6</v>
      </c>
      <c r="AJ36" s="151" t="n">
        <v>6</v>
      </c>
      <c r="AK36" s="151" t="n">
        <v>6</v>
      </c>
      <c r="AL36" s="151" t="n">
        <v>6</v>
      </c>
      <c r="AM36" s="151" t="n">
        <v>6</v>
      </c>
      <c r="AN36" s="149">
        <f>SUM(I36:AM36)</f>
        <v/>
      </c>
      <c r="AO36" s="149">
        <f>AN36*8</f>
        <v/>
      </c>
    </row>
    <row r="37" ht="21.95" customHeight="1" s="459" thickBot="1">
      <c r="A37" s="207" t="n"/>
      <c r="B37" s="481" t="inlineStr">
        <is>
          <t>特別保安員每日工作(缺勤)總人數</t>
        </is>
      </c>
      <c r="C37" s="482" t="n"/>
      <c r="D37" s="483" t="n"/>
      <c r="E37" s="403" t="n"/>
      <c r="F37" s="403" t="n"/>
      <c r="G37" s="403" t="n"/>
      <c r="H37" s="157" t="n"/>
      <c r="I37" s="471">
        <f>I35-I36</f>
        <v/>
      </c>
      <c r="J37" s="471">
        <f>IF((J35-J36)&lt;0,J35-J36,0)</f>
        <v/>
      </c>
      <c r="K37" s="471">
        <f>IF((K35-K36)&lt;0,K35-K36,0)</f>
        <v/>
      </c>
      <c r="L37" s="471">
        <f>IF((L35-L36)&lt;0,L35-L36,0)</f>
        <v/>
      </c>
      <c r="M37" s="471">
        <f>IF((M35-M36)&lt;0,M35-M36,0)</f>
        <v/>
      </c>
      <c r="N37" s="471">
        <f>IF((N35-N36)&lt;0,N35-N36,0)</f>
        <v/>
      </c>
      <c r="O37" s="471">
        <f>IF((O35-O36)&lt;0,O35-O36,0)</f>
        <v/>
      </c>
      <c r="P37" s="471">
        <f>IF((P35-P36)&lt;0,P35-P36,0)</f>
        <v/>
      </c>
      <c r="Q37" s="471">
        <f>IF((Q35-Q36)&lt;0,Q35-Q36,0)</f>
        <v/>
      </c>
      <c r="R37" s="471">
        <f>IF((R35-R36)&lt;0,R35-R36,0)</f>
        <v/>
      </c>
      <c r="S37" s="471">
        <f>IF((S35-S36)&lt;0,S35-S36,0)</f>
        <v/>
      </c>
      <c r="T37" s="471">
        <f>IF((T35-T36)&lt;0,T35-T36,0)</f>
        <v/>
      </c>
      <c r="U37" s="471">
        <f>IF((U35-U36)&lt;0,U35-U36,0)</f>
        <v/>
      </c>
      <c r="V37" s="471">
        <f>IF((V35-V36)&lt;0,V35-V36,0)</f>
        <v/>
      </c>
      <c r="W37" s="471">
        <f>IF((W35-W36)&lt;0,W35-W36,0)</f>
        <v/>
      </c>
      <c r="X37" s="471">
        <f>IF((X35-X36)&lt;0,X35-X36,0)</f>
        <v/>
      </c>
      <c r="Y37" s="471">
        <f>IF((Y35-Y36)&lt;0,Y35-Y36,0)</f>
        <v/>
      </c>
      <c r="Z37" s="504">
        <f>IF((Z35-Z36)&lt;0,Z35-Z36,0)</f>
        <v/>
      </c>
      <c r="AA37" s="471">
        <f>IF((AA35-AA36)&lt;0,AA35-AA36,0)</f>
        <v/>
      </c>
      <c r="AB37" s="471">
        <f>IF((AB35-AB36)&lt;0,AB35-AB36,0)</f>
        <v/>
      </c>
      <c r="AC37" s="471">
        <f>IF((AC35-AC36)&lt;0,AC35-AC36,0)</f>
        <v/>
      </c>
      <c r="AD37" s="471">
        <f>IF((AD35-AD36)&lt;0,AD35-AD36,0)</f>
        <v/>
      </c>
      <c r="AE37" s="471">
        <f>IF((AE35-AE36)&lt;0,AE35-AE36,0)</f>
        <v/>
      </c>
      <c r="AF37" s="471">
        <f>IF((AF35-AF36)&lt;0,AF35-AF36,0)</f>
        <v/>
      </c>
      <c r="AG37" s="471">
        <f>IF((AG35-AG36)&lt;0,AG35-AG36,0)</f>
        <v/>
      </c>
      <c r="AH37" s="471">
        <f>IF((AH35-AH36)&lt;0,AH35-AH36,0)</f>
        <v/>
      </c>
      <c r="AI37" s="471">
        <f>IF((AI35-AI36)&lt;0,AI35-AI36,0)</f>
        <v/>
      </c>
      <c r="AJ37" s="471">
        <f>IF((AJ35-AJ36)&lt;0,AJ35-AJ36,0)</f>
        <v/>
      </c>
      <c r="AK37" s="471">
        <f>IF((AK35-AK36)&lt;0,AK35-AK36,0)</f>
        <v/>
      </c>
      <c r="AL37" s="471">
        <f>IF((AL35-AL36)&lt;0,AL35-AL36,0)</f>
        <v/>
      </c>
      <c r="AM37" s="471">
        <f>IF((AM35-AM36)&lt;0,AM35-AM36,0)</f>
        <v/>
      </c>
      <c r="AN37" s="490">
        <f>SUM(I37:AM37)</f>
        <v/>
      </c>
      <c r="AO37" s="490">
        <f>AN37*8</f>
        <v/>
      </c>
    </row>
    <row r="38" ht="21.95" customHeight="1" s="459">
      <c r="A38" s="207" t="n"/>
      <c r="B38" s="475" t="inlineStr">
        <is>
          <t>普通保安每日工作(實際)總人數</t>
        </is>
      </c>
      <c r="C38" s="476" t="n"/>
      <c r="D38" s="477" t="n"/>
      <c r="E38" s="394" t="n"/>
      <c r="F38" s="394" t="n"/>
      <c r="G38" s="394" t="n"/>
      <c r="H38" s="141" t="inlineStr">
        <is>
          <t>G</t>
        </is>
      </c>
      <c r="I38" s="505">
        <f>COUNT(I18:I31)-I35</f>
        <v/>
      </c>
      <c r="J38" s="505">
        <f>COUNT(J18:J31)-J35</f>
        <v/>
      </c>
      <c r="K38" s="505">
        <f>COUNT(K18:K31)-K35</f>
        <v/>
      </c>
      <c r="L38" s="505">
        <f>COUNT(L18:L31)-L35</f>
        <v/>
      </c>
      <c r="M38" s="505">
        <f>COUNT(M18:M31)-M35</f>
        <v/>
      </c>
      <c r="N38" s="505">
        <f>COUNT(N18:N31)-N35</f>
        <v/>
      </c>
      <c r="O38" s="505">
        <f>COUNT(O18:O31)-O35</f>
        <v/>
      </c>
      <c r="P38" s="505">
        <f>COUNT(P18:P31)-P35</f>
        <v/>
      </c>
      <c r="Q38" s="505">
        <f>COUNT(Q18:Q31)-Q35</f>
        <v/>
      </c>
      <c r="R38" s="505">
        <f>COUNT(R18:R31)-R35</f>
        <v/>
      </c>
      <c r="S38" s="505">
        <f>COUNT(S18:S31)-S35</f>
        <v/>
      </c>
      <c r="T38" s="505">
        <f>COUNT(T18:T31)-T35</f>
        <v/>
      </c>
      <c r="U38" s="505">
        <f>COUNT(U18:U31)-U35</f>
        <v/>
      </c>
      <c r="V38" s="505">
        <f>COUNT(V18:V31)-V35</f>
        <v/>
      </c>
      <c r="W38" s="505">
        <f>COUNT(W18:W31)-W35</f>
        <v/>
      </c>
      <c r="X38" s="505">
        <f>COUNT(X18:X31)-X35</f>
        <v/>
      </c>
      <c r="Y38" s="505">
        <f>COUNT(Y18:Y31)-Y35</f>
        <v/>
      </c>
      <c r="Z38" s="506">
        <f>COUNT(Z18:Z31)-Z35</f>
        <v/>
      </c>
      <c r="AA38" s="505">
        <f>COUNT(AA18:AA31)-AA35</f>
        <v/>
      </c>
      <c r="AB38" s="505">
        <f>COUNT(AB18:AB31)-AB35</f>
        <v/>
      </c>
      <c r="AC38" s="505">
        <f>COUNT(AC18:AC31)-AC35</f>
        <v/>
      </c>
      <c r="AD38" s="505">
        <f>COUNT(AD18:AD31)-AD35</f>
        <v/>
      </c>
      <c r="AE38" s="505">
        <f>COUNT(AE18:AE31)-AE35</f>
        <v/>
      </c>
      <c r="AF38" s="505">
        <f>COUNT(AF18:AF31)-AF35</f>
        <v/>
      </c>
      <c r="AG38" s="505">
        <f>COUNT(AG18:AG31)-AG35</f>
        <v/>
      </c>
      <c r="AH38" s="505">
        <f>COUNT(AH18:AH31)-AH35</f>
        <v/>
      </c>
      <c r="AI38" s="505">
        <f>COUNT(AI18:AI31)-AI35</f>
        <v/>
      </c>
      <c r="AJ38" s="505">
        <f>COUNT(AJ18:AJ31)-AJ35</f>
        <v/>
      </c>
      <c r="AK38" s="505">
        <f>COUNT(AK18:AK31)-AK35</f>
        <v/>
      </c>
      <c r="AL38" s="505">
        <f>COUNT(AL18:AL31)-AL35</f>
        <v/>
      </c>
      <c r="AM38" s="505">
        <f>COUNT(AM18:AM31)-AM35</f>
        <v/>
      </c>
      <c r="AN38" s="141">
        <f>SUM(I38:AM38)</f>
        <v/>
      </c>
      <c r="AO38" s="141">
        <f>AN38*8</f>
        <v/>
      </c>
    </row>
    <row r="39" ht="21.95" customHeight="1" s="459">
      <c r="A39" s="207" t="n"/>
      <c r="B39" s="478" t="inlineStr">
        <is>
          <t>普通保安每日工作(要求)總人數</t>
        </is>
      </c>
      <c r="C39" s="479" t="n"/>
      <c r="D39" s="480" t="n"/>
      <c r="E39" s="397" t="n"/>
      <c r="F39" s="397" t="n"/>
      <c r="G39" s="397" t="n"/>
      <c r="H39" s="149" t="n"/>
      <c r="I39" s="151" t="n">
        <v>4</v>
      </c>
      <c r="J39" s="151" t="n">
        <v>4</v>
      </c>
      <c r="K39" s="151" t="n">
        <v>4</v>
      </c>
      <c r="L39" s="151" t="n">
        <v>4</v>
      </c>
      <c r="M39" s="151" t="n">
        <v>4</v>
      </c>
      <c r="N39" s="151" t="n">
        <v>4</v>
      </c>
      <c r="O39" s="151" t="n">
        <v>4</v>
      </c>
      <c r="P39" s="151" t="n">
        <v>4</v>
      </c>
      <c r="Q39" s="151" t="n">
        <v>4</v>
      </c>
      <c r="R39" s="151" t="n">
        <v>4</v>
      </c>
      <c r="S39" s="151" t="n">
        <v>4</v>
      </c>
      <c r="T39" s="151" t="n">
        <v>4</v>
      </c>
      <c r="U39" s="151" t="n">
        <v>4</v>
      </c>
      <c r="V39" s="151" t="n">
        <v>4</v>
      </c>
      <c r="W39" s="151" t="n">
        <v>4</v>
      </c>
      <c r="X39" s="151" t="n">
        <v>4</v>
      </c>
      <c r="Y39" s="151" t="n">
        <v>4</v>
      </c>
      <c r="Z39" s="151" t="n">
        <v>4</v>
      </c>
      <c r="AA39" s="151" t="n">
        <v>4</v>
      </c>
      <c r="AB39" s="151" t="n">
        <v>4</v>
      </c>
      <c r="AC39" s="151" t="n">
        <v>4</v>
      </c>
      <c r="AD39" s="151" t="n">
        <v>4</v>
      </c>
      <c r="AE39" s="151" t="n">
        <v>4</v>
      </c>
      <c r="AF39" s="151" t="n">
        <v>4</v>
      </c>
      <c r="AG39" s="151" t="n">
        <v>4</v>
      </c>
      <c r="AH39" s="151" t="n">
        <v>4</v>
      </c>
      <c r="AI39" s="151" t="n">
        <v>4</v>
      </c>
      <c r="AJ39" s="151" t="n">
        <v>4</v>
      </c>
      <c r="AK39" s="151" t="n">
        <v>4</v>
      </c>
      <c r="AL39" s="151" t="n">
        <v>4</v>
      </c>
      <c r="AM39" s="151" t="n">
        <v>4</v>
      </c>
      <c r="AN39" s="149">
        <f>SUM(I39:AM39)</f>
        <v/>
      </c>
      <c r="AO39" s="149">
        <f>AN39*8</f>
        <v/>
      </c>
    </row>
    <row r="40" ht="21.95" customHeight="1" s="459" thickBot="1">
      <c r="A40" s="207" t="n"/>
      <c r="B40" s="481" t="inlineStr">
        <is>
          <t>普通保安每日工作(缺勤)總人數</t>
        </is>
      </c>
      <c r="C40" s="482" t="n"/>
      <c r="D40" s="483" t="n"/>
      <c r="E40" s="403" t="n"/>
      <c r="F40" s="403" t="n"/>
      <c r="G40" s="403" t="n"/>
      <c r="H40" s="157" t="n"/>
      <c r="I40" s="471">
        <f>I38-I39</f>
        <v/>
      </c>
      <c r="J40" s="471">
        <f>J38-J39</f>
        <v/>
      </c>
      <c r="K40" s="471">
        <f>K38-K39</f>
        <v/>
      </c>
      <c r="L40" s="471">
        <f>L38-L39</f>
        <v/>
      </c>
      <c r="M40" s="471">
        <f>M38-M39</f>
        <v/>
      </c>
      <c r="N40" s="471">
        <f>N38-N39</f>
        <v/>
      </c>
      <c r="O40" s="471">
        <f>O38-O39</f>
        <v/>
      </c>
      <c r="P40" s="471">
        <f>P38-P39</f>
        <v/>
      </c>
      <c r="Q40" s="471">
        <f>Q38-Q39</f>
        <v/>
      </c>
      <c r="R40" s="471">
        <f>R38-R39</f>
        <v/>
      </c>
      <c r="S40" s="471">
        <f>S38-S39</f>
        <v/>
      </c>
      <c r="T40" s="471">
        <f>T38-T39</f>
        <v/>
      </c>
      <c r="U40" s="471">
        <f>U38-U39</f>
        <v/>
      </c>
      <c r="V40" s="471">
        <f>V38-V39</f>
        <v/>
      </c>
      <c r="W40" s="471">
        <f>W38-W39</f>
        <v/>
      </c>
      <c r="X40" s="471">
        <f>X38-X39</f>
        <v/>
      </c>
      <c r="Y40" s="471">
        <f>Y38-Y39</f>
        <v/>
      </c>
      <c r="Z40" s="504">
        <f>Z38-Z39</f>
        <v/>
      </c>
      <c r="AA40" s="471">
        <f>AA38-AA39</f>
        <v/>
      </c>
      <c r="AB40" s="471">
        <f>AB38-AB39</f>
        <v/>
      </c>
      <c r="AC40" s="471">
        <f>AC38-AC39</f>
        <v/>
      </c>
      <c r="AD40" s="471">
        <f>AD38-AD39</f>
        <v/>
      </c>
      <c r="AE40" s="471">
        <f>AE38-AE39</f>
        <v/>
      </c>
      <c r="AF40" s="471">
        <f>AF38-AF39</f>
        <v/>
      </c>
      <c r="AG40" s="471">
        <f>AG38-AG39</f>
        <v/>
      </c>
      <c r="AH40" s="471">
        <f>AH38-AH39</f>
        <v/>
      </c>
      <c r="AI40" s="471">
        <f>AI38-AI39</f>
        <v/>
      </c>
      <c r="AJ40" s="471">
        <f>AJ38-AJ39</f>
        <v/>
      </c>
      <c r="AK40" s="471">
        <f>AK38-AK39</f>
        <v/>
      </c>
      <c r="AL40" s="471">
        <f>AL38-AL39</f>
        <v/>
      </c>
      <c r="AM40" s="471">
        <f>AM38-AM39</f>
        <v/>
      </c>
      <c r="AN40" s="490">
        <f>SUM(I40:AM40)</f>
        <v/>
      </c>
      <c r="AO40" s="490">
        <f>AN40*8</f>
        <v/>
      </c>
    </row>
    <row r="41" ht="21.95" customHeight="1" s="459">
      <c r="A41" s="207" t="n"/>
      <c r="B41" s="507" t="inlineStr">
        <is>
          <t>保安每日工作(實際)總人數</t>
        </is>
      </c>
      <c r="C41" s="476" t="n"/>
      <c r="D41" s="477" t="n"/>
      <c r="E41" s="409" t="n"/>
      <c r="F41" s="409" t="n"/>
      <c r="G41" s="409" t="n"/>
      <c r="H41" s="196" t="n"/>
      <c r="I41" s="508">
        <f>SUM(I14+I35+I38)</f>
        <v/>
      </c>
      <c r="J41" s="275">
        <f>SUM(J14+J35+J38)</f>
        <v/>
      </c>
      <c r="K41" s="275">
        <f>SUM(K14+K35+K38)</f>
        <v/>
      </c>
      <c r="L41" s="275">
        <f>SUM(L14+L35+L38)</f>
        <v/>
      </c>
      <c r="M41" s="275">
        <f>SUM(M14+M35+M38)</f>
        <v/>
      </c>
      <c r="N41" s="275">
        <f>SUM(N14+N35+N38)</f>
        <v/>
      </c>
      <c r="O41" s="275">
        <f>SUM(O14+O35+O38)</f>
        <v/>
      </c>
      <c r="P41" s="275">
        <f>SUM(P14+P35+P38)</f>
        <v/>
      </c>
      <c r="Q41" s="275">
        <f>SUM(Q14+Q35+Q38)</f>
        <v/>
      </c>
      <c r="R41" s="275">
        <f>SUM(R14+R35+R38)</f>
        <v/>
      </c>
      <c r="S41" s="275">
        <f>SUM(S14+S35+S38)</f>
        <v/>
      </c>
      <c r="T41" s="275">
        <f>SUM(T14+T35+T38)</f>
        <v/>
      </c>
      <c r="U41" s="275">
        <f>SUM(U14+U35+U38)</f>
        <v/>
      </c>
      <c r="V41" s="509">
        <f>SUM(V14+V35+V38)</f>
        <v/>
      </c>
      <c r="W41" s="275">
        <f>SUM(W14+W35+W38)</f>
        <v/>
      </c>
      <c r="X41" s="275">
        <f>SUM(X14+X35+X38)</f>
        <v/>
      </c>
      <c r="Y41" s="275">
        <f>SUM(Y14+Y35+Y38)</f>
        <v/>
      </c>
      <c r="Z41" s="372">
        <f>SUM(Z14+Z35+Z38)</f>
        <v/>
      </c>
      <c r="AA41" s="275">
        <f>SUM(AA14+AA35+AA38)</f>
        <v/>
      </c>
      <c r="AB41" s="275">
        <f>SUM(AB14+AB35+AB38)</f>
        <v/>
      </c>
      <c r="AC41" s="275">
        <f>SUM(AC14+AC35+AC38)</f>
        <v/>
      </c>
      <c r="AD41" s="275">
        <f>SUM(AD14+AD35+AD38)</f>
        <v/>
      </c>
      <c r="AE41" s="275">
        <f>SUM(AE14+AE35+AE38)</f>
        <v/>
      </c>
      <c r="AF41" s="275">
        <f>SUM(AF14+AF35+AF38)</f>
        <v/>
      </c>
      <c r="AG41" s="275">
        <f>SUM(AG14+AG35+AG38)</f>
        <v/>
      </c>
      <c r="AH41" s="275">
        <f>SUM(AH14+AH35+AH38)</f>
        <v/>
      </c>
      <c r="AI41" s="275">
        <f>SUM(AI14+AI35+AI38)</f>
        <v/>
      </c>
      <c r="AJ41" s="275">
        <f>SUM(AJ14+AJ35+AJ38)</f>
        <v/>
      </c>
      <c r="AK41" s="275">
        <f>SUM(AK14+AK35+AK38)</f>
        <v/>
      </c>
      <c r="AL41" s="275">
        <f>SUM(AL14+AL35+AL38)</f>
        <v/>
      </c>
      <c r="AM41" s="275">
        <f>SUM(AM14+AM35+AM38)</f>
        <v/>
      </c>
      <c r="AN41" s="196">
        <f>SUM(I41:AM41)</f>
        <v/>
      </c>
      <c r="AO41" s="196">
        <f>SUM(AO14+AO35+AO38)</f>
        <v/>
      </c>
    </row>
    <row r="42" hidden="1" ht="21.95" customHeight="1" s="459">
      <c r="A42" s="207" t="n"/>
      <c r="B42" s="510" t="inlineStr">
        <is>
          <t>保安每日工作(實際)總人數</t>
        </is>
      </c>
      <c r="C42" s="511" t="n"/>
      <c r="D42" s="512" t="n"/>
      <c r="E42" s="340" t="n"/>
      <c r="F42" s="340" t="n"/>
      <c r="G42" s="340" t="n"/>
      <c r="H42" s="341" t="n"/>
      <c r="I42" s="513">
        <f>I41-1</f>
        <v/>
      </c>
      <c r="J42" s="198">
        <f>J41-1</f>
        <v/>
      </c>
      <c r="K42" s="198">
        <f>K41-1</f>
        <v/>
      </c>
      <c r="L42" s="198">
        <f>L41-1</f>
        <v/>
      </c>
      <c r="M42" s="198">
        <f>M41-1</f>
        <v/>
      </c>
      <c r="N42" s="198">
        <f>N41-1</f>
        <v/>
      </c>
      <c r="O42" s="198">
        <f>O41-1</f>
        <v/>
      </c>
      <c r="P42" s="198">
        <f>P41-1</f>
        <v/>
      </c>
      <c r="Q42" s="198">
        <f>Q41-1</f>
        <v/>
      </c>
      <c r="R42" s="198">
        <f>R41-1</f>
        <v/>
      </c>
      <c r="S42" s="198">
        <f>S41-1</f>
        <v/>
      </c>
      <c r="T42" s="198">
        <f>T41-1</f>
        <v/>
      </c>
      <c r="U42" s="198">
        <f>U41-1</f>
        <v/>
      </c>
      <c r="V42" s="514">
        <f>V41-1</f>
        <v/>
      </c>
      <c r="W42" s="198">
        <f>W41-1</f>
        <v/>
      </c>
      <c r="X42" s="198">
        <f>X41-1</f>
        <v/>
      </c>
      <c r="Y42" s="198">
        <f>Y41-1</f>
        <v/>
      </c>
      <c r="Z42" s="371">
        <f>Z41-1</f>
        <v/>
      </c>
      <c r="AA42" s="198">
        <f>AA41-1</f>
        <v/>
      </c>
      <c r="AB42" s="198">
        <f>AB41-1</f>
        <v/>
      </c>
      <c r="AC42" s="198">
        <f>AC41-1</f>
        <v/>
      </c>
      <c r="AD42" s="198">
        <f>AD41-1</f>
        <v/>
      </c>
      <c r="AE42" s="198">
        <f>AE41-1</f>
        <v/>
      </c>
      <c r="AF42" s="198">
        <f>AF41-1</f>
        <v/>
      </c>
      <c r="AG42" s="198">
        <f>AG41-1</f>
        <v/>
      </c>
      <c r="AH42" s="198">
        <f>AH41-1</f>
        <v/>
      </c>
      <c r="AI42" s="198">
        <f>AI41-1</f>
        <v/>
      </c>
      <c r="AJ42" s="198">
        <f>AJ41-1</f>
        <v/>
      </c>
      <c r="AK42" s="198">
        <f>AK41-1</f>
        <v/>
      </c>
      <c r="AL42" s="198">
        <f>AL41-1</f>
        <v/>
      </c>
      <c r="AM42" s="198">
        <f>AM41-1</f>
        <v/>
      </c>
      <c r="AN42" s="341" t="n"/>
      <c r="AO42" s="341" t="n"/>
    </row>
    <row r="43" ht="21.95" customHeight="1" s="459">
      <c r="A43" s="207" t="n"/>
      <c r="B43" s="478" t="inlineStr">
        <is>
          <t>保安每日工作(要求)總人數</t>
        </is>
      </c>
      <c r="C43" s="479" t="n"/>
      <c r="D43" s="480" t="n"/>
      <c r="E43" s="397" t="n"/>
      <c r="F43" s="397" t="n"/>
      <c r="G43" s="397" t="n"/>
      <c r="H43" s="149" t="n"/>
      <c r="I43" s="151">
        <f>SUM(I15+I36+I39)</f>
        <v/>
      </c>
      <c r="J43" s="151">
        <f>SUM(J15+J36+J39)</f>
        <v/>
      </c>
      <c r="K43" s="151">
        <f>SUM(K15+K36+K39)</f>
        <v/>
      </c>
      <c r="L43" s="151">
        <f>SUM(L15+L36+L39)</f>
        <v/>
      </c>
      <c r="M43" s="151">
        <f>SUM(M15+M36+M39)</f>
        <v/>
      </c>
      <c r="N43" s="151">
        <f>SUM(N15+N36+N39)</f>
        <v/>
      </c>
      <c r="O43" s="151">
        <f>SUM(O15+O36+O39)</f>
        <v/>
      </c>
      <c r="P43" s="151">
        <f>SUM(P15+P36+P39)</f>
        <v/>
      </c>
      <c r="Q43" s="151">
        <f>SUM(Q15+Q36+Q39)</f>
        <v/>
      </c>
      <c r="R43" s="151">
        <f>SUM(R15+R36+R39)</f>
        <v/>
      </c>
      <c r="S43" s="151">
        <f>SUM(S15+S36+S39)</f>
        <v/>
      </c>
      <c r="T43" s="151">
        <f>SUM(T15+T36+T39)</f>
        <v/>
      </c>
      <c r="U43" s="151">
        <f>SUM(U15+U36+U39)</f>
        <v/>
      </c>
      <c r="V43" s="151">
        <f>SUM(V15+V36+V39)</f>
        <v/>
      </c>
      <c r="W43" s="151">
        <f>SUM(W15+W36+W39)</f>
        <v/>
      </c>
      <c r="X43" s="151">
        <f>SUM(X15+X36+X39)</f>
        <v/>
      </c>
      <c r="Y43" s="151">
        <f>SUM(Y15+Y36+Y39)</f>
        <v/>
      </c>
      <c r="Z43" s="375">
        <f>SUM(Z15+Z36+Z39)</f>
        <v/>
      </c>
      <c r="AA43" s="151">
        <f>SUM(AA15+AA36+AA39)</f>
        <v/>
      </c>
      <c r="AB43" s="151">
        <f>SUM(AB15+AB36+AB39)</f>
        <v/>
      </c>
      <c r="AC43" s="151">
        <f>SUM(AC15+AC36+AC39)</f>
        <v/>
      </c>
      <c r="AD43" s="151">
        <f>SUM(AD15+AD36+AD39)</f>
        <v/>
      </c>
      <c r="AE43" s="151">
        <f>SUM(AE15+AE36+AE39)</f>
        <v/>
      </c>
      <c r="AF43" s="151">
        <f>SUM(AF15+AF36+AF39)</f>
        <v/>
      </c>
      <c r="AG43" s="151">
        <f>SUM(AG15+AG36+AG39)</f>
        <v/>
      </c>
      <c r="AH43" s="151">
        <f>SUM(AH15+AH36+AH39)</f>
        <v/>
      </c>
      <c r="AI43" s="151">
        <f>SUM(AI15+AI36+AI39)</f>
        <v/>
      </c>
      <c r="AJ43" s="151">
        <f>SUM(AJ15+AJ36+AJ39)</f>
        <v/>
      </c>
      <c r="AK43" s="151">
        <f>SUM(AK15+AK36+AK39)</f>
        <v/>
      </c>
      <c r="AL43" s="151">
        <f>SUM(AL15+AL36+AL39)</f>
        <v/>
      </c>
      <c r="AM43" s="151">
        <f>SUM(AM15+AM36+AM39)</f>
        <v/>
      </c>
      <c r="AN43" s="149">
        <f>SUM(I43:AM43)</f>
        <v/>
      </c>
      <c r="AO43" s="149">
        <f>SUM(AO15+AO36+AO39)</f>
        <v/>
      </c>
    </row>
    <row r="44" ht="21.95" customHeight="1" s="459" thickBot="1">
      <c r="A44" s="207" t="n"/>
      <c r="B44" s="489" t="inlineStr">
        <is>
          <t>保安每日工作(缺勤)總人數</t>
        </is>
      </c>
      <c r="C44" s="482" t="n"/>
      <c r="D44" s="483" t="n"/>
      <c r="E44" s="406" t="n"/>
      <c r="F44" s="406" t="n"/>
      <c r="G44" s="406" t="n"/>
      <c r="H44" s="201" t="n"/>
      <c r="I44" s="515">
        <f>I41-I43</f>
        <v/>
      </c>
      <c r="J44" s="516">
        <f>J41-J43</f>
        <v/>
      </c>
      <c r="K44" s="516">
        <f>K41-K43</f>
        <v/>
      </c>
      <c r="L44" s="516">
        <f>L41-L43</f>
        <v/>
      </c>
      <c r="M44" s="516">
        <f>M41-M43</f>
        <v/>
      </c>
      <c r="N44" s="516">
        <f>N41-N43</f>
        <v/>
      </c>
      <c r="O44" s="516">
        <f>O41-O43</f>
        <v/>
      </c>
      <c r="P44" s="516">
        <f>P41-P43</f>
        <v/>
      </c>
      <c r="Q44" s="516">
        <f>Q41-Q43</f>
        <v/>
      </c>
      <c r="R44" s="516">
        <f>R41-R43</f>
        <v/>
      </c>
      <c r="S44" s="516">
        <f>S41-S43</f>
        <v/>
      </c>
      <c r="T44" s="516">
        <f>T41-T43</f>
        <v/>
      </c>
      <c r="U44" s="516">
        <f>U41-U43</f>
        <v/>
      </c>
      <c r="V44" s="516">
        <f>V41-V43</f>
        <v/>
      </c>
      <c r="W44" s="516">
        <f>W41-W43</f>
        <v/>
      </c>
      <c r="X44" s="516">
        <f>X41-X43</f>
        <v/>
      </c>
      <c r="Y44" s="516">
        <f>Y41-Y43</f>
        <v/>
      </c>
      <c r="Z44" s="517">
        <f>Z41-Z43</f>
        <v/>
      </c>
      <c r="AA44" s="516">
        <f>AA41-AA43</f>
        <v/>
      </c>
      <c r="AB44" s="516">
        <f>AB41-AB43</f>
        <v/>
      </c>
      <c r="AC44" s="516">
        <f>AC41-AC43</f>
        <v/>
      </c>
      <c r="AD44" s="516">
        <f>AD41-AD43</f>
        <v/>
      </c>
      <c r="AE44" s="516">
        <f>AE41-AE43</f>
        <v/>
      </c>
      <c r="AF44" s="516">
        <f>AF41-AF43</f>
        <v/>
      </c>
      <c r="AG44" s="516">
        <f>AG41-AG43</f>
        <v/>
      </c>
      <c r="AH44" s="516">
        <f>AH41-AH43</f>
        <v/>
      </c>
      <c r="AI44" s="516">
        <f>AI41-AI43</f>
        <v/>
      </c>
      <c r="AJ44" s="516">
        <f>AJ41-AJ43</f>
        <v/>
      </c>
      <c r="AK44" s="516">
        <f>AK41-AK43</f>
        <v/>
      </c>
      <c r="AL44" s="516">
        <f>AL41-AL43</f>
        <v/>
      </c>
      <c r="AM44" s="516">
        <f>AM41-AM43</f>
        <v/>
      </c>
      <c r="AN44" s="518">
        <f>SUM(I44:AM44)</f>
        <v/>
      </c>
      <c r="AO44" s="518">
        <f>AN44*8</f>
        <v/>
      </c>
    </row>
    <row r="45" ht="21.95" customHeight="1" s="459">
      <c r="A45" s="207" t="n"/>
      <c r="B45" s="207" t="n"/>
      <c r="C45" s="208" t="n"/>
      <c r="D45" s="208" t="n"/>
      <c r="E45" s="208" t="n"/>
      <c r="F45" s="208" t="n"/>
      <c r="G45" s="208" t="n"/>
      <c r="H45" s="208" t="n"/>
      <c r="I45" s="207" t="n"/>
      <c r="J45" s="207" t="n"/>
      <c r="K45" s="207" t="n"/>
      <c r="L45" s="207" t="n"/>
      <c r="M45" s="207" t="n"/>
      <c r="N45" s="207" t="n"/>
      <c r="O45" s="207" t="n"/>
      <c r="P45" s="207" t="n"/>
      <c r="Q45" s="207" t="n"/>
      <c r="R45" s="207" t="n"/>
      <c r="S45" s="207" t="n"/>
      <c r="T45" s="207" t="n"/>
      <c r="U45" s="207" t="n"/>
      <c r="V45" s="207" t="n"/>
      <c r="W45" s="207" t="n"/>
      <c r="X45" s="207" t="n"/>
      <c r="Y45" s="207" t="n"/>
      <c r="Z45" s="207" t="n"/>
      <c r="AA45" s="207" t="n"/>
      <c r="AB45" s="207" t="n"/>
      <c r="AC45" s="207" t="n"/>
      <c r="AD45" s="207" t="n"/>
      <c r="AE45" s="207" t="n"/>
      <c r="AF45" s="207" t="n"/>
      <c r="AG45" s="207" t="n"/>
      <c r="AH45" s="207" t="n"/>
      <c r="AI45" s="207" t="n"/>
      <c r="AJ45" s="207" t="n"/>
      <c r="AK45" s="207" t="n"/>
      <c r="AL45" s="207" t="n"/>
      <c r="AM45" s="207" t="n"/>
      <c r="AN45" s="208" t="n"/>
      <c r="AO45" s="208" t="n"/>
    </row>
    <row r="46" ht="22.5" customHeight="1" s="459">
      <c r="B46" s="207" t="n"/>
      <c r="C46" s="208" t="n"/>
      <c r="D46" s="208" t="n"/>
      <c r="E46" s="208" t="n"/>
      <c r="F46" s="208" t="n"/>
      <c r="G46" s="208" t="n"/>
      <c r="H46" s="209" t="inlineStr">
        <is>
          <t>備註：</t>
        </is>
      </c>
      <c r="I46" s="210" t="inlineStr">
        <is>
          <t xml:space="preserve"> GS=Guard Supervisor     SG=Special Guard      G=Security Guard</t>
        </is>
      </c>
      <c r="J46" s="519" t="n"/>
      <c r="K46" s="519" t="n"/>
      <c r="L46" s="519" t="n"/>
      <c r="M46" s="519" t="n"/>
      <c r="N46" s="519" t="n"/>
      <c r="O46" s="519" t="n"/>
      <c r="P46" s="519" t="n"/>
      <c r="Q46" s="519" t="n"/>
      <c r="R46" s="90" t="n"/>
      <c r="S46" s="90" t="n"/>
      <c r="T46" s="90" t="n"/>
      <c r="U46" s="90" t="n"/>
      <c r="V46" s="90" t="n"/>
      <c r="W46" s="90" t="n"/>
      <c r="X46" s="90" t="n"/>
      <c r="Y46" s="90" t="n"/>
      <c r="Z46" s="208" t="n"/>
      <c r="AA46" s="520" t="inlineStr">
        <is>
          <t>SH / NSH</t>
        </is>
      </c>
      <c r="AB46" s="498" t="n"/>
      <c r="AC46" s="212" t="inlineStr">
        <is>
          <t>RD</t>
        </is>
      </c>
      <c r="AD46" s="213" t="inlineStr">
        <is>
          <t>NP</t>
        </is>
      </c>
      <c r="AE46" s="214" t="inlineStr">
        <is>
          <t>SL</t>
        </is>
      </c>
      <c r="AF46" s="215" t="inlineStr">
        <is>
          <t>AL</t>
        </is>
      </c>
      <c r="AG46" s="366" t="inlineStr">
        <is>
          <t>NC</t>
        </is>
      </c>
      <c r="AH46" s="367" t="inlineStr">
        <is>
          <t>S</t>
        </is>
      </c>
      <c r="AI46" s="208" t="n"/>
      <c r="AJ46" s="208" t="n"/>
      <c r="AK46" s="207" t="n"/>
      <c r="AL46" s="207" t="n"/>
      <c r="AM46" s="13" t="n"/>
      <c r="AN46" s="13" t="n"/>
      <c r="AO46" s="13" t="n"/>
    </row>
    <row r="47" ht="21.95" customHeight="1" s="459">
      <c r="B47" s="207" t="n"/>
      <c r="C47" s="208" t="n"/>
      <c r="D47" s="208" t="n"/>
      <c r="E47" s="208" t="n"/>
      <c r="F47" s="208" t="n"/>
      <c r="G47" s="208" t="n"/>
      <c r="H47" s="91" t="n"/>
      <c r="I47" s="0" t="inlineStr">
        <is>
          <t>【AL=年假】【NP=無薪假】【PH=公眾假期】【PL=其他有薪假】【RD=例假】【SH=法定假期】【NSH=無薪法定假期】【SL=病假】【NC=非合約期】【S=Secondment借調/其他更份】</t>
        </is>
      </c>
      <c r="J47" s="90" t="n"/>
      <c r="K47" s="90" t="n"/>
      <c r="L47" s="90" t="n"/>
      <c r="M47" s="90" t="n"/>
      <c r="N47" s="90" t="n"/>
      <c r="O47" s="90" t="n"/>
      <c r="P47" s="90" t="n"/>
      <c r="Q47" s="90" t="n"/>
      <c r="R47" s="90" t="n"/>
      <c r="S47" s="90" t="n"/>
      <c r="T47" s="90" t="n"/>
      <c r="U47" s="90" t="n"/>
      <c r="V47" s="90" t="n"/>
      <c r="W47" s="90" t="n"/>
      <c r="X47" s="90" t="n"/>
      <c r="Y47" s="90" t="n"/>
      <c r="Z47" s="208" t="n"/>
      <c r="AA47" s="208" t="n"/>
      <c r="AB47" s="208" t="n"/>
      <c r="AC47" s="208" t="n"/>
      <c r="AD47" s="208" t="n"/>
      <c r="AE47" s="208" t="n"/>
      <c r="AF47" s="208" t="n"/>
      <c r="AG47" s="208" t="n"/>
      <c r="AH47" s="208" t="n"/>
      <c r="AI47" s="208" t="n"/>
      <c r="AJ47" s="208" t="n"/>
      <c r="AK47" s="208" t="n"/>
      <c r="AL47" s="208" t="n"/>
      <c r="AM47" s="208" t="n"/>
      <c r="AN47" s="208" t="n"/>
      <c r="AO47" s="208" t="n"/>
    </row>
    <row r="48" ht="21.95" customHeight="1" s="459">
      <c r="B48" s="48" t="n"/>
      <c r="C48" s="421" t="n"/>
      <c r="D48" s="50" t="n"/>
    </row>
    <row r="49" ht="21.95" customFormat="1" customHeight="1" s="12">
      <c r="B49" s="48" t="n"/>
      <c r="C49" s="421" t="n"/>
      <c r="E49" s="32" t="n"/>
      <c r="F49" s="51" t="n"/>
      <c r="G49" s="51" t="n"/>
      <c r="H49" s="52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9" t="n"/>
      <c r="Y49" s="31" t="n"/>
      <c r="Z49" s="31" t="n"/>
      <c r="AA49" s="31" t="n"/>
      <c r="AB49" s="31" t="n"/>
      <c r="AC49" s="31" t="n"/>
      <c r="AD49" s="31" t="n"/>
      <c r="AE49" s="31" t="n"/>
      <c r="AF49" s="31" t="n"/>
      <c r="AG49" s="31" t="n"/>
      <c r="AH49" s="31" t="n"/>
      <c r="AI49" s="31" t="n"/>
      <c r="AJ49" s="31" t="n"/>
      <c r="AK49" s="37" t="n"/>
      <c r="AL49" s="31" t="n"/>
      <c r="AM49" s="32" t="n"/>
      <c r="AN49" s="32" t="n"/>
      <c r="AO49" s="32" t="n"/>
    </row>
    <row r="50" ht="21.95" customFormat="1" customHeight="1" s="12">
      <c r="B50" s="31" t="n"/>
      <c r="C50" s="32" t="n"/>
      <c r="D50" s="32" t="n"/>
      <c r="E50" s="32" t="n"/>
      <c r="F50" s="51" t="n"/>
      <c r="G50" s="51" t="n"/>
      <c r="H50" s="32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9" t="n"/>
      <c r="Y50" s="31" t="n"/>
      <c r="Z50" s="31" t="n"/>
      <c r="AA50" s="31" t="n"/>
      <c r="AB50" s="31" t="n"/>
      <c r="AC50" s="31" t="n"/>
      <c r="AD50" s="31" t="n"/>
      <c r="AE50" s="31" t="n"/>
      <c r="AF50" s="31" t="n"/>
      <c r="AG50" s="31" t="n"/>
      <c r="AH50" s="31" t="n"/>
      <c r="AI50" s="31" t="n"/>
      <c r="AJ50" s="31" t="n"/>
      <c r="AK50" s="31" t="n"/>
      <c r="AL50" s="31" t="n"/>
      <c r="AM50" s="31" t="n"/>
      <c r="AN50" s="31" t="n"/>
      <c r="AO50" s="31" t="n"/>
    </row>
    <row r="51" ht="21.95" customFormat="1" customHeight="1" s="12">
      <c r="B51" s="31" t="n"/>
      <c r="C51" s="32" t="n"/>
      <c r="D51" s="31" t="n"/>
      <c r="E51" s="32" t="n"/>
      <c r="F51" s="32" t="n"/>
      <c r="G51" s="32" t="n"/>
      <c r="H51" s="32" t="n"/>
      <c r="I51" s="32" t="n"/>
      <c r="J51" s="32" t="n"/>
      <c r="K51" s="31" t="n"/>
      <c r="L51" s="31" t="n"/>
      <c r="M51" s="31" t="n"/>
      <c r="N51" s="31" t="n"/>
      <c r="O51" s="31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39" t="n"/>
      <c r="Y51" s="31" t="n"/>
      <c r="Z51" s="31" t="n"/>
      <c r="AA51" s="31" t="n"/>
      <c r="AB51" s="31" t="n"/>
      <c r="AC51" s="31" t="n"/>
      <c r="AD51" s="31" t="n"/>
      <c r="AE51" s="31" t="n"/>
      <c r="AF51" s="31" t="n"/>
      <c r="AG51" s="31" t="n"/>
      <c r="AH51" s="31" t="n"/>
      <c r="AI51" s="31" t="n"/>
      <c r="AJ51" s="31" t="n"/>
      <c r="AK51" s="31" t="n"/>
      <c r="AL51" s="31" t="n"/>
      <c r="AM51" s="31" t="n"/>
      <c r="AN51" s="32" t="n"/>
      <c r="AO51" s="32" t="n"/>
    </row>
    <row r="52" ht="21.95" customFormat="1" customHeight="1" s="12">
      <c r="B52" s="31" t="n"/>
      <c r="C52" s="32" t="n"/>
      <c r="D52" s="31" t="n"/>
      <c r="E52" s="32" t="n"/>
      <c r="F52" s="32" t="n"/>
      <c r="G52" s="32" t="n"/>
      <c r="H52" s="32" t="n"/>
      <c r="I52" s="31" t="n"/>
      <c r="J52" s="31" t="n"/>
      <c r="K52" s="31" t="n"/>
      <c r="L52" s="31" t="n"/>
      <c r="M52" s="31" t="inlineStr">
        <is>
          <t xml:space="preserve"> </t>
        </is>
      </c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1" t="n"/>
      <c r="AC52" s="31" t="n"/>
      <c r="AD52" s="31" t="n"/>
      <c r="AE52" s="31" t="n"/>
      <c r="AF52" s="31" t="n"/>
      <c r="AG52" s="31" t="n"/>
      <c r="AH52" s="31" t="n"/>
      <c r="AI52" s="31" t="n"/>
      <c r="AJ52" s="31" t="n"/>
      <c r="AK52" s="31" t="n"/>
      <c r="AL52" s="31" t="n"/>
      <c r="AM52" s="31" t="n"/>
      <c r="AN52" s="32" t="n"/>
      <c r="AO52" s="32" t="n"/>
    </row>
    <row r="53" ht="21.95" customHeight="1" s="459">
      <c r="AK53" s="37" t="n"/>
      <c r="AM53" s="40" t="n"/>
    </row>
    <row r="54" ht="21.95" customHeight="1" s="459">
      <c r="AN54" s="39" t="n"/>
      <c r="AO54" s="39" t="n"/>
    </row>
    <row r="55" ht="21.95" customHeight="1" s="459"/>
    <row r="56" ht="21.95" customHeight="1" s="459"/>
    <row r="57" ht="21.95" customHeight="1" s="459">
      <c r="AK57" s="37" t="n"/>
      <c r="AL57" s="41" t="n"/>
      <c r="AM57" s="40" t="n"/>
    </row>
    <row r="58" ht="21.95" customHeight="1" s="459"/>
    <row r="59" ht="21.95" customHeight="1" s="459">
      <c r="Z59" s="39" t="inlineStr">
        <is>
          <t xml:space="preserve">  </t>
        </is>
      </c>
      <c r="AA59" s="39" t="inlineStr">
        <is>
          <t xml:space="preserve">  </t>
        </is>
      </c>
    </row>
    <row r="60" ht="21.95" customHeight="1" s="459"/>
    <row r="61" ht="21.95" customHeight="1" s="459"/>
    <row r="62" ht="21.95" customHeight="1" s="459"/>
    <row r="63" ht="21.95" customHeight="1" s="459"/>
    <row r="64" ht="21.95" customHeight="1" s="459"/>
    <row r="65" ht="21.95" customHeight="1" s="459"/>
    <row r="66" ht="21.95" customHeight="1" s="459"/>
    <row r="67" ht="21.95" customHeight="1" s="459"/>
    <row r="68" ht="21.95" customHeight="1" s="459"/>
    <row r="69" ht="21.95" customHeight="1" s="459"/>
    <row r="70" ht="21.95" customHeight="1" s="459"/>
    <row r="71" ht="21.95" customHeight="1" s="459"/>
    <row r="72" ht="21.95" customHeight="1" s="459"/>
    <row r="73" ht="21.95" customHeight="1" s="459"/>
    <row r="74" ht="21.95" customHeight="1" s="459"/>
    <row r="75" ht="21.95" customHeight="1" s="459"/>
    <row r="76" ht="21.95" customHeight="1" s="459"/>
    <row r="77" ht="21.95" customHeight="1" s="459"/>
    <row r="78" ht="21.95" customHeight="1" s="459"/>
    <row r="79" ht="21.95" customHeight="1" s="459"/>
  </sheetData>
  <autoFilter ref="D7:D32"/>
  <mergeCells count="21">
    <mergeCell ref="B42:D42"/>
    <mergeCell ref="B44:D44"/>
    <mergeCell ref="B38:D38"/>
    <mergeCell ref="B37:D37"/>
    <mergeCell ref="B40:D40"/>
    <mergeCell ref="D32:H32"/>
    <mergeCell ref="B36:D36"/>
    <mergeCell ref="B41:D41"/>
    <mergeCell ref="B35:D35"/>
    <mergeCell ref="B3:AO3"/>
    <mergeCell ref="AA46:AB46"/>
    <mergeCell ref="AO6:AO7"/>
    <mergeCell ref="N4:Y4"/>
    <mergeCell ref="BC6:BC7"/>
    <mergeCell ref="B2:AO2"/>
    <mergeCell ref="B32:C32"/>
    <mergeCell ref="B43:D43"/>
    <mergeCell ref="B39:D39"/>
    <mergeCell ref="AN6:AN7"/>
    <mergeCell ref="C49:D49"/>
    <mergeCell ref="B1:AO1"/>
  </mergeCells>
  <conditionalFormatting sqref="A5:AM5 A6:H7 A8:D9 A10:AF13 A14:G14 A15:AF28 A29:C29 A34:K34 A35:G35 A36:AF41 A42:B42 A43:AF43 D28:D29 E29:AF29 E42:AF42 I14:AF14 I35:AF35 M34:AF34 AJ10:AM29 AJ34:AM43">
    <cfRule type="cellIs" priority="412" operator="equal" dxfId="7">
      <formula>"GS"</formula>
    </cfRule>
  </conditionalFormatting>
  <conditionalFormatting sqref="A5:AM5 A6:H7 A8:D9 A10:AF13 A14:G14 A15:AF28 A29:C29 A34:K34 A35:G35 A36:AF41 A42:B42 A43:AF43 D28:D29 E29:AF29 E42:AF42 I8:AF9 I14:AF14 I35:AF35 M34:AF34 AJ8:AM29 AJ34:AM43">
    <cfRule type="cellIs" priority="413" operator="equal" dxfId="7">
      <formula>"SG"</formula>
    </cfRule>
  </conditionalFormatting>
  <conditionalFormatting sqref="A30:AF33 AJ30:AM33">
    <cfRule type="cellIs" priority="150" operator="equal" dxfId="7">
      <formula>"GS"</formula>
    </cfRule>
    <cfRule type="cellIs" priority="151" operator="equal" dxfId="7">
      <formula>"SG"</formula>
    </cfRule>
  </conditionalFormatting>
  <conditionalFormatting sqref="B1:B2">
    <cfRule type="cellIs" priority="243" operator="equal" dxfId="220">
      <formula>"NC"</formula>
    </cfRule>
    <cfRule type="cellIs" priority="244" operator="equal" dxfId="219">
      <formula>"R"</formula>
    </cfRule>
    <cfRule type="cellIs" priority="245" operator="equal" dxfId="221" stopIfTrue="1">
      <formula>"RD"</formula>
    </cfRule>
    <cfRule type="cellIs" priority="711" operator="equal" dxfId="226">
      <formula>"NP"</formula>
    </cfRule>
    <cfRule type="cellIs" priority="712" operator="equal" dxfId="23">
      <formula>"NC"</formula>
    </cfRule>
    <cfRule type="cellIs" priority="716" operator="equal" dxfId="3" stopIfTrue="1">
      <formula>"NP"</formula>
    </cfRule>
  </conditionalFormatting>
  <conditionalFormatting sqref="C4">
    <cfRule type="cellIs" priority="706" operator="equal" dxfId="23">
      <formula>"NC"</formula>
    </cfRule>
    <cfRule type="cellIs" priority="707" operator="equal" dxfId="3" stopIfTrue="1">
      <formula>"NP"</formula>
    </cfRule>
    <cfRule type="cellIs" priority="708" operator="equal" dxfId="221" stopIfTrue="1">
      <formula>"RD"</formula>
    </cfRule>
    <cfRule type="cellIs" priority="709" operator="equal" dxfId="220">
      <formula>"NC"</formula>
    </cfRule>
    <cfRule type="cellIs" priority="710" operator="equal" dxfId="219">
      <formula>"R"</formula>
    </cfRule>
  </conditionalFormatting>
  <conditionalFormatting sqref="I19 I20:O20 I21:J21 I22:T22 I23:X23 I25:M25 I26:N26 I27:P27 I28:L28 I29:AD29 J24:AC24 K19:L19 L21:Q21 N19:X19 N28:U28 O25:AF25 P26:AA26 Q20:Z20 R27:AB27 S21:Y21 V22:Y22 X28:AE28 Z19:AF19 Z23:AC23 AA21:AF22 AB20:AE20 AD26:AF27 AE23:AF23 AF24 AF29 AJ20:AM20 AJ22:AK22 AJ23 AJ24:AM24 AJ25 AJ26:AM28 AJ29:AL29 AK19:AM19 AK21:AM21 AL25:AM25 AM22:AM23">
    <cfRule type="containsText" priority="664" operator="containsText" dxfId="6" text="SL">
      <formula>NOT(ISERROR(SEARCH("SL",I19)))</formula>
    </cfRule>
    <cfRule type="containsText" priority="665" operator="containsText" dxfId="5" text="NP">
      <formula>NOT(ISERROR(SEARCH("NP",I19)))</formula>
    </cfRule>
    <cfRule type="containsText" priority="666" operator="containsText" dxfId="4" text="SH">
      <formula>NOT(ISERROR(SEARCH("SH",I19)))</formula>
    </cfRule>
    <cfRule type="containsText" priority="667" operator="containsText" dxfId="3" text="RD">
      <formula>NOT(ISERROR(SEARCH("RD",I19)))</formula>
    </cfRule>
    <cfRule type="containsText" priority="663" operator="containsText" dxfId="9" text="AL">
      <formula>NOT(ISERROR(SEARCH("AL",I19)))</formula>
    </cfRule>
  </conditionalFormatting>
  <conditionalFormatting sqref="I24">
    <cfRule type="containsText" priority="638" operator="containsText" dxfId="9" text="AL">
      <formula>NOT(ISERROR(SEARCH("AL",I24)))</formula>
    </cfRule>
    <cfRule type="containsText" priority="639" operator="containsText" dxfId="6" text="SL">
      <formula>NOT(ISERROR(SEARCH("SL",I24)))</formula>
    </cfRule>
    <cfRule type="containsText" priority="640" operator="containsText" dxfId="5" text="NP">
      <formula>NOT(ISERROR(SEARCH("NP",I24)))</formula>
    </cfRule>
    <cfRule type="containsText" priority="641" operator="containsText" dxfId="4" text="SH">
      <formula>NOT(ISERROR(SEARCH("SH",I24)))</formula>
    </cfRule>
    <cfRule type="containsText" priority="642" operator="containsText" dxfId="3" text="RD">
      <formula>NOT(ISERROR(SEARCH("RD",I24)))</formula>
    </cfRule>
  </conditionalFormatting>
  <conditionalFormatting sqref="I10:L10">
    <cfRule type="cellIs" priority="419" operator="equal" dxfId="221">
      <formula>"CL"</formula>
    </cfRule>
    <cfRule type="containsText" priority="421" operator="containsText" dxfId="235" text="EC">
      <formula>NOT(ISERROR(SEARCH("EC",I10)))</formula>
    </cfRule>
    <cfRule type="containsText" priority="422" operator="containsText" dxfId="234" text="OTE">
      <formula>NOT(ISERROR(SEARCH("OTE",I10)))</formula>
    </cfRule>
  </conditionalFormatting>
  <conditionalFormatting sqref="I11:AF18 I19:L19 AJ11:AM18">
    <cfRule type="cellIs" priority="657" operator="equal" dxfId="233">
      <formula>"CL"</formula>
    </cfRule>
  </conditionalFormatting>
  <conditionalFormatting sqref="I19:L19">
    <cfRule type="cellIs" priority="658" operator="equal" dxfId="232">
      <formula>"NC"</formula>
    </cfRule>
  </conditionalFormatting>
  <conditionalFormatting sqref="I21:Q21">
    <cfRule type="cellIs" priority="650" operator="equal" dxfId="233">
      <formula>"CL"</formula>
    </cfRule>
    <cfRule type="cellIs" priority="651" operator="equal" dxfId="232">
      <formula>"NC"</formula>
    </cfRule>
  </conditionalFormatting>
  <conditionalFormatting sqref="I28:U28">
    <cfRule type="cellIs" priority="622" operator="equal" dxfId="233">
      <formula>"CL"</formula>
    </cfRule>
    <cfRule type="cellIs" priority="623" operator="equal" dxfId="232">
      <formula>"NC"</formula>
    </cfRule>
  </conditionalFormatting>
  <conditionalFormatting sqref="I29:W29">
    <cfRule type="containsText" priority="280" operator="containsText" dxfId="9" text="AL">
      <formula>NOT(ISERROR(SEARCH("AL",I29)))</formula>
    </cfRule>
    <cfRule type="containsText" priority="281" operator="containsText" dxfId="6" text="SL">
      <formula>NOT(ISERROR(SEARCH("SL",I29)))</formula>
    </cfRule>
    <cfRule type="containsText" priority="282" operator="containsText" dxfId="5" text="NP">
      <formula>NOT(ISERROR(SEARCH("NP",I29)))</formula>
    </cfRule>
    <cfRule type="containsText" priority="283" operator="containsText" dxfId="4" text="SH">
      <formula>NOT(ISERROR(SEARCH("SH",I29)))</formula>
    </cfRule>
    <cfRule type="containsText" priority="284" operator="containsText" dxfId="3" text="RD">
      <formula>NOT(ISERROR(SEARCH("RD",I29)))</formula>
    </cfRule>
    <cfRule type="cellIs" priority="285" operator="equal" dxfId="233">
      <formula>"CL"</formula>
    </cfRule>
    <cfRule type="cellIs" priority="286" operator="equal" dxfId="232">
      <formula>"NC"</formula>
    </cfRule>
  </conditionalFormatting>
  <conditionalFormatting sqref="I22:Y22">
    <cfRule type="cellIs" priority="601" operator="equal" dxfId="233">
      <formula>"CL"</formula>
    </cfRule>
    <cfRule type="cellIs" priority="602" operator="equal" dxfId="232">
      <formula>"NC"</formula>
    </cfRule>
  </conditionalFormatting>
  <conditionalFormatting sqref="I20:Z20">
    <cfRule type="cellIs" priority="608" operator="equal" dxfId="233">
      <formula>"CL"</formula>
    </cfRule>
    <cfRule type="cellIs" priority="609" operator="equal" dxfId="232">
      <formula>"NC"</formula>
    </cfRule>
  </conditionalFormatting>
  <conditionalFormatting sqref="I26:AA26">
    <cfRule type="cellIs" priority="629" operator="equal" dxfId="233">
      <formula>"CL"</formula>
    </cfRule>
    <cfRule type="cellIs" priority="630" operator="equal" dxfId="232">
      <formula>"NC"</formula>
    </cfRule>
  </conditionalFormatting>
  <conditionalFormatting sqref="I27:AB27">
    <cfRule type="cellIs" priority="615" operator="equal" dxfId="233">
      <formula>"CL"</formula>
    </cfRule>
    <cfRule type="cellIs" priority="616" operator="equal" dxfId="232">
      <formula>"NC"</formula>
    </cfRule>
  </conditionalFormatting>
  <conditionalFormatting sqref="I23:AC23">
    <cfRule type="cellIs" priority="594" operator="equal" dxfId="233">
      <formula>"CL"</formula>
    </cfRule>
    <cfRule type="cellIs" priority="595" operator="equal" dxfId="232">
      <formula>"NC"</formula>
    </cfRule>
  </conditionalFormatting>
  <conditionalFormatting sqref="I24:AC24">
    <cfRule type="cellIs" priority="643" operator="equal" dxfId="233">
      <formula>"CL"</formula>
    </cfRule>
    <cfRule type="cellIs" priority="644" operator="equal" dxfId="232">
      <formula>"NC"</formula>
    </cfRule>
  </conditionalFormatting>
  <conditionalFormatting sqref="I25:AF25 AJ25">
    <cfRule type="cellIs" priority="636" operator="equal" dxfId="233">
      <formula>"CL"</formula>
    </cfRule>
    <cfRule type="cellIs" priority="637" operator="equal" dxfId="232">
      <formula>"NC"</formula>
    </cfRule>
  </conditionalFormatting>
  <conditionalFormatting sqref="I29:AF29 AJ29:AL29">
    <cfRule type="cellIs" priority="496" operator="equal" dxfId="233">
      <formula>"CL"</formula>
    </cfRule>
    <cfRule type="cellIs" priority="497" operator="equal" dxfId="232">
      <formula>"NC"</formula>
    </cfRule>
  </conditionalFormatting>
  <conditionalFormatting sqref="I7:AF7 AG6:AM7">
    <cfRule type="expression" priority="1077" dxfId="157">
      <formula>(WEEKDAY($I1048525,5)&gt;1)</formula>
    </cfRule>
    <cfRule type="expression" priority="1078" dxfId="37">
      <formula>LEFT(#REF!,1)="H"</formula>
    </cfRule>
    <cfRule type="expression" priority="1079" dxfId="37">
      <formula>WEEKDAY(I$6,2)&gt;6</formula>
    </cfRule>
  </conditionalFormatting>
  <conditionalFormatting sqref="I8:AF9 J10:AF10 AJ8:AM10">
    <cfRule type="cellIs" priority="673" operator="equal" dxfId="233">
      <formula>"CL"</formula>
    </cfRule>
    <cfRule type="cellIs" priority="674" operator="equal" dxfId="232">
      <formula>"NC"</formula>
    </cfRule>
  </conditionalFormatting>
  <conditionalFormatting sqref="I8:AF9 AJ8:AM9">
    <cfRule type="cellIs" priority="405" operator="equal" dxfId="7">
      <formula>"GS"</formula>
    </cfRule>
  </conditionalFormatting>
  <conditionalFormatting sqref="I8:AF10 AJ8:AM10">
    <cfRule type="containsText" priority="423" operator="containsText" dxfId="9" text="AL">
      <formula>NOT(ISERROR(SEARCH("AL",I8)))</formula>
    </cfRule>
    <cfRule type="containsText" priority="424" operator="containsText" dxfId="6" text="SL">
      <formula>NOT(ISERROR(SEARCH("SL",I8)))</formula>
    </cfRule>
    <cfRule type="containsText" priority="425" operator="containsText" dxfId="5" text="NP">
      <formula>NOT(ISERROR(SEARCH("NP",I8)))</formula>
    </cfRule>
    <cfRule type="containsText" priority="426" operator="containsText" dxfId="4" text="SH">
      <formula>NOT(ISERROR(SEARCH("SH",I8)))</formula>
    </cfRule>
    <cfRule type="containsText" priority="427" operator="containsText" dxfId="3" text="RD">
      <formula>NOT(ISERROR(SEARCH("RD",I8)))</formula>
    </cfRule>
  </conditionalFormatting>
  <conditionalFormatting sqref="I10:AF18 AJ10:AM18">
    <cfRule type="cellIs" priority="420" operator="equal" dxfId="232">
      <formula>"NC"</formula>
    </cfRule>
  </conditionalFormatting>
  <conditionalFormatting sqref="I11:AF12 AJ11:AM12">
    <cfRule type="containsText" priority="763" operator="containsText" dxfId="23" text="AL">
      <formula>NOT(ISERROR(SEARCH("AL",I11)))</formula>
    </cfRule>
    <cfRule type="containsText" priority="764" operator="containsText" dxfId="6" text="SL">
      <formula>NOT(ISERROR(SEARCH("SL",I11)))</formula>
    </cfRule>
    <cfRule type="containsText" priority="765" operator="containsText" dxfId="5" text="NP">
      <formula>NOT(ISERROR(SEARCH("NP",I11)))</formula>
    </cfRule>
    <cfRule type="containsText" priority="766" operator="containsText" dxfId="4" text="SH">
      <formula>NOT(ISERROR(SEARCH("SH",I11)))</formula>
    </cfRule>
    <cfRule type="containsText" priority="767" operator="containsText" dxfId="3" text="RD">
      <formula>NOT(ISERROR(SEARCH("RD",I11)))</formula>
    </cfRule>
  </conditionalFormatting>
  <conditionalFormatting sqref="I14:AF14 AJ14:AM14">
    <cfRule type="cellIs" priority="770" operator="greaterThan" dxfId="22">
      <formula>9</formula>
    </cfRule>
  </conditionalFormatting>
  <conditionalFormatting sqref="I30:AF30 AJ30:AM30">
    <cfRule type="cellIs" priority="152" operator="equal" dxfId="221">
      <formula>"CL"</formula>
    </cfRule>
    <cfRule type="cellIs" priority="153" operator="equal" dxfId="7">
      <formula>"GS"</formula>
    </cfRule>
    <cfRule type="cellIs" priority="154" operator="equal" dxfId="232">
      <formula>"NC"</formula>
    </cfRule>
    <cfRule type="cellIs" priority="155" operator="equal" dxfId="7">
      <formula>"SG"</formula>
    </cfRule>
    <cfRule type="containsText" priority="156" operator="containsText" dxfId="235" text="EC">
      <formula>NOT(ISERROR(SEARCH("EC",I30)))</formula>
    </cfRule>
    <cfRule type="containsText" priority="157" operator="containsText" dxfId="234" text="OTE">
      <formula>NOT(ISERROR(SEARCH("OTE",I30)))</formula>
    </cfRule>
    <cfRule type="containsText" priority="158" operator="containsText" dxfId="9" text="AL">
      <formula>NOT(ISERROR(SEARCH("AL",I30)))</formula>
    </cfRule>
    <cfRule type="containsText" priority="159" operator="containsText" dxfId="6" text="SL">
      <formula>NOT(ISERROR(SEARCH("SL",I30)))</formula>
    </cfRule>
    <cfRule type="containsText" priority="160" operator="containsText" dxfId="5" text="NP">
      <formula>NOT(ISERROR(SEARCH("NP",I30)))</formula>
    </cfRule>
    <cfRule type="containsText" priority="161" operator="containsText" dxfId="4" text="SH">
      <formula>NOT(ISERROR(SEARCH("SH",I30)))</formula>
    </cfRule>
    <cfRule type="containsText" priority="162" operator="containsText" dxfId="3" text="RD">
      <formula>NOT(ISERROR(SEARCH("RD",I30)))</formula>
    </cfRule>
    <cfRule type="containsText" priority="163" operator="containsText" dxfId="234" text="OTE">
      <formula>NOT(ISERROR(SEARCH("OTE",I30)))</formula>
    </cfRule>
    <cfRule type="containsText" priority="164" operator="containsText" dxfId="9" text="AL">
      <formula>NOT(ISERROR(SEARCH("AL",I30)))</formula>
    </cfRule>
    <cfRule type="containsText" priority="165" operator="containsText" dxfId="6" text="SL">
      <formula>NOT(ISERROR(SEARCH("SL",I30)))</formula>
    </cfRule>
    <cfRule type="containsText" priority="166" operator="containsText" dxfId="5" text="NP">
      <formula>NOT(ISERROR(SEARCH("NP",I30)))</formula>
    </cfRule>
    <cfRule type="containsText" priority="167" operator="containsText" dxfId="4" text="SH">
      <formula>NOT(ISERROR(SEARCH("SH",I30)))</formula>
    </cfRule>
    <cfRule type="containsText" priority="168" operator="containsText" dxfId="3" text="RD">
      <formula>NOT(ISERROR(SEARCH("RD",I30)))</formula>
    </cfRule>
  </conditionalFormatting>
  <conditionalFormatting sqref="I31:AF31 AJ31:AM31">
    <cfRule type="cellIs" priority="196" operator="equal" dxfId="221">
      <formula>"CL"</formula>
    </cfRule>
    <cfRule type="cellIs" priority="197" operator="equal" dxfId="7">
      <formula>"GS"</formula>
    </cfRule>
    <cfRule type="cellIs" priority="198" operator="equal" dxfId="232">
      <formula>"NC"</formula>
    </cfRule>
    <cfRule type="cellIs" priority="199" operator="equal" dxfId="7">
      <formula>"SG"</formula>
    </cfRule>
    <cfRule type="containsText" priority="200" operator="containsText" dxfId="235" text="EC">
      <formula>NOT(ISERROR(SEARCH("EC",I31)))</formula>
    </cfRule>
    <cfRule type="containsText" priority="201" operator="containsText" dxfId="234" text="OTE">
      <formula>NOT(ISERROR(SEARCH("OTE",I31)))</formula>
    </cfRule>
    <cfRule type="containsText" priority="202" operator="containsText" dxfId="9" text="AL">
      <formula>NOT(ISERROR(SEARCH("AL",I31)))</formula>
    </cfRule>
    <cfRule type="containsText" priority="203" operator="containsText" dxfId="6" text="SL">
      <formula>NOT(ISERROR(SEARCH("SL",I31)))</formula>
    </cfRule>
    <cfRule type="containsText" priority="204" operator="containsText" dxfId="5" text="NP">
      <formula>NOT(ISERROR(SEARCH("NP",I31)))</formula>
    </cfRule>
    <cfRule type="containsText" priority="205" operator="containsText" dxfId="4" text="SH">
      <formula>NOT(ISERROR(SEARCH("SH",I31)))</formula>
    </cfRule>
    <cfRule type="containsText" priority="206" operator="containsText" dxfId="3" text="RD">
      <formula>NOT(ISERROR(SEARCH("RD",I31)))</formula>
    </cfRule>
    <cfRule type="containsText" priority="207" operator="containsText" dxfId="234" text="OTE">
      <formula>NOT(ISERROR(SEARCH("OTE",I31)))</formula>
    </cfRule>
    <cfRule type="containsText" priority="208" operator="containsText" dxfId="9" text="AL">
      <formula>NOT(ISERROR(SEARCH("AL",I31)))</formula>
    </cfRule>
    <cfRule type="containsText" priority="209" operator="containsText" dxfId="6" text="SL">
      <formula>NOT(ISERROR(SEARCH("SL",I31)))</formula>
    </cfRule>
    <cfRule type="containsText" priority="210" operator="containsText" dxfId="5" text="NP">
      <formula>NOT(ISERROR(SEARCH("NP",I31)))</formula>
    </cfRule>
    <cfRule type="containsText" priority="211" operator="containsText" dxfId="4" text="SH">
      <formula>NOT(ISERROR(SEARCH("SH",I31)))</formula>
    </cfRule>
    <cfRule type="containsText" priority="212" operator="containsText" dxfId="3" text="RD">
      <formula>NOT(ISERROR(SEARCH("RD",I31)))</formula>
    </cfRule>
  </conditionalFormatting>
  <conditionalFormatting sqref="I35:AF35 AJ35:AM35">
    <cfRule type="cellIs" priority="411" operator="greaterThan" dxfId="22">
      <formula>8</formula>
    </cfRule>
  </conditionalFormatting>
  <conditionalFormatting sqref="J19">
    <cfRule type="containsText" priority="652" operator="containsText" dxfId="9" text="AL">
      <formula>NOT(ISERROR(SEARCH("AL",J19)))</formula>
    </cfRule>
    <cfRule type="containsText" priority="653" operator="containsText" dxfId="6" text="SL">
      <formula>NOT(ISERROR(SEARCH("SL",J19)))</formula>
    </cfRule>
    <cfRule type="containsText" priority="654" operator="containsText" dxfId="5" text="NP">
      <formula>NOT(ISERROR(SEARCH("NP",J19)))</formula>
    </cfRule>
    <cfRule type="containsText" priority="655" operator="containsText" dxfId="4" text="SH">
      <formula>NOT(ISERROR(SEARCH("SH",J19)))</formula>
    </cfRule>
    <cfRule type="containsText" priority="656" operator="containsText" dxfId="3" text="RD">
      <formula>NOT(ISERROR(SEARCH("RD",J19)))</formula>
    </cfRule>
  </conditionalFormatting>
  <conditionalFormatting sqref="I11:AF12 J10:AF10 AJ10:AM12">
    <cfRule type="cellIs" priority="688" operator="equal" dxfId="7">
      <formula>"SG"</formula>
    </cfRule>
    <cfRule type="cellIs" priority="700" operator="equal" dxfId="23">
      <formula>"GS"</formula>
    </cfRule>
  </conditionalFormatting>
  <conditionalFormatting sqref="J10:AF10 AJ10:AM10">
    <cfRule type="cellIs" priority="358" operator="equal" dxfId="233">
      <formula>"CL"</formula>
    </cfRule>
    <cfRule type="cellIs" priority="689" operator="equal" dxfId="23">
      <formula>"GS"</formula>
    </cfRule>
    <cfRule type="cellIs" priority="696" operator="equal" dxfId="7">
      <formula>"GS"</formula>
    </cfRule>
    <cfRule type="containsText" priority="701" operator="containsText" dxfId="9" text="AL">
      <formula>NOT(ISERROR(SEARCH("AL",J10)))</formula>
    </cfRule>
    <cfRule type="containsText" priority="702" operator="containsText" dxfId="6" text="SL">
      <formula>NOT(ISERROR(SEARCH("SL",J10)))</formula>
    </cfRule>
    <cfRule type="containsText" priority="703" operator="containsText" dxfId="5" text="NP">
      <formula>NOT(ISERROR(SEARCH("NP",J10)))</formula>
    </cfRule>
    <cfRule type="containsText" priority="704" operator="containsText" dxfId="4" text="SH">
      <formula>NOT(ISERROR(SEARCH("SH",J10)))</formula>
    </cfRule>
    <cfRule type="containsText" priority="705" operator="containsText" dxfId="3" text="RD">
      <formula>NOT(ISERROR(SEARCH("RD",J10)))</formula>
    </cfRule>
  </conditionalFormatting>
  <conditionalFormatting sqref="J35:AF35 AJ35:AM35">
    <cfRule type="cellIs" priority="771" operator="greaterThan" dxfId="22">
      <formula>9</formula>
    </cfRule>
  </conditionalFormatting>
  <conditionalFormatting sqref="K21">
    <cfRule type="containsText" priority="645" operator="containsText" dxfId="9" text="AL">
      <formula>NOT(ISERROR(SEARCH("AL",K21)))</formula>
    </cfRule>
    <cfRule type="containsText" priority="646" operator="containsText" dxfId="6" text="SL">
      <formula>NOT(ISERROR(SEARCH("SL",K21)))</formula>
    </cfRule>
    <cfRule type="containsText" priority="647" operator="containsText" dxfId="5" text="NP">
      <formula>NOT(ISERROR(SEARCH("NP",K21)))</formula>
    </cfRule>
    <cfRule type="containsText" priority="648" operator="containsText" dxfId="4" text="SH">
      <formula>NOT(ISERROR(SEARCH("SH",K21)))</formula>
    </cfRule>
    <cfRule type="containsText" priority="649" operator="containsText" dxfId="3" text="RD">
      <formula>NOT(ISERROR(SEARCH("RD",K21)))</formula>
    </cfRule>
  </conditionalFormatting>
  <conditionalFormatting sqref="M28">
    <cfRule type="containsText" priority="617" operator="containsText" dxfId="9" text="AL">
      <formula>NOT(ISERROR(SEARCH("AL",M28)))</formula>
    </cfRule>
    <cfRule type="containsText" priority="618" operator="containsText" dxfId="6" text="SL">
      <formula>NOT(ISERROR(SEARCH("SL",M28)))</formula>
    </cfRule>
    <cfRule type="containsText" priority="619" operator="containsText" dxfId="5" text="NP">
      <formula>NOT(ISERROR(SEARCH("NP",M28)))</formula>
    </cfRule>
    <cfRule type="containsText" priority="620" operator="containsText" dxfId="4" text="SH">
      <formula>NOT(ISERROR(SEARCH("SH",M28)))</formula>
    </cfRule>
    <cfRule type="containsText" priority="621" operator="containsText" dxfId="3" text="RD">
      <formula>NOT(ISERROR(SEARCH("RD",M28)))</formula>
    </cfRule>
  </conditionalFormatting>
  <conditionalFormatting sqref="N10 P10">
    <cfRule type="cellIs" priority="274" operator="equal" dxfId="7">
      <formula>"GS"</formula>
    </cfRule>
    <cfRule type="containsText" priority="275" operator="containsText" dxfId="9" text="AL">
      <formula>NOT(ISERROR(SEARCH("AL",N10)))</formula>
    </cfRule>
    <cfRule type="containsText" priority="276" operator="containsText" dxfId="6" text="SL">
      <formula>NOT(ISERROR(SEARCH("SL",N10)))</formula>
    </cfRule>
    <cfRule type="containsText" priority="277" operator="containsText" dxfId="5" text="NP">
      <formula>NOT(ISERROR(SEARCH("NP",N10)))</formula>
    </cfRule>
    <cfRule type="containsText" priority="278" operator="containsText" dxfId="4" text="SH">
      <formula>NOT(ISERROR(SEARCH("SH",N10)))</formula>
    </cfRule>
    <cfRule type="containsText" priority="279" operator="containsText" dxfId="3" text="RD">
      <formula>NOT(ISERROR(SEARCH("RD",N10)))</formula>
    </cfRule>
  </conditionalFormatting>
  <conditionalFormatting sqref="N25">
    <cfRule type="containsText" priority="631" operator="containsText" dxfId="9" text="AL">
      <formula>NOT(ISERROR(SEARCH("AL",N25)))</formula>
    </cfRule>
    <cfRule type="containsText" priority="632" operator="containsText" dxfId="6" text="SL">
      <formula>NOT(ISERROR(SEARCH("SL",N25)))</formula>
    </cfRule>
    <cfRule type="containsText" priority="633" operator="containsText" dxfId="5" text="NP">
      <formula>NOT(ISERROR(SEARCH("NP",N25)))</formula>
    </cfRule>
    <cfRule type="containsText" priority="634" operator="containsText" dxfId="4" text="SH">
      <formula>NOT(ISERROR(SEARCH("SH",N25)))</formula>
    </cfRule>
    <cfRule type="containsText" priority="635" operator="containsText" dxfId="3" text="RD">
      <formula>NOT(ISERROR(SEARCH("RD",N25)))</formula>
    </cfRule>
  </conditionalFormatting>
  <conditionalFormatting sqref="N10:P10">
    <cfRule type="cellIs" priority="272" operator="equal" dxfId="233">
      <formula>"CL"</formula>
    </cfRule>
    <cfRule type="cellIs" priority="273" operator="equal" dxfId="232">
      <formula>"NC"</formula>
    </cfRule>
  </conditionalFormatting>
  <conditionalFormatting sqref="N10:X10">
    <cfRule type="cellIs" priority="299" operator="equal" dxfId="221">
      <formula>"CL"</formula>
    </cfRule>
    <cfRule type="containsText" priority="300" operator="containsText" dxfId="235" text="EC">
      <formula>NOT(ISERROR(SEARCH("EC",N10)))</formula>
    </cfRule>
    <cfRule type="containsText" priority="301" operator="containsText" dxfId="234" text="OTE">
      <formula>NOT(ISERROR(SEARCH("OTE",N10)))</formula>
    </cfRule>
  </conditionalFormatting>
  <conditionalFormatting sqref="N19:AF19">
    <cfRule type="cellIs" priority="566" operator="equal" dxfId="233">
      <formula>"CL"</formula>
    </cfRule>
    <cfRule type="cellIs" priority="567" operator="equal" dxfId="232">
      <formula>"NC"</formula>
    </cfRule>
  </conditionalFormatting>
  <conditionalFormatting sqref="O10">
    <cfRule type="containsText" priority="267" operator="containsText" dxfId="9" text="AL">
      <formula>NOT(ISERROR(SEARCH("AL",O10)))</formula>
    </cfRule>
    <cfRule type="containsText" priority="268" operator="containsText" dxfId="6" text="SL">
      <formula>NOT(ISERROR(SEARCH("SL",O10)))</formula>
    </cfRule>
    <cfRule type="containsText" priority="269" operator="containsText" dxfId="5" text="NP">
      <formula>NOT(ISERROR(SEARCH("NP",O10)))</formula>
    </cfRule>
    <cfRule type="containsText" priority="270" operator="containsText" dxfId="4" text="SH">
      <formula>NOT(ISERROR(SEARCH("SH",O10)))</formula>
    </cfRule>
    <cfRule type="containsText" priority="271" operator="containsText" dxfId="3" text="RD">
      <formula>NOT(ISERROR(SEARCH("RD",O10)))</formula>
    </cfRule>
    <cfRule type="containsText" priority="353" operator="containsText" dxfId="9" text="AL">
      <formula>NOT(ISERROR(SEARCH("AL",O10)))</formula>
    </cfRule>
    <cfRule type="containsText" priority="354" operator="containsText" dxfId="6" text="SL">
      <formula>NOT(ISERROR(SEARCH("SL",O10)))</formula>
    </cfRule>
    <cfRule type="containsText" priority="355" operator="containsText" dxfId="5" text="NP">
      <formula>NOT(ISERROR(SEARCH("NP",O10)))</formula>
    </cfRule>
    <cfRule type="containsText" priority="356" operator="containsText" dxfId="4" text="SH">
      <formula>NOT(ISERROR(SEARCH("SH",O10)))</formula>
    </cfRule>
    <cfRule type="containsText" priority="357" operator="containsText" dxfId="3" text="RD">
      <formula>NOT(ISERROR(SEARCH("RD",O10)))</formula>
    </cfRule>
    <cfRule type="cellIs" priority="359" operator="equal" dxfId="232">
      <formula>"NC"</formula>
    </cfRule>
  </conditionalFormatting>
  <conditionalFormatting sqref="O26">
    <cfRule type="containsText" priority="624" operator="containsText" dxfId="9" text="AL">
      <formula>NOT(ISERROR(SEARCH("AL",O26)))</formula>
    </cfRule>
    <cfRule type="containsText" priority="625" operator="containsText" dxfId="6" text="SL">
      <formula>NOT(ISERROR(SEARCH("SL",O26)))</formula>
    </cfRule>
    <cfRule type="containsText" priority="626" operator="containsText" dxfId="5" text="NP">
      <formula>NOT(ISERROR(SEARCH("NP",O26)))</formula>
    </cfRule>
    <cfRule type="containsText" priority="627" operator="containsText" dxfId="4" text="SH">
      <formula>NOT(ISERROR(SEARCH("SH",O26)))</formula>
    </cfRule>
    <cfRule type="containsText" priority="628" operator="containsText" dxfId="3" text="RD">
      <formula>NOT(ISERROR(SEARCH("RD",O26)))</formula>
    </cfRule>
  </conditionalFormatting>
  <conditionalFormatting sqref="P20">
    <cfRule type="containsText" priority="603" operator="containsText" dxfId="9" text="AL">
      <formula>NOT(ISERROR(SEARCH("AL",P20)))</formula>
    </cfRule>
    <cfRule type="containsText" priority="604" operator="containsText" dxfId="6" text="SL">
      <formula>NOT(ISERROR(SEARCH("SL",P20)))</formula>
    </cfRule>
    <cfRule type="containsText" priority="605" operator="containsText" dxfId="5" text="NP">
      <formula>NOT(ISERROR(SEARCH("NP",P20)))</formula>
    </cfRule>
    <cfRule type="containsText" priority="606" operator="containsText" dxfId="4" text="SH">
      <formula>NOT(ISERROR(SEARCH("SH",P20)))</formula>
    </cfRule>
    <cfRule type="containsText" priority="607" operator="containsText" dxfId="3" text="RD">
      <formula>NOT(ISERROR(SEARCH("RD",P20)))</formula>
    </cfRule>
  </conditionalFormatting>
  <conditionalFormatting sqref="Q27">
    <cfRule type="containsText" priority="610" operator="containsText" dxfId="9" text="AL">
      <formula>NOT(ISERROR(SEARCH("AL",Q27)))</formula>
    </cfRule>
    <cfRule type="containsText" priority="611" operator="containsText" dxfId="6" text="SL">
      <formula>NOT(ISERROR(SEARCH("SL",Q27)))</formula>
    </cfRule>
    <cfRule type="containsText" priority="612" operator="containsText" dxfId="5" text="NP">
      <formula>NOT(ISERROR(SEARCH("NP",Q27)))</formula>
    </cfRule>
    <cfRule type="containsText" priority="613" operator="containsText" dxfId="4" text="SH">
      <formula>NOT(ISERROR(SEARCH("SH",Q27)))</formula>
    </cfRule>
    <cfRule type="containsText" priority="614" operator="containsText" dxfId="3" text="RD">
      <formula>NOT(ISERROR(SEARCH("RD",Q27)))</formula>
    </cfRule>
  </conditionalFormatting>
  <conditionalFormatting sqref="R21">
    <cfRule type="containsText" priority="582" operator="containsText" dxfId="9" text="AL">
      <formula>NOT(ISERROR(SEARCH("AL",R21)))</formula>
    </cfRule>
    <cfRule type="containsText" priority="583" operator="containsText" dxfId="6" text="SL">
      <formula>NOT(ISERROR(SEARCH("SL",R21)))</formula>
    </cfRule>
    <cfRule type="containsText" priority="584" operator="containsText" dxfId="5" text="NP">
      <formula>NOT(ISERROR(SEARCH("NP",R21)))</formula>
    </cfRule>
    <cfRule type="containsText" priority="585" operator="containsText" dxfId="4" text="SH">
      <formula>NOT(ISERROR(SEARCH("SH",R21)))</formula>
    </cfRule>
    <cfRule type="containsText" priority="586" operator="containsText" dxfId="3" text="RD">
      <formula>NOT(ISERROR(SEARCH("RD",R21)))</formula>
    </cfRule>
  </conditionalFormatting>
  <conditionalFormatting sqref="R21:Y21">
    <cfRule type="cellIs" priority="587" operator="equal" dxfId="233">
      <formula>"CL"</formula>
    </cfRule>
    <cfRule type="cellIs" priority="588" operator="equal" dxfId="232">
      <formula>"NC"</formula>
    </cfRule>
  </conditionalFormatting>
  <conditionalFormatting sqref="T25">
    <cfRule type="cellIs" priority="662" operator="equal" dxfId="579">
      <formula>"NC"</formula>
    </cfRule>
  </conditionalFormatting>
  <conditionalFormatting sqref="U22">
    <cfRule type="containsText" priority="596" operator="containsText" dxfId="9" text="AL">
      <formula>NOT(ISERROR(SEARCH("AL",U22)))</formula>
    </cfRule>
    <cfRule type="containsText" priority="597" operator="containsText" dxfId="6" text="SL">
      <formula>NOT(ISERROR(SEARCH("SL",U22)))</formula>
    </cfRule>
    <cfRule type="containsText" priority="598" operator="containsText" dxfId="5" text="NP">
      <formula>NOT(ISERROR(SEARCH("NP",U22)))</formula>
    </cfRule>
    <cfRule type="containsText" priority="599" operator="containsText" dxfId="4" text="SH">
      <formula>NOT(ISERROR(SEARCH("SH",U22)))</formula>
    </cfRule>
    <cfRule type="containsText" priority="600" operator="containsText" dxfId="3" text="RD">
      <formula>NOT(ISERROR(SEARCH("RD",U22)))</formula>
    </cfRule>
  </conditionalFormatting>
  <conditionalFormatting sqref="V28:AF28 AJ28:AM28">
    <cfRule type="containsText" priority="575" operator="containsText" dxfId="9" text="AL">
      <formula>NOT(ISERROR(SEARCH("AL",V28)))</formula>
    </cfRule>
    <cfRule type="containsText" priority="576" operator="containsText" dxfId="6" text="SL">
      <formula>NOT(ISERROR(SEARCH("SL",V28)))</formula>
    </cfRule>
    <cfRule type="containsText" priority="577" operator="containsText" dxfId="5" text="NP">
      <formula>NOT(ISERROR(SEARCH("NP",V28)))</formula>
    </cfRule>
    <cfRule type="containsText" priority="578" operator="containsText" dxfId="4" text="SH">
      <formula>NOT(ISERROR(SEARCH("SH",V28)))</formula>
    </cfRule>
    <cfRule type="containsText" priority="579" operator="containsText" dxfId="3" text="RD">
      <formula>NOT(ISERROR(SEARCH("RD",V28)))</formula>
    </cfRule>
    <cfRule type="cellIs" priority="580" operator="equal" dxfId="233">
      <formula>"CL"</formula>
    </cfRule>
    <cfRule type="cellIs" priority="581" operator="equal" dxfId="232">
      <formula>"NC"</formula>
    </cfRule>
  </conditionalFormatting>
  <conditionalFormatting sqref="I19 I20:O20 I21:J21 I22:T22 I23:X23 I25:M25 I26:N26 I27:P27 I28:L28 J24:AC24 K19:L19 L21:Q21 N19:X19 N28:U28 O25:AF25 P26:AA26 Q20:Z20 R27:AB27 S21:Y21 V22:Y22 X28:AE28 Z19:AF19 Z23:AC23 AA21:AF22 AB20:AE20 AD26:AF27 AE23:AF23 AF24 AJ20:AM20 AJ22:AK22 AJ23 AJ24:AM24 AJ25 AJ26:AM28 AK19:AM19 AK21:AM21 AL25:AM25 AM22:AM23">
    <cfRule type="cellIs" priority="660" operator="equal" dxfId="7">
      <formula>"GS"</formula>
    </cfRule>
  </conditionalFormatting>
  <conditionalFormatting sqref="Y19">
    <cfRule type="containsText" priority="561" operator="containsText" dxfId="9" text="AL">
      <formula>NOT(ISERROR(SEARCH("AL",Y19)))</formula>
    </cfRule>
    <cfRule type="containsText" priority="562" operator="containsText" dxfId="6" text="SL">
      <formula>NOT(ISERROR(SEARCH("SL",Y19)))</formula>
    </cfRule>
    <cfRule type="containsText" priority="563" operator="containsText" dxfId="5" text="NP">
      <formula>NOT(ISERROR(SEARCH("NP",Y19)))</formula>
    </cfRule>
    <cfRule type="containsText" priority="564" operator="containsText" dxfId="4" text="SH">
      <formula>NOT(ISERROR(SEARCH("SH",Y19)))</formula>
    </cfRule>
    <cfRule type="containsText" priority="565" operator="containsText" dxfId="3" text="RD">
      <formula>NOT(ISERROR(SEARCH("RD",Y19)))</formula>
    </cfRule>
  </conditionalFormatting>
  <conditionalFormatting sqref="Y23">
    <cfRule type="containsText" priority="589" operator="containsText" dxfId="9" text="AL">
      <formula>NOT(ISERROR(SEARCH("AL",Y23)))</formula>
    </cfRule>
    <cfRule type="containsText" priority="590" operator="containsText" dxfId="6" text="SL">
      <formula>NOT(ISERROR(SEARCH("SL",Y23)))</formula>
    </cfRule>
    <cfRule type="containsText" priority="591" operator="containsText" dxfId="5" text="NP">
      <formula>NOT(ISERROR(SEARCH("NP",Y23)))</formula>
    </cfRule>
    <cfRule type="containsText" priority="592" operator="containsText" dxfId="4" text="SH">
      <formula>NOT(ISERROR(SEARCH("SH",Y23)))</formula>
    </cfRule>
    <cfRule type="containsText" priority="593" operator="containsText" dxfId="3" text="RD">
      <formula>NOT(ISERROR(SEARCH("RD",Y23)))</formula>
    </cfRule>
  </conditionalFormatting>
  <conditionalFormatting sqref="Z21:Z22">
    <cfRule type="containsText" priority="568" operator="containsText" dxfId="9" text="AL">
      <formula>NOT(ISERROR(SEARCH("AL",Z21)))</formula>
    </cfRule>
    <cfRule type="containsText" priority="569" operator="containsText" dxfId="6" text="SL">
      <formula>NOT(ISERROR(SEARCH("SL",Z21)))</formula>
    </cfRule>
    <cfRule type="containsText" priority="570" operator="containsText" dxfId="5" text="NP">
      <formula>NOT(ISERROR(SEARCH("NP",Z21)))</formula>
    </cfRule>
    <cfRule type="containsText" priority="571" operator="containsText" dxfId="4" text="SH">
      <formula>NOT(ISERROR(SEARCH("SH",Z21)))</formula>
    </cfRule>
    <cfRule type="containsText" priority="572" operator="containsText" dxfId="3" text="RD">
      <formula>NOT(ISERROR(SEARCH("RD",Z21)))</formula>
    </cfRule>
    <cfRule type="cellIs" priority="573" operator="equal" dxfId="233">
      <formula>"CL"</formula>
    </cfRule>
    <cfRule type="cellIs" priority="574" operator="equal" dxfId="232">
      <formula>"NC"</formula>
    </cfRule>
  </conditionalFormatting>
  <conditionalFormatting sqref="AA20">
    <cfRule type="containsText" priority="540" operator="containsText" dxfId="9" text="AL">
      <formula>NOT(ISERROR(SEARCH("AL",AA20)))</formula>
    </cfRule>
    <cfRule type="containsText" priority="541" operator="containsText" dxfId="6" text="SL">
      <formula>NOT(ISERROR(SEARCH("SL",AA20)))</formula>
    </cfRule>
    <cfRule type="containsText" priority="542" operator="containsText" dxfId="5" text="NP">
      <formula>NOT(ISERROR(SEARCH("NP",AA20)))</formula>
    </cfRule>
    <cfRule type="containsText" priority="543" operator="containsText" dxfId="4" text="SH">
      <formula>NOT(ISERROR(SEARCH("SH",AA20)))</formula>
    </cfRule>
    <cfRule type="containsText" priority="544" operator="containsText" dxfId="3" text="RD">
      <formula>NOT(ISERROR(SEARCH("RD",AA20)))</formula>
    </cfRule>
  </conditionalFormatting>
  <conditionalFormatting sqref="AA10:AC10">
    <cfRule type="containsText" priority="332" operator="containsText" dxfId="9" text="AL">
      <formula>NOT(ISERROR(SEARCH("AL",AA10)))</formula>
    </cfRule>
    <cfRule type="containsText" priority="333" operator="containsText" dxfId="6" text="SL">
      <formula>NOT(ISERROR(SEARCH("SL",AA10)))</formula>
    </cfRule>
    <cfRule type="containsText" priority="334" operator="containsText" dxfId="5" text="NP">
      <formula>NOT(ISERROR(SEARCH("NP",AA10)))</formula>
    </cfRule>
    <cfRule type="containsText" priority="335" operator="containsText" dxfId="4" text="SH">
      <formula>NOT(ISERROR(SEARCH("SH",AA10)))</formula>
    </cfRule>
    <cfRule type="containsText" priority="336" operator="containsText" dxfId="3" text="RD">
      <formula>NOT(ISERROR(SEARCH("RD",AA10)))</formula>
    </cfRule>
    <cfRule type="cellIs" priority="337" operator="equal" dxfId="233">
      <formula>"CL"</formula>
    </cfRule>
    <cfRule type="cellIs" priority="338" operator="equal" dxfId="232">
      <formula>"NC"</formula>
    </cfRule>
  </conditionalFormatting>
  <conditionalFormatting sqref="AA26:AC26">
    <cfRule type="containsText" priority="512" operator="containsText" dxfId="9" text="AL">
      <formula>NOT(ISERROR(SEARCH("AL",AA26)))</formula>
    </cfRule>
    <cfRule type="containsText" priority="513" operator="containsText" dxfId="6" text="SL">
      <formula>NOT(ISERROR(SEARCH("SL",AA26)))</formula>
    </cfRule>
    <cfRule type="containsText" priority="514" operator="containsText" dxfId="5" text="NP">
      <formula>NOT(ISERROR(SEARCH("NP",AA26)))</formula>
    </cfRule>
    <cfRule type="containsText" priority="515" operator="containsText" dxfId="4" text="SH">
      <formula>NOT(ISERROR(SEARCH("SH",AA26)))</formula>
    </cfRule>
    <cfRule type="containsText" priority="516" operator="containsText" dxfId="3" text="RD">
      <formula>NOT(ISERROR(SEARCH("RD",AA26)))</formula>
    </cfRule>
  </conditionalFormatting>
  <conditionalFormatting sqref="AA20:AE20">
    <cfRule type="cellIs" priority="545" operator="equal" dxfId="233">
      <formula>"CL"</formula>
    </cfRule>
    <cfRule type="cellIs" priority="546" operator="equal" dxfId="232">
      <formula>"NC"</formula>
    </cfRule>
  </conditionalFormatting>
  <conditionalFormatting sqref="AA22:AF22 AJ22:AK22">
    <cfRule type="cellIs" priority="659" operator="equal" dxfId="233">
      <formula>"CL"</formula>
    </cfRule>
    <cfRule type="cellIs" priority="661" operator="equal" dxfId="232">
      <formula>"NC"</formula>
    </cfRule>
  </conditionalFormatting>
  <conditionalFormatting sqref="AA21:AF21 AJ21:AM21">
    <cfRule type="cellIs" priority="524" operator="equal" dxfId="233">
      <formula>"CL"</formula>
    </cfRule>
    <cfRule type="cellIs" priority="525" operator="equal" dxfId="232">
      <formula>"NC"</formula>
    </cfRule>
  </conditionalFormatting>
  <conditionalFormatting sqref="AA26:AF26 AJ26:AM26">
    <cfRule type="cellIs" priority="517" operator="equal" dxfId="233">
      <formula>"CL"</formula>
    </cfRule>
    <cfRule type="cellIs" priority="518" operator="equal" dxfId="232">
      <formula>"NC"</formula>
    </cfRule>
  </conditionalFormatting>
  <conditionalFormatting sqref="AB10">
    <cfRule type="containsText" priority="260" operator="containsText" dxfId="9" text="AL">
      <formula>NOT(ISERROR(SEARCH("AL",AB10)))</formula>
    </cfRule>
    <cfRule type="containsText" priority="261" operator="containsText" dxfId="6" text="SL">
      <formula>NOT(ISERROR(SEARCH("SL",AB10)))</formula>
    </cfRule>
    <cfRule type="containsText" priority="262" operator="containsText" dxfId="5" text="NP">
      <formula>NOT(ISERROR(SEARCH("NP",AB10)))</formula>
    </cfRule>
    <cfRule type="containsText" priority="263" operator="containsText" dxfId="4" text="SH">
      <formula>NOT(ISERROR(SEARCH("SH",AB10)))</formula>
    </cfRule>
    <cfRule type="containsText" priority="264" operator="containsText" dxfId="3" text="RD">
      <formula>NOT(ISERROR(SEARCH("RD",AB10)))</formula>
    </cfRule>
    <cfRule type="cellIs" priority="265" operator="equal" dxfId="233">
      <formula>"CL"</formula>
    </cfRule>
    <cfRule type="cellIs" priority="266" operator="equal" dxfId="232">
      <formula>"NC"</formula>
    </cfRule>
    <cfRule type="cellIs" priority="296" operator="equal" dxfId="221">
      <formula>"CL"</formula>
    </cfRule>
    <cfRule type="containsText" priority="297" operator="containsText" dxfId="235" text="EC">
      <formula>NOT(ISERROR(SEARCH("EC",AB10)))</formula>
    </cfRule>
    <cfRule type="containsText" priority="298" operator="containsText" dxfId="234" text="OTE">
      <formula>NOT(ISERROR(SEARCH("OTE",AB10)))</formula>
    </cfRule>
  </conditionalFormatting>
  <conditionalFormatting sqref="AC26">
    <cfRule type="cellIs" priority="252" operator="equal" dxfId="233">
      <formula>"CL"</formula>
    </cfRule>
    <cfRule type="cellIs" priority="253" operator="equal" dxfId="232">
      <formula>"NC"</formula>
    </cfRule>
    <cfRule type="cellIs" priority="254" operator="equal" dxfId="7">
      <formula>"GS"</formula>
    </cfRule>
    <cfRule type="containsText" priority="255" operator="containsText" dxfId="9" text="AL">
      <formula>NOT(ISERROR(SEARCH("AL",AC26)))</formula>
    </cfRule>
    <cfRule type="containsText" priority="256" operator="containsText" dxfId="6" text="SL">
      <formula>NOT(ISERROR(SEARCH("SL",AC26)))</formula>
    </cfRule>
    <cfRule type="containsText" priority="257" operator="containsText" dxfId="5" text="NP">
      <formula>NOT(ISERROR(SEARCH("NP",AC26)))</formula>
    </cfRule>
    <cfRule type="containsText" priority="258" operator="containsText" dxfId="4" text="SH">
      <formula>NOT(ISERROR(SEARCH("SH",AC26)))</formula>
    </cfRule>
    <cfRule type="containsText" priority="259" operator="containsText" dxfId="3" text="RD">
      <formula>NOT(ISERROR(SEARCH("RD",AC26)))</formula>
    </cfRule>
  </conditionalFormatting>
  <conditionalFormatting sqref="AC27">
    <cfRule type="containsText" priority="505" operator="containsText" dxfId="9" text="AL">
      <formula>NOT(ISERROR(SEARCH("AL",AC27)))</formula>
    </cfRule>
    <cfRule type="containsText" priority="506" operator="containsText" dxfId="6" text="SL">
      <formula>NOT(ISERROR(SEARCH("SL",AC27)))</formula>
    </cfRule>
    <cfRule type="containsText" priority="507" operator="containsText" dxfId="5" text="NP">
      <formula>NOT(ISERROR(SEARCH("NP",AC27)))</formula>
    </cfRule>
    <cfRule type="containsText" priority="508" operator="containsText" dxfId="4" text="SH">
      <formula>NOT(ISERROR(SEARCH("SH",AC27)))</formula>
    </cfRule>
    <cfRule type="containsText" priority="509" operator="containsText" dxfId="3" text="RD">
      <formula>NOT(ISERROR(SEARCH("RD",AC27)))</formula>
    </cfRule>
  </conditionalFormatting>
  <conditionalFormatting sqref="AC27:AF27 AJ27:AM27">
    <cfRule type="cellIs" priority="510" operator="equal" dxfId="233">
      <formula>"CL"</formula>
    </cfRule>
    <cfRule type="cellIs" priority="511" operator="equal" dxfId="232">
      <formula>"NC"</formula>
    </cfRule>
  </conditionalFormatting>
  <conditionalFormatting sqref="AD23">
    <cfRule type="containsText" priority="547" operator="containsText" dxfId="9" text="AL">
      <formula>NOT(ISERROR(SEARCH("AL",AD23)))</formula>
    </cfRule>
    <cfRule type="containsText" priority="548" operator="containsText" dxfId="6" text="SL">
      <formula>NOT(ISERROR(SEARCH("SL",AD23)))</formula>
    </cfRule>
    <cfRule type="containsText" priority="549" operator="containsText" dxfId="5" text="NP">
      <formula>NOT(ISERROR(SEARCH("NP",AD23)))</formula>
    </cfRule>
    <cfRule type="containsText" priority="550" operator="containsText" dxfId="4" text="SH">
      <formula>NOT(ISERROR(SEARCH("SH",AD23)))</formula>
    </cfRule>
    <cfRule type="containsText" priority="551" operator="containsText" dxfId="3" text="RD">
      <formula>NOT(ISERROR(SEARCH("RD",AD23)))</formula>
    </cfRule>
  </conditionalFormatting>
  <conditionalFormatting sqref="AD24:AE24">
    <cfRule type="containsText" priority="554" operator="containsText" dxfId="9" text="AL">
      <formula>NOT(ISERROR(SEARCH("AL",AD24)))</formula>
    </cfRule>
    <cfRule type="containsText" priority="555" operator="containsText" dxfId="6" text="SL">
      <formula>NOT(ISERROR(SEARCH("SL",AD24)))</formula>
    </cfRule>
    <cfRule type="containsText" priority="556" operator="containsText" dxfId="5" text="NP">
      <formula>NOT(ISERROR(SEARCH("NP",AD24)))</formula>
    </cfRule>
    <cfRule type="containsText" priority="557" operator="containsText" dxfId="4" text="SH">
      <formula>NOT(ISERROR(SEARCH("SH",AD24)))</formula>
    </cfRule>
    <cfRule type="containsText" priority="558" operator="containsText" dxfId="3" text="RD">
      <formula>NOT(ISERROR(SEARCH("RD",AD24)))</formula>
    </cfRule>
  </conditionalFormatting>
  <conditionalFormatting sqref="AD10:AF10 AJ10">
    <cfRule type="cellIs" priority="293" operator="equal" dxfId="221">
      <formula>"CL"</formula>
    </cfRule>
    <cfRule type="containsText" priority="294" operator="containsText" dxfId="235" text="EC">
      <formula>NOT(ISERROR(SEARCH("EC",AD10)))</formula>
    </cfRule>
    <cfRule type="containsText" priority="295" operator="containsText" dxfId="234" text="OTE">
      <formula>NOT(ISERROR(SEARCH("OTE",AD10)))</formula>
    </cfRule>
  </conditionalFormatting>
  <conditionalFormatting sqref="AD23:AF23 AJ23">
    <cfRule type="cellIs" priority="552" operator="equal" dxfId="233">
      <formula>"CL"</formula>
    </cfRule>
    <cfRule type="cellIs" priority="553" operator="equal" dxfId="232">
      <formula>"NC"</formula>
    </cfRule>
  </conditionalFormatting>
  <conditionalFormatting sqref="AD24:AF24 AJ24:AM24">
    <cfRule type="cellIs" priority="559" operator="equal" dxfId="233">
      <formula>"CL"</formula>
    </cfRule>
    <cfRule type="cellIs" priority="560" operator="equal" dxfId="232">
      <formula>"NC"</formula>
    </cfRule>
  </conditionalFormatting>
  <conditionalFormatting sqref="AE29">
    <cfRule type="containsText" priority="491" operator="containsText" dxfId="9" text="AL">
      <formula>NOT(ISERROR(SEARCH("AL",AE29)))</formula>
    </cfRule>
    <cfRule type="containsText" priority="492" operator="containsText" dxfId="6" text="SL">
      <formula>NOT(ISERROR(SEARCH("SL",AE29)))</formula>
    </cfRule>
    <cfRule type="containsText" priority="493" operator="containsText" dxfId="5" text="NP">
      <formula>NOT(ISERROR(SEARCH("NP",AE29)))</formula>
    </cfRule>
    <cfRule type="containsText" priority="494" operator="containsText" dxfId="4" text="SH">
      <formula>NOT(ISERROR(SEARCH("SH",AE29)))</formula>
    </cfRule>
    <cfRule type="containsText" priority="495" operator="containsText" dxfId="3" text="RD">
      <formula>NOT(ISERROR(SEARCH("RD",AE29)))</formula>
    </cfRule>
  </conditionalFormatting>
  <conditionalFormatting sqref="AF20">
    <cfRule type="containsText" priority="533" operator="containsText" dxfId="9" text="AL">
      <formula>NOT(ISERROR(SEARCH("AL",AF20)))</formula>
    </cfRule>
    <cfRule type="containsText" priority="534" operator="containsText" dxfId="6" text="SL">
      <formula>NOT(ISERROR(SEARCH("SL",AF20)))</formula>
    </cfRule>
    <cfRule type="containsText" priority="535" operator="containsText" dxfId="5" text="NP">
      <formula>NOT(ISERROR(SEARCH("NP",AF20)))</formula>
    </cfRule>
    <cfRule type="containsText" priority="536" operator="containsText" dxfId="4" text="SH">
      <formula>NOT(ISERROR(SEARCH("SH",AF20)))</formula>
    </cfRule>
    <cfRule type="containsText" priority="537" operator="containsText" dxfId="3" text="RD">
      <formula>NOT(ISERROR(SEARCH("RD",AF20)))</formula>
    </cfRule>
  </conditionalFormatting>
  <conditionalFormatting sqref="AF28">
    <cfRule type="containsText" priority="498" operator="containsText" dxfId="9" text="AL">
      <formula>NOT(ISERROR(SEARCH("AL",AF28)))</formula>
    </cfRule>
    <cfRule type="containsText" priority="499" operator="containsText" dxfId="6" text="SL">
      <formula>NOT(ISERROR(SEARCH("SL",AF28)))</formula>
    </cfRule>
    <cfRule type="containsText" priority="500" operator="containsText" dxfId="5" text="NP">
      <formula>NOT(ISERROR(SEARCH("NP",AF28)))</formula>
    </cfRule>
    <cfRule type="containsText" priority="501" operator="containsText" dxfId="4" text="SH">
      <formula>NOT(ISERROR(SEARCH("SH",AF28)))</formula>
    </cfRule>
    <cfRule type="containsText" priority="502" operator="containsText" dxfId="3" text="RD">
      <formula>NOT(ISERROR(SEARCH("RD",AF28)))</formula>
    </cfRule>
  </conditionalFormatting>
  <conditionalFormatting sqref="AF20 AJ20:AM20">
    <cfRule type="cellIs" priority="538" operator="equal" dxfId="233">
      <formula>"CL"</formula>
    </cfRule>
    <cfRule type="cellIs" priority="539" operator="equal" dxfId="232">
      <formula>"NC"</formula>
    </cfRule>
  </conditionalFormatting>
  <conditionalFormatting sqref="AF28 AJ28:AM28">
    <cfRule type="cellIs" priority="503" operator="equal" dxfId="233">
      <formula>"CL"</formula>
    </cfRule>
    <cfRule type="cellIs" priority="504" operator="equal" dxfId="232">
      <formula>"NC"</formula>
    </cfRule>
  </conditionalFormatting>
  <conditionalFormatting sqref="AJ19">
    <cfRule type="containsText" priority="526" operator="containsText" dxfId="9" text="AL">
      <formula>NOT(ISERROR(SEARCH("AL",AJ19)))</formula>
    </cfRule>
    <cfRule type="containsText" priority="527" operator="containsText" dxfId="6" text="SL">
      <formula>NOT(ISERROR(SEARCH("SL",AJ19)))</formula>
    </cfRule>
    <cfRule type="containsText" priority="528" operator="containsText" dxfId="5" text="NP">
      <formula>NOT(ISERROR(SEARCH("NP",AJ19)))</formula>
    </cfRule>
    <cfRule type="containsText" priority="529" operator="containsText" dxfId="4" text="SH">
      <formula>NOT(ISERROR(SEARCH("SH",AJ19)))</formula>
    </cfRule>
    <cfRule type="containsText" priority="530" operator="containsText" dxfId="3" text="RD">
      <formula>NOT(ISERROR(SEARCH("RD",AJ19)))</formula>
    </cfRule>
  </conditionalFormatting>
  <conditionalFormatting sqref="AJ21">
    <cfRule type="containsText" priority="519" operator="containsText" dxfId="9" text="AL">
      <formula>NOT(ISERROR(SEARCH("AL",AJ21)))</formula>
    </cfRule>
    <cfRule type="containsText" priority="520" operator="containsText" dxfId="6" text="SL">
      <formula>NOT(ISERROR(SEARCH("SL",AJ21)))</formula>
    </cfRule>
    <cfRule type="containsText" priority="521" operator="containsText" dxfId="5" text="NP">
      <formula>NOT(ISERROR(SEARCH("NP",AJ21)))</formula>
    </cfRule>
    <cfRule type="containsText" priority="522" operator="containsText" dxfId="4" text="SH">
      <formula>NOT(ISERROR(SEARCH("SH",AJ21)))</formula>
    </cfRule>
    <cfRule type="containsText" priority="523" operator="containsText" dxfId="3" text="RD">
      <formula>NOT(ISERROR(SEARCH("RD",AJ21)))</formula>
    </cfRule>
  </conditionalFormatting>
  <conditionalFormatting sqref="AG46">
    <cfRule type="cellIs" priority="213" operator="equal" dxfId="8">
      <formula>"CL"</formula>
    </cfRule>
    <cfRule type="cellIs" priority="214" operator="equal" dxfId="7">
      <formula>"GS"</formula>
    </cfRule>
    <cfRule type="containsText" priority="215" operator="containsText" dxfId="6" text="SL">
      <formula>NOT(ISERROR(SEARCH("SL",AG46)))</formula>
    </cfRule>
    <cfRule type="containsText" priority="216" operator="containsText" dxfId="5" text="NP">
      <formula>NOT(ISERROR(SEARCH("NP",AG46)))</formula>
    </cfRule>
    <cfRule type="containsText" priority="217" operator="containsText" dxfId="4" text="SH">
      <formula>NOT(ISERROR(SEARCH("SH",AG46)))</formula>
    </cfRule>
    <cfRule type="containsText" priority="218" operator="containsText" dxfId="3" text="RD">
      <formula>NOT(ISERROR(SEARCH("RD",AG46)))</formula>
    </cfRule>
    <cfRule type="cellIs" priority="219" operator="equal" dxfId="74">
      <formula>"OTN"</formula>
    </cfRule>
    <cfRule type="cellIs" priority="220" operator="equal" dxfId="3">
      <formula>"SR"</formula>
    </cfRule>
    <cfRule type="cellIs" priority="221" operator="equal" dxfId="7">
      <formula>"SG"</formula>
    </cfRule>
    <cfRule type="containsText" priority="222" operator="containsText" dxfId="9" text="AL">
      <formula>NOT(ISERROR(SEARCH("AL",AG46)))</formula>
    </cfRule>
    <cfRule type="containsText" priority="224" operator="containsText" dxfId="6" text="SL">
      <formula>NOT(ISERROR(SEARCH("SL",AG46)))</formula>
    </cfRule>
    <cfRule type="containsText" priority="225" operator="containsText" dxfId="5" text="NP">
      <formula>NOT(ISERROR(SEARCH("NP",AG46)))</formula>
    </cfRule>
    <cfRule type="containsText" priority="226" operator="containsText" dxfId="4" text="SH">
      <formula>NOT(ISERROR(SEARCH("SH",AG46)))</formula>
    </cfRule>
    <cfRule type="containsText" priority="227" operator="containsText" dxfId="3" text="RD">
      <formula>NOT(ISERROR(SEARCH("RD",AG46)))</formula>
    </cfRule>
  </conditionalFormatting>
  <conditionalFormatting sqref="AJ19:AM19">
    <cfRule type="cellIs" priority="531" operator="equal" dxfId="233">
      <formula>"CL"</formula>
    </cfRule>
    <cfRule type="cellIs" priority="532" operator="equal" dxfId="232">
      <formula>"NC"</formula>
    </cfRule>
  </conditionalFormatting>
  <conditionalFormatting sqref="AK23">
    <cfRule type="containsText" priority="442" operator="containsText" dxfId="9" text="AL">
      <formula>NOT(ISERROR(SEARCH("AL",AK23)))</formula>
    </cfRule>
    <cfRule type="containsText" priority="443" operator="containsText" dxfId="6" text="SL">
      <formula>NOT(ISERROR(SEARCH("SL",AK23)))</formula>
    </cfRule>
    <cfRule type="containsText" priority="444" operator="containsText" dxfId="5" text="NP">
      <formula>NOT(ISERROR(SEARCH("NP",AK23)))</formula>
    </cfRule>
    <cfRule type="containsText" priority="445" operator="containsText" dxfId="4" text="SH">
      <formula>NOT(ISERROR(SEARCH("SH",AK23)))</formula>
    </cfRule>
    <cfRule type="containsText" priority="446" operator="containsText" dxfId="3" text="RD">
      <formula>NOT(ISERROR(SEARCH("RD",AK23)))</formula>
    </cfRule>
    <cfRule type="cellIs" priority="447" operator="equal" dxfId="233">
      <formula>"CL"</formula>
    </cfRule>
    <cfRule type="cellIs" priority="448" operator="equal" dxfId="232">
      <formula>"NC"</formula>
    </cfRule>
  </conditionalFormatting>
  <conditionalFormatting sqref="AK25">
    <cfRule type="containsText" priority="435" operator="containsText" dxfId="9" text="AL">
      <formula>NOT(ISERROR(SEARCH("AL",AK25)))</formula>
    </cfRule>
    <cfRule type="containsText" priority="436" operator="containsText" dxfId="6" text="SL">
      <formula>NOT(ISERROR(SEARCH("SL",AK25)))</formula>
    </cfRule>
    <cfRule type="containsText" priority="437" operator="containsText" dxfId="5" text="NP">
      <formula>NOT(ISERROR(SEARCH("NP",AK25)))</formula>
    </cfRule>
    <cfRule type="containsText" priority="438" operator="containsText" dxfId="4" text="SH">
      <formula>NOT(ISERROR(SEARCH("SH",AK25)))</formula>
    </cfRule>
    <cfRule type="containsText" priority="439" operator="containsText" dxfId="3" text="RD">
      <formula>NOT(ISERROR(SEARCH("RD",AK25)))</formula>
    </cfRule>
  </conditionalFormatting>
  <conditionalFormatting sqref="AK26">
    <cfRule type="cellIs" priority="250" operator="equal" dxfId="233">
      <formula>"CL"</formula>
    </cfRule>
    <cfRule type="cellIs" priority="251" operator="equal" dxfId="232">
      <formula>"NC"</formula>
    </cfRule>
  </conditionalFormatting>
  <conditionalFormatting sqref="AK25:AM25">
    <cfRule type="cellIs" priority="440" operator="equal" dxfId="233">
      <formula>"CL"</formula>
    </cfRule>
    <cfRule type="cellIs" priority="441" operator="equal" dxfId="232">
      <formula>"NC"</formula>
    </cfRule>
  </conditionalFormatting>
  <conditionalFormatting sqref="AL22:AL23">
    <cfRule type="containsText" priority="449" operator="containsText" dxfId="9" text="AL">
      <formula>NOT(ISERROR(SEARCH("AL",AL22)))</formula>
    </cfRule>
    <cfRule type="containsText" priority="450" operator="containsText" dxfId="6" text="SL">
      <formula>NOT(ISERROR(SEARCH("SL",AL22)))</formula>
    </cfRule>
    <cfRule type="containsText" priority="451" operator="containsText" dxfId="5" text="NP">
      <formula>NOT(ISERROR(SEARCH("NP",AL22)))</formula>
    </cfRule>
    <cfRule type="containsText" priority="452" operator="containsText" dxfId="4" text="SH">
      <formula>NOT(ISERROR(SEARCH("SH",AL22)))</formula>
    </cfRule>
    <cfRule type="containsText" priority="453" operator="containsText" dxfId="3" text="RD">
      <formula>NOT(ISERROR(SEARCH("RD",AL22)))</formula>
    </cfRule>
  </conditionalFormatting>
  <conditionalFormatting sqref="AL10:AM10">
    <cfRule type="cellIs" priority="287" operator="equal" dxfId="221">
      <formula>"CL"</formula>
    </cfRule>
    <cfRule type="containsText" priority="288" operator="containsText" dxfId="235" text="EC">
      <formula>NOT(ISERROR(SEARCH("EC",AL10)))</formula>
    </cfRule>
    <cfRule type="containsText" priority="289" operator="containsText" dxfId="234" text="OTE">
      <formula>NOT(ISERROR(SEARCH("OTE",AL10)))</formula>
    </cfRule>
  </conditionalFormatting>
  <conditionalFormatting sqref="AL22:AM23">
    <cfRule type="cellIs" priority="454" operator="equal" dxfId="233">
      <formula>"CL"</formula>
    </cfRule>
    <cfRule type="cellIs" priority="455" operator="equal" dxfId="232">
      <formula>"NC"</formula>
    </cfRule>
  </conditionalFormatting>
  <conditionalFormatting sqref="AM29">
    <cfRule type="containsText" priority="484" operator="containsText" dxfId="9" text="AL">
      <formula>NOT(ISERROR(SEARCH("AL",AM29)))</formula>
    </cfRule>
    <cfRule type="containsText" priority="485" operator="containsText" dxfId="6" text="SL">
      <formula>NOT(ISERROR(SEARCH("SL",AM29)))</formula>
    </cfRule>
    <cfRule type="containsText" priority="486" operator="containsText" dxfId="5" text="NP">
      <formula>NOT(ISERROR(SEARCH("NP",AM29)))</formula>
    </cfRule>
    <cfRule type="containsText" priority="487" operator="containsText" dxfId="4" text="SH">
      <formula>NOT(ISERROR(SEARCH("SH",AM29)))</formula>
    </cfRule>
    <cfRule type="containsText" priority="488" operator="containsText" dxfId="3" text="RD">
      <formula>NOT(ISERROR(SEARCH("RD",AM29)))</formula>
    </cfRule>
    <cfRule type="cellIs" priority="489" operator="equal" dxfId="233">
      <formula>"CL"</formula>
    </cfRule>
    <cfRule type="cellIs" priority="490" operator="equal" dxfId="232">
      <formula>"NC"</formula>
    </cfRule>
  </conditionalFormatting>
  <conditionalFormatting sqref="AM31">
    <cfRule type="cellIs" priority="172" operator="equal" dxfId="7">
      <formula>"GS"</formula>
    </cfRule>
    <cfRule type="cellIs" priority="173" operator="equal" dxfId="232">
      <formula>"NC"</formula>
    </cfRule>
    <cfRule type="cellIs" priority="174" operator="equal" dxfId="7">
      <formula>"SG"</formula>
    </cfRule>
    <cfRule type="containsText" priority="175" operator="containsText" dxfId="235" text="EC">
      <formula>NOT(ISERROR(SEARCH("EC",AM31)))</formula>
    </cfRule>
    <cfRule type="containsText" priority="176" operator="containsText" dxfId="234" text="OTE">
      <formula>NOT(ISERROR(SEARCH("OTE",AM31)))</formula>
    </cfRule>
    <cfRule type="containsText" priority="177" operator="containsText" dxfId="9" text="AL">
      <formula>NOT(ISERROR(SEARCH("AL",AM31)))</formula>
    </cfRule>
    <cfRule type="containsText" priority="178" operator="containsText" dxfId="6" text="SL">
      <formula>NOT(ISERROR(SEARCH("SL",AM31)))</formula>
    </cfRule>
    <cfRule type="containsText" priority="179" operator="containsText" dxfId="5" text="NP">
      <formula>NOT(ISERROR(SEARCH("NP",AM31)))</formula>
    </cfRule>
    <cfRule type="containsText" priority="180" operator="containsText" dxfId="4" text="SH">
      <formula>NOT(ISERROR(SEARCH("SH",AM31)))</formula>
    </cfRule>
    <cfRule type="containsText" priority="181" operator="containsText" dxfId="3" text="RD">
      <formula>NOT(ISERROR(SEARCH("RD",AM31)))</formula>
    </cfRule>
    <cfRule type="containsText" priority="182" operator="containsText" dxfId="234" text="OTE">
      <formula>NOT(ISERROR(SEARCH("OTE",AM31)))</formula>
    </cfRule>
    <cfRule type="containsText" priority="183" operator="containsText" dxfId="9" text="AL">
      <formula>NOT(ISERROR(SEARCH("AL",AM31)))</formula>
    </cfRule>
    <cfRule type="containsText" priority="184" operator="containsText" dxfId="6" text="SL">
      <formula>NOT(ISERROR(SEARCH("SL",AM31)))</formula>
    </cfRule>
    <cfRule type="containsText" priority="185" operator="containsText" dxfId="5" text="NP">
      <formula>NOT(ISERROR(SEARCH("NP",AM31)))</formula>
    </cfRule>
    <cfRule type="containsText" priority="186" operator="containsText" dxfId="4" text="SH">
      <formula>NOT(ISERROR(SEARCH("SH",AM31)))</formula>
    </cfRule>
    <cfRule type="containsText" priority="187" operator="containsText" dxfId="3" text="RD">
      <formula>NOT(ISERROR(SEARCH("RD",AM31)))</formula>
    </cfRule>
    <cfRule type="cellIs" priority="188" operator="equal" dxfId="232">
      <formula>"NC"</formula>
    </cfRule>
    <cfRule type="containsText" priority="189" operator="containsText" dxfId="235" text="EC">
      <formula>NOT(ISERROR(SEARCH("EC",AM31)))</formula>
    </cfRule>
    <cfRule type="containsText" priority="190" operator="containsText" dxfId="234" text="OTE">
      <formula>NOT(ISERROR(SEARCH("OTE",AM31)))</formula>
    </cfRule>
    <cfRule type="containsText" priority="191" operator="containsText" dxfId="9" text="AL">
      <formula>NOT(ISERROR(SEARCH("AL",AM31)))</formula>
    </cfRule>
    <cfRule type="containsText" priority="192" operator="containsText" dxfId="6" text="SL">
      <formula>NOT(ISERROR(SEARCH("SL",AM31)))</formula>
    </cfRule>
    <cfRule type="containsText" priority="193" operator="containsText" dxfId="5" text="NP">
      <formula>NOT(ISERROR(SEARCH("NP",AM31)))</formula>
    </cfRule>
    <cfRule type="containsText" priority="194" operator="containsText" dxfId="4" text="SH">
      <formula>NOT(ISERROR(SEARCH("SH",AM31)))</formula>
    </cfRule>
    <cfRule type="containsText" priority="195" operator="containsText" dxfId="3" text="RD">
      <formula>NOT(ISERROR(SEARCH("RD",AM31)))</formula>
    </cfRule>
  </conditionalFormatting>
  <conditionalFormatting sqref="AV6:BC10">
    <cfRule type="cellIs" priority="229" operator="equal" dxfId="59">
      <formula>0</formula>
    </cfRule>
  </conditionalFormatting>
  <conditionalFormatting sqref="AV19:BC31">
    <cfRule type="cellIs" priority="149" operator="equal" dxfId="59">
      <formula>0</formula>
    </cfRule>
  </conditionalFormatting>
  <conditionalFormatting sqref="I6:AF6">
    <cfRule type="expression" priority="1084" dxfId="157">
      <formula>(WEEKDAY($I1048525,5)&gt;1)</formula>
    </cfRule>
    <cfRule type="expression" priority="1085" dxfId="37">
      <formula>LEFT(#REF!,1)="H"</formula>
    </cfRule>
    <cfRule type="expression" priority="1086" dxfId="37">
      <formula>WEEKDAY(I$6,2)&gt;6</formula>
    </cfRule>
  </conditionalFormatting>
  <conditionalFormatting sqref="I6:AF7 AJ6:AM7">
    <cfRule type="expression" priority="1087" dxfId="37">
      <formula>LEFT(#REF!,1)="H"</formula>
    </cfRule>
    <cfRule type="expression" priority="1088" dxfId="37">
      <formula>WEEKDAY(#REF!,2)&gt;6</formula>
    </cfRule>
  </conditionalFormatting>
  <conditionalFormatting sqref="AG30:AI33">
    <cfRule type="cellIs" priority="1" operator="equal" dxfId="7">
      <formula>"GS"</formula>
    </cfRule>
    <cfRule type="cellIs" priority="2" operator="equal" dxfId="7">
      <formula>"SG"</formula>
    </cfRule>
  </conditionalFormatting>
  <conditionalFormatting sqref="AG10:AI29 AG34:AI43">
    <cfRule type="cellIs" priority="48" operator="equal" dxfId="7">
      <formula>"GS"</formula>
    </cfRule>
  </conditionalFormatting>
  <conditionalFormatting sqref="AG8:AI29 AG34:AI43">
    <cfRule type="cellIs" priority="49" operator="equal" dxfId="7">
      <formula>"SG"</formula>
    </cfRule>
  </conditionalFormatting>
  <conditionalFormatting sqref="AG20:AI20 AG22:AH22 AG23 AG24:AI24 AG25 AG26:AI29 AH19:AI19 AH21:AI21 AI25">
    <cfRule type="containsText" priority="119" operator="containsText" dxfId="6" text="SL">
      <formula>NOT(ISERROR(SEARCH("SL",AG19)))</formula>
    </cfRule>
    <cfRule type="containsText" priority="120" operator="containsText" dxfId="5" text="NP">
      <formula>NOT(ISERROR(SEARCH("NP",AG19)))</formula>
    </cfRule>
    <cfRule type="containsText" priority="121" operator="containsText" dxfId="4" text="SH">
      <formula>NOT(ISERROR(SEARCH("SH",AG19)))</formula>
    </cfRule>
    <cfRule type="containsText" priority="122" operator="containsText" dxfId="3" text="RD">
      <formula>NOT(ISERROR(SEARCH("RD",AG19)))</formula>
    </cfRule>
    <cfRule type="containsText" priority="118" operator="containsText" dxfId="9" text="AL">
      <formula>NOT(ISERROR(SEARCH("AL",AG19)))</formula>
    </cfRule>
  </conditionalFormatting>
  <conditionalFormatting sqref="AG11:AI18">
    <cfRule type="cellIs" priority="114" operator="equal" dxfId="233">
      <formula>"CL"</formula>
    </cfRule>
  </conditionalFormatting>
  <conditionalFormatting sqref="AG25">
    <cfRule type="cellIs" priority="112" operator="equal" dxfId="233">
      <formula>"CL"</formula>
    </cfRule>
    <cfRule type="cellIs" priority="113" operator="equal" dxfId="232">
      <formula>"NC"</formula>
    </cfRule>
  </conditionalFormatting>
  <conditionalFormatting sqref="AG29:AI29">
    <cfRule type="cellIs" priority="77" operator="equal" dxfId="233">
      <formula>"CL"</formula>
    </cfRule>
    <cfRule type="cellIs" priority="78" operator="equal" dxfId="232">
      <formula>"NC"</formula>
    </cfRule>
  </conditionalFormatting>
  <conditionalFormatting sqref="AG8:AI10">
    <cfRule type="cellIs" priority="123" operator="equal" dxfId="233">
      <formula>"CL"</formula>
    </cfRule>
    <cfRule type="cellIs" priority="124" operator="equal" dxfId="232">
      <formula>"NC"</formula>
    </cfRule>
    <cfRule type="containsText" priority="51" operator="containsText" dxfId="9" text="AL">
      <formula>NOT(ISERROR(SEARCH("AL",AG8)))</formula>
    </cfRule>
    <cfRule type="containsText" priority="52" operator="containsText" dxfId="6" text="SL">
      <formula>NOT(ISERROR(SEARCH("SL",AG8)))</formula>
    </cfRule>
    <cfRule type="containsText" priority="53" operator="containsText" dxfId="5" text="NP">
      <formula>NOT(ISERROR(SEARCH("NP",AG8)))</formula>
    </cfRule>
    <cfRule type="containsText" priority="54" operator="containsText" dxfId="4" text="SH">
      <formula>NOT(ISERROR(SEARCH("SH",AG8)))</formula>
    </cfRule>
    <cfRule type="containsText" priority="55" operator="containsText" dxfId="3" text="RD">
      <formula>NOT(ISERROR(SEARCH("RD",AG8)))</formula>
    </cfRule>
  </conditionalFormatting>
  <conditionalFormatting sqref="AG8:AI9">
    <cfRule type="cellIs" priority="46" operator="equal" dxfId="7">
      <formula>"GS"</formula>
    </cfRule>
  </conditionalFormatting>
  <conditionalFormatting sqref="AG10:AI18">
    <cfRule type="cellIs" priority="50" operator="equal" dxfId="232">
      <formula>"NC"</formula>
    </cfRule>
  </conditionalFormatting>
  <conditionalFormatting sqref="AG11:AI12">
    <cfRule type="containsText" priority="134" operator="containsText" dxfId="23" text="AL">
      <formula>NOT(ISERROR(SEARCH("AL",AG11)))</formula>
    </cfRule>
    <cfRule type="containsText" priority="135" operator="containsText" dxfId="6" text="SL">
      <formula>NOT(ISERROR(SEARCH("SL",AG11)))</formula>
    </cfRule>
    <cfRule type="containsText" priority="136" operator="containsText" dxfId="5" text="NP">
      <formula>NOT(ISERROR(SEARCH("NP",AG11)))</formula>
    </cfRule>
    <cfRule type="containsText" priority="137" operator="containsText" dxfId="4" text="SH">
      <formula>NOT(ISERROR(SEARCH("SH",AG11)))</formula>
    </cfRule>
    <cfRule type="containsText" priority="138" operator="containsText" dxfId="3" text="RD">
      <formula>NOT(ISERROR(SEARCH("RD",AG11)))</formula>
    </cfRule>
  </conditionalFormatting>
  <conditionalFormatting sqref="AG14:AI14">
    <cfRule type="cellIs" priority="139" operator="greaterThan" dxfId="22">
      <formula>9</formula>
    </cfRule>
  </conditionalFormatting>
  <conditionalFormatting sqref="AG30:AI30">
    <cfRule type="cellIs" priority="3" operator="equal" dxfId="221">
      <formula>"CL"</formula>
    </cfRule>
    <cfRule type="cellIs" priority="4" operator="equal" dxfId="7">
      <formula>"GS"</formula>
    </cfRule>
    <cfRule type="cellIs" priority="5" operator="equal" dxfId="232">
      <formula>"NC"</formula>
    </cfRule>
    <cfRule type="cellIs" priority="6" operator="equal" dxfId="7">
      <formula>"SG"</formula>
    </cfRule>
    <cfRule type="containsText" priority="7" operator="containsText" dxfId="235" text="EC">
      <formula>NOT(ISERROR(SEARCH("EC",AG30)))</formula>
    </cfRule>
    <cfRule type="containsText" priority="8" operator="containsText" dxfId="234" text="OTE">
      <formula>NOT(ISERROR(SEARCH("OTE",AG30)))</formula>
    </cfRule>
    <cfRule type="containsText" priority="9" operator="containsText" dxfId="9" text="AL">
      <formula>NOT(ISERROR(SEARCH("AL",AG30)))</formula>
    </cfRule>
    <cfRule type="containsText" priority="10" operator="containsText" dxfId="6" text="SL">
      <formula>NOT(ISERROR(SEARCH("SL",AG30)))</formula>
    </cfRule>
    <cfRule type="containsText" priority="11" operator="containsText" dxfId="5" text="NP">
      <formula>NOT(ISERROR(SEARCH("NP",AG30)))</formula>
    </cfRule>
    <cfRule type="containsText" priority="12" operator="containsText" dxfId="4" text="SH">
      <formula>NOT(ISERROR(SEARCH("SH",AG30)))</formula>
    </cfRule>
    <cfRule type="containsText" priority="13" operator="containsText" dxfId="3" text="RD">
      <formula>NOT(ISERROR(SEARCH("RD",AG30)))</formula>
    </cfRule>
    <cfRule type="containsText" priority="14" operator="containsText" dxfId="234" text="OTE">
      <formula>NOT(ISERROR(SEARCH("OTE",AG30)))</formula>
    </cfRule>
    <cfRule type="containsText" priority="15" operator="containsText" dxfId="9" text="AL">
      <formula>NOT(ISERROR(SEARCH("AL",AG30)))</formula>
    </cfRule>
    <cfRule type="containsText" priority="16" operator="containsText" dxfId="6" text="SL">
      <formula>NOT(ISERROR(SEARCH("SL",AG30)))</formula>
    </cfRule>
    <cfRule type="containsText" priority="17" operator="containsText" dxfId="5" text="NP">
      <formula>NOT(ISERROR(SEARCH("NP",AG30)))</formula>
    </cfRule>
    <cfRule type="containsText" priority="18" operator="containsText" dxfId="4" text="SH">
      <formula>NOT(ISERROR(SEARCH("SH",AG30)))</formula>
    </cfRule>
    <cfRule type="containsText" priority="19" operator="containsText" dxfId="3" text="RD">
      <formula>NOT(ISERROR(SEARCH("RD",AG30)))</formula>
    </cfRule>
  </conditionalFormatting>
  <conditionalFormatting sqref="AG31:AI31">
    <cfRule type="cellIs" priority="20" operator="equal" dxfId="221">
      <formula>"CL"</formula>
    </cfRule>
    <cfRule type="cellIs" priority="21" operator="equal" dxfId="7">
      <formula>"GS"</formula>
    </cfRule>
    <cfRule type="cellIs" priority="22" operator="equal" dxfId="232">
      <formula>"NC"</formula>
    </cfRule>
    <cfRule type="cellIs" priority="23" operator="equal" dxfId="7">
      <formula>"SG"</formula>
    </cfRule>
    <cfRule type="containsText" priority="24" operator="containsText" dxfId="235" text="EC">
      <formula>NOT(ISERROR(SEARCH("EC",AG31)))</formula>
    </cfRule>
    <cfRule type="containsText" priority="25" operator="containsText" dxfId="234" text="OTE">
      <formula>NOT(ISERROR(SEARCH("OTE",AG31)))</formula>
    </cfRule>
    <cfRule type="containsText" priority="26" operator="containsText" dxfId="9" text="AL">
      <formula>NOT(ISERROR(SEARCH("AL",AG31)))</formula>
    </cfRule>
    <cfRule type="containsText" priority="27" operator="containsText" dxfId="6" text="SL">
      <formula>NOT(ISERROR(SEARCH("SL",AG31)))</formula>
    </cfRule>
    <cfRule type="containsText" priority="28" operator="containsText" dxfId="5" text="NP">
      <formula>NOT(ISERROR(SEARCH("NP",AG31)))</formula>
    </cfRule>
    <cfRule type="containsText" priority="29" operator="containsText" dxfId="4" text="SH">
      <formula>NOT(ISERROR(SEARCH("SH",AG31)))</formula>
    </cfRule>
    <cfRule type="containsText" priority="30" operator="containsText" dxfId="3" text="RD">
      <formula>NOT(ISERROR(SEARCH("RD",AG31)))</formula>
    </cfRule>
    <cfRule type="containsText" priority="31" operator="containsText" dxfId="234" text="OTE">
      <formula>NOT(ISERROR(SEARCH("OTE",AG31)))</formula>
    </cfRule>
    <cfRule type="containsText" priority="32" operator="containsText" dxfId="9" text="AL">
      <formula>NOT(ISERROR(SEARCH("AL",AG31)))</formula>
    </cfRule>
    <cfRule type="containsText" priority="33" operator="containsText" dxfId="6" text="SL">
      <formula>NOT(ISERROR(SEARCH("SL",AG31)))</formula>
    </cfRule>
    <cfRule type="containsText" priority="34" operator="containsText" dxfId="5" text="NP">
      <formula>NOT(ISERROR(SEARCH("NP",AG31)))</formula>
    </cfRule>
    <cfRule type="containsText" priority="35" operator="containsText" dxfId="4" text="SH">
      <formula>NOT(ISERROR(SEARCH("SH",AG31)))</formula>
    </cfRule>
    <cfRule type="containsText" priority="36" operator="containsText" dxfId="3" text="RD">
      <formula>NOT(ISERROR(SEARCH("RD",AG31)))</formula>
    </cfRule>
  </conditionalFormatting>
  <conditionalFormatting sqref="AG35:AI35">
    <cfRule type="cellIs" priority="47" operator="greaterThan" dxfId="22">
      <formula>8</formula>
    </cfRule>
    <cfRule type="cellIs" priority="140" operator="greaterThan" dxfId="22">
      <formula>9</formula>
    </cfRule>
  </conditionalFormatting>
  <conditionalFormatting sqref="AG10:AI12">
    <cfRule type="cellIs" priority="125" operator="equal" dxfId="7">
      <formula>"SG"</formula>
    </cfRule>
    <cfRule type="cellIs" priority="128" operator="equal" dxfId="23">
      <formula>"GS"</formula>
    </cfRule>
  </conditionalFormatting>
  <conditionalFormatting sqref="AG10:AI10">
    <cfRule type="cellIs" priority="45" operator="equal" dxfId="233">
      <formula>"CL"</formula>
    </cfRule>
    <cfRule type="cellIs" priority="126" operator="equal" dxfId="23">
      <formula>"GS"</formula>
    </cfRule>
    <cfRule type="cellIs" priority="127" operator="equal" dxfId="7">
      <formula>"GS"</formula>
    </cfRule>
    <cfRule type="containsText" priority="129" operator="containsText" dxfId="9" text="AL">
      <formula>NOT(ISERROR(SEARCH("AL",AG10)))</formula>
    </cfRule>
    <cfRule type="containsText" priority="130" operator="containsText" dxfId="6" text="SL">
      <formula>NOT(ISERROR(SEARCH("SL",AG10)))</formula>
    </cfRule>
    <cfRule type="containsText" priority="131" operator="containsText" dxfId="5" text="NP">
      <formula>NOT(ISERROR(SEARCH("NP",AG10)))</formula>
    </cfRule>
    <cfRule type="containsText" priority="132" operator="containsText" dxfId="4" text="SH">
      <formula>NOT(ISERROR(SEARCH("SH",AG10)))</formula>
    </cfRule>
    <cfRule type="containsText" priority="133" operator="containsText" dxfId="3" text="RD">
      <formula>NOT(ISERROR(SEARCH("RD",AG10)))</formula>
    </cfRule>
  </conditionalFormatting>
  <conditionalFormatting sqref="AG28:AI28">
    <cfRule type="containsText" priority="105" operator="containsText" dxfId="9" text="AL">
      <formula>NOT(ISERROR(SEARCH("AL",AG28)))</formula>
    </cfRule>
    <cfRule type="containsText" priority="106" operator="containsText" dxfId="6" text="SL">
      <formula>NOT(ISERROR(SEARCH("SL",AG28)))</formula>
    </cfRule>
    <cfRule type="containsText" priority="107" operator="containsText" dxfId="5" text="NP">
      <formula>NOT(ISERROR(SEARCH("NP",AG28)))</formula>
    </cfRule>
    <cfRule type="containsText" priority="108" operator="containsText" dxfId="4" text="SH">
      <formula>NOT(ISERROR(SEARCH("SH",AG28)))</formula>
    </cfRule>
    <cfRule type="containsText" priority="109" operator="containsText" dxfId="3" text="RD">
      <formula>NOT(ISERROR(SEARCH("RD",AG28)))</formula>
    </cfRule>
    <cfRule type="cellIs" priority="110" operator="equal" dxfId="233">
      <formula>"CL"</formula>
    </cfRule>
    <cfRule type="cellIs" priority="111" operator="equal" dxfId="232">
      <formula>"NC"</formula>
    </cfRule>
    <cfRule type="cellIs" priority="79" operator="equal" dxfId="233">
      <formula>"CL"</formula>
    </cfRule>
    <cfRule type="cellIs" priority="80" operator="equal" dxfId="232">
      <formula>"NC"</formula>
    </cfRule>
  </conditionalFormatting>
  <conditionalFormatting sqref="AG20:AI20 AG22:AH22 AG23 AG24:AI24 AG25 AG26:AI28 AH19:AI19 AH21:AI21 AI25">
    <cfRule type="cellIs" priority="116" operator="equal" dxfId="7">
      <formula>"GS"</formula>
    </cfRule>
  </conditionalFormatting>
  <conditionalFormatting sqref="AG22:AH22">
    <cfRule type="cellIs" priority="115" operator="equal" dxfId="233">
      <formula>"CL"</formula>
    </cfRule>
    <cfRule type="cellIs" priority="117" operator="equal" dxfId="232">
      <formula>"NC"</formula>
    </cfRule>
  </conditionalFormatting>
  <conditionalFormatting sqref="AG21:AI21">
    <cfRule type="cellIs" priority="90" operator="equal" dxfId="233">
      <formula>"CL"</formula>
    </cfRule>
    <cfRule type="cellIs" priority="91" operator="equal" dxfId="232">
      <formula>"NC"</formula>
    </cfRule>
  </conditionalFormatting>
  <conditionalFormatting sqref="AG26:AI26">
    <cfRule type="cellIs" priority="83" operator="equal" dxfId="233">
      <formula>"CL"</formula>
    </cfRule>
    <cfRule type="cellIs" priority="84" operator="equal" dxfId="232">
      <formula>"NC"</formula>
    </cfRule>
  </conditionalFormatting>
  <conditionalFormatting sqref="AG27:AI27">
    <cfRule type="cellIs" priority="81" operator="equal" dxfId="233">
      <formula>"CL"</formula>
    </cfRule>
    <cfRule type="cellIs" priority="82" operator="equal" dxfId="232">
      <formula>"NC"</formula>
    </cfRule>
  </conditionalFormatting>
  <conditionalFormatting sqref="AG10">
    <cfRule type="cellIs" priority="42" operator="equal" dxfId="221">
      <formula>"CL"</formula>
    </cfRule>
    <cfRule type="containsText" priority="43" operator="containsText" dxfId="235" text="EC">
      <formula>NOT(ISERROR(SEARCH("EC",AG10)))</formula>
    </cfRule>
    <cfRule type="containsText" priority="44" operator="containsText" dxfId="234" text="OTE">
      <formula>NOT(ISERROR(SEARCH("OTE",AG10)))</formula>
    </cfRule>
  </conditionalFormatting>
  <conditionalFormatting sqref="AG23">
    <cfRule type="cellIs" priority="101" operator="equal" dxfId="233">
      <formula>"CL"</formula>
    </cfRule>
    <cfRule type="cellIs" priority="102" operator="equal" dxfId="232">
      <formula>"NC"</formula>
    </cfRule>
  </conditionalFormatting>
  <conditionalFormatting sqref="AG24:AI24">
    <cfRule type="cellIs" priority="103" operator="equal" dxfId="233">
      <formula>"CL"</formula>
    </cfRule>
    <cfRule type="cellIs" priority="104" operator="equal" dxfId="232">
      <formula>"NC"</formula>
    </cfRule>
  </conditionalFormatting>
  <conditionalFormatting sqref="AG20:AI20">
    <cfRule type="cellIs" priority="99" operator="equal" dxfId="233">
      <formula>"CL"</formula>
    </cfRule>
    <cfRule type="cellIs" priority="100" operator="equal" dxfId="232">
      <formula>"NC"</formula>
    </cfRule>
  </conditionalFormatting>
  <conditionalFormatting sqref="AG19">
    <cfRule type="containsText" priority="92" operator="containsText" dxfId="9" text="AL">
      <formula>NOT(ISERROR(SEARCH("AL",AG19)))</formula>
    </cfRule>
    <cfRule type="containsText" priority="93" operator="containsText" dxfId="6" text="SL">
      <formula>NOT(ISERROR(SEARCH("SL",AG19)))</formula>
    </cfRule>
    <cfRule type="containsText" priority="94" operator="containsText" dxfId="5" text="NP">
      <formula>NOT(ISERROR(SEARCH("NP",AG19)))</formula>
    </cfRule>
    <cfRule type="containsText" priority="95" operator="containsText" dxfId="4" text="SH">
      <formula>NOT(ISERROR(SEARCH("SH",AG19)))</formula>
    </cfRule>
    <cfRule type="containsText" priority="96" operator="containsText" dxfId="3" text="RD">
      <formula>NOT(ISERROR(SEARCH("RD",AG19)))</formula>
    </cfRule>
  </conditionalFormatting>
  <conditionalFormatting sqref="AG21">
    <cfRule type="containsText" priority="85" operator="containsText" dxfId="9" text="AL">
      <formula>NOT(ISERROR(SEARCH("AL",AG21)))</formula>
    </cfRule>
    <cfRule type="containsText" priority="86" operator="containsText" dxfId="6" text="SL">
      <formula>NOT(ISERROR(SEARCH("SL",AG21)))</formula>
    </cfRule>
    <cfRule type="containsText" priority="87" operator="containsText" dxfId="5" text="NP">
      <formula>NOT(ISERROR(SEARCH("NP",AG21)))</formula>
    </cfRule>
    <cfRule type="containsText" priority="88" operator="containsText" dxfId="4" text="SH">
      <formula>NOT(ISERROR(SEARCH("SH",AG21)))</formula>
    </cfRule>
    <cfRule type="containsText" priority="89" operator="containsText" dxfId="3" text="RD">
      <formula>NOT(ISERROR(SEARCH("RD",AG21)))</formula>
    </cfRule>
  </conditionalFormatting>
  <conditionalFormatting sqref="AG19:AI19">
    <cfRule type="cellIs" priority="97" operator="equal" dxfId="233">
      <formula>"CL"</formula>
    </cfRule>
    <cfRule type="cellIs" priority="98" operator="equal" dxfId="232">
      <formula>"NC"</formula>
    </cfRule>
  </conditionalFormatting>
  <conditionalFormatting sqref="AH23">
    <cfRule type="containsText" priority="63" operator="containsText" dxfId="9" text="AL">
      <formula>NOT(ISERROR(SEARCH("AL",AH23)))</formula>
    </cfRule>
    <cfRule type="containsText" priority="64" operator="containsText" dxfId="6" text="SL">
      <formula>NOT(ISERROR(SEARCH("SL",AH23)))</formula>
    </cfRule>
    <cfRule type="containsText" priority="65" operator="containsText" dxfId="5" text="NP">
      <formula>NOT(ISERROR(SEARCH("NP",AH23)))</formula>
    </cfRule>
    <cfRule type="containsText" priority="66" operator="containsText" dxfId="4" text="SH">
      <formula>NOT(ISERROR(SEARCH("SH",AH23)))</formula>
    </cfRule>
    <cfRule type="containsText" priority="67" operator="containsText" dxfId="3" text="RD">
      <formula>NOT(ISERROR(SEARCH("RD",AH23)))</formula>
    </cfRule>
    <cfRule type="cellIs" priority="68" operator="equal" dxfId="233">
      <formula>"CL"</formula>
    </cfRule>
    <cfRule type="cellIs" priority="69" operator="equal" dxfId="232">
      <formula>"NC"</formula>
    </cfRule>
  </conditionalFormatting>
  <conditionalFormatting sqref="AH25">
    <cfRule type="containsText" priority="56" operator="containsText" dxfId="9" text="AL">
      <formula>NOT(ISERROR(SEARCH("AL",AH25)))</formula>
    </cfRule>
    <cfRule type="containsText" priority="57" operator="containsText" dxfId="6" text="SL">
      <formula>NOT(ISERROR(SEARCH("SL",AH25)))</formula>
    </cfRule>
    <cfRule type="containsText" priority="58" operator="containsText" dxfId="5" text="NP">
      <formula>NOT(ISERROR(SEARCH("NP",AH25)))</formula>
    </cfRule>
    <cfRule type="containsText" priority="59" operator="containsText" dxfId="4" text="SH">
      <formula>NOT(ISERROR(SEARCH("SH",AH25)))</formula>
    </cfRule>
    <cfRule type="containsText" priority="60" operator="containsText" dxfId="3" text="RD">
      <formula>NOT(ISERROR(SEARCH("RD",AH25)))</formula>
    </cfRule>
  </conditionalFormatting>
  <conditionalFormatting sqref="AH26">
    <cfRule type="cellIs" priority="37" operator="equal" dxfId="233">
      <formula>"CL"</formula>
    </cfRule>
    <cfRule type="cellIs" priority="38" operator="equal" dxfId="232">
      <formula>"NC"</formula>
    </cfRule>
  </conditionalFormatting>
  <conditionalFormatting sqref="AH25:AI25">
    <cfRule type="cellIs" priority="61" operator="equal" dxfId="233">
      <formula>"CL"</formula>
    </cfRule>
    <cfRule type="cellIs" priority="62" operator="equal" dxfId="232">
      <formula>"NC"</formula>
    </cfRule>
  </conditionalFormatting>
  <conditionalFormatting sqref="AI22:AI23">
    <cfRule type="containsText" priority="70" operator="containsText" dxfId="9" text="AL">
      <formula>NOT(ISERROR(SEARCH("AL",AI22)))</formula>
    </cfRule>
    <cfRule type="containsText" priority="71" operator="containsText" dxfId="6" text="SL">
      <formula>NOT(ISERROR(SEARCH("SL",AI22)))</formula>
    </cfRule>
    <cfRule type="containsText" priority="72" operator="containsText" dxfId="5" text="NP">
      <formula>NOT(ISERROR(SEARCH("NP",AI22)))</formula>
    </cfRule>
    <cfRule type="containsText" priority="73" operator="containsText" dxfId="4" text="SH">
      <formula>NOT(ISERROR(SEARCH("SH",AI22)))</formula>
    </cfRule>
    <cfRule type="containsText" priority="74" operator="containsText" dxfId="3" text="RD">
      <formula>NOT(ISERROR(SEARCH("RD",AI22)))</formula>
    </cfRule>
    <cfRule type="cellIs" priority="75" operator="equal" dxfId="233">
      <formula>"CL"</formula>
    </cfRule>
    <cfRule type="cellIs" priority="76" operator="equal" dxfId="232">
      <formula>"NC"</formula>
    </cfRule>
  </conditionalFormatting>
  <conditionalFormatting sqref="AI10">
    <cfRule type="cellIs" priority="39" operator="equal" dxfId="221">
      <formula>"CL"</formula>
    </cfRule>
    <cfRule type="containsText" priority="40" operator="containsText" dxfId="235" text="EC">
      <formula>NOT(ISERROR(SEARCH("EC",AI10)))</formula>
    </cfRule>
    <cfRule type="containsText" priority="41" operator="containsText" dxfId="234" text="OTE">
      <formula>NOT(ISERROR(SEARCH("OTE",AI10)))</formula>
    </cfRule>
  </conditionalFormatting>
  <conditionalFormatting sqref="AG6:AI7">
    <cfRule type="expression" priority="147" dxfId="37">
      <formula>LEFT(#REF!,1)="H"</formula>
    </cfRule>
    <cfRule type="expression" priority="148" dxfId="37">
      <formula>WEEKDAY(#REF!,2)&gt;6</formula>
    </cfRule>
  </conditionalFormatting>
  <printOptions horizontalCentered="1"/>
  <pageMargins left="0.2362204724409449" right="0.2362204724409449" top="0.5511811023622047" bottom="0.5511811023622047" header="0.3149606299212598" footer="0.3149606299212598"/>
  <pageSetup orientation="landscape" paperSize="9" scale="43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BC54"/>
  <sheetViews>
    <sheetView view="pageBreakPreview" zoomScale="70" zoomScaleNormal="60" zoomScaleSheetLayoutView="70" workbookViewId="0">
      <pane xSplit="8" ySplit="8" topLeftCell="I19" activePane="bottomRight" state="frozen"/>
      <selection pane="topRight" activeCell="H1" sqref="H1"/>
      <selection pane="bottomLeft" activeCell="A5" sqref="A5"/>
      <selection pane="bottomRight" activeCell="AN33" sqref="AN33:AO42"/>
    </sheetView>
  </sheetViews>
  <sheetFormatPr baseColWidth="8" defaultColWidth="9" defaultRowHeight="21"/>
  <cols>
    <col width="1.5" customWidth="1" style="13" min="1" max="1"/>
    <col width="9" customWidth="1" style="39" min="2" max="2"/>
    <col width="18.875" customWidth="1" style="40" min="3" max="3"/>
    <col width="17.625" customWidth="1" style="40" min="4" max="4"/>
    <col hidden="1" outlineLevel="1" width="8" customWidth="1" style="40" min="5" max="5"/>
    <col hidden="1" outlineLevel="1" width="15.5" customWidth="1" style="40" min="6" max="6"/>
    <col hidden="1" outlineLevel="1" width="13.125" customWidth="1" style="40" min="7" max="7"/>
    <col collapsed="1" width="8.625" customWidth="1" style="39" min="8" max="8"/>
    <col width="8.25" customWidth="1" style="40" min="9" max="9"/>
    <col width="6.625" customWidth="1" style="40" min="10" max="39"/>
    <col width="11.5" customWidth="1" style="40" min="40" max="40"/>
    <col width="15.125" customWidth="1" style="40" min="41" max="41"/>
    <col hidden="1" outlineLevel="1" width="10.25" customWidth="1" style="13" min="42" max="42"/>
    <col hidden="1" outlineLevel="1" width="6.5" customWidth="1" style="13" min="43" max="43"/>
    <col hidden="1" outlineLevel="1" style="13" min="44" max="55"/>
    <col collapsed="1" width="9" customWidth="1" style="13" min="56" max="56"/>
    <col width="9" customWidth="1" style="13" min="57" max="16384"/>
  </cols>
  <sheetData>
    <row r="1" ht="21.95" customHeight="1" s="459">
      <c r="B1" s="411" t="inlineStr">
        <is>
          <t>泓 建 物 業 管 理 有 限 公 司</t>
        </is>
      </c>
    </row>
    <row r="2" ht="21.95" customHeight="1" s="459">
      <c r="B2" s="411" t="inlineStr">
        <is>
          <t>Pacific Extend Properties Management Limited</t>
        </is>
      </c>
    </row>
    <row r="3" ht="21.95" customHeight="1" s="459">
      <c r="B3" s="428">
        <f>YEAR(P6)&amp;"年"&amp;MONTH(P6)&amp;"月保安出勤及休假記錄  (夜更 23:30 - 07:30) "</f>
        <v/>
      </c>
    </row>
    <row r="4" ht="21.95" customHeight="1" s="459">
      <c r="C4" s="33" t="inlineStr">
        <is>
          <t>(C - 352108)</t>
        </is>
      </c>
      <c r="I4" s="88" t="n"/>
      <c r="J4" s="88" t="n"/>
      <c r="K4" s="88" t="n"/>
      <c r="L4" s="88" t="n"/>
      <c r="M4" s="88" t="n"/>
      <c r="N4" s="88" t="n"/>
      <c r="O4" s="412" t="inlineStr">
        <is>
          <t>東匯邨</t>
        </is>
      </c>
      <c r="AA4" s="88" t="n"/>
      <c r="AB4" s="88" t="n"/>
      <c r="AC4" s="88" t="n"/>
      <c r="AD4" s="88" t="n"/>
      <c r="AE4" s="88" t="n"/>
      <c r="AF4" s="88" t="n"/>
      <c r="AG4" s="88" t="n"/>
      <c r="AH4" s="88" t="n"/>
      <c r="AI4" s="88" t="n"/>
      <c r="AJ4" s="88" t="n"/>
      <c r="AK4" s="88" t="n"/>
      <c r="AL4" s="88" t="n"/>
      <c r="AM4" s="88" t="n"/>
      <c r="AN4" s="88" t="n"/>
      <c r="AO4" s="88" t="n"/>
    </row>
    <row r="5" ht="21.95" customHeight="1" s="459" thickBot="1">
      <c r="B5" s="35" t="inlineStr">
        <is>
          <t>1. 保安主管出勤時數</t>
        </is>
      </c>
    </row>
    <row r="6" ht="21.75" customHeight="1" s="459">
      <c r="B6" s="220" t="n"/>
      <c r="C6" s="256" t="n"/>
      <c r="D6" s="256" t="n"/>
      <c r="E6" s="276" t="n"/>
      <c r="F6" s="223" t="n"/>
      <c r="G6" s="224" t="n"/>
      <c r="H6" s="277" t="n"/>
      <c r="I6" s="521" t="n">
        <v>46082</v>
      </c>
      <c r="J6" s="461">
        <f>I6+1</f>
        <v/>
      </c>
      <c r="K6" s="461">
        <f>J6+1</f>
        <v/>
      </c>
      <c r="L6" s="461">
        <f>K6+1</f>
        <v/>
      </c>
      <c r="M6" s="461">
        <f>L6+1</f>
        <v/>
      </c>
      <c r="N6" s="461">
        <f>M6+1</f>
        <v/>
      </c>
      <c r="O6" s="461">
        <f>N6+1</f>
        <v/>
      </c>
      <c r="P6" s="461">
        <f>O6+1</f>
        <v/>
      </c>
      <c r="Q6" s="461">
        <f>P6+1</f>
        <v/>
      </c>
      <c r="R6" s="461">
        <f>Q6+1</f>
        <v/>
      </c>
      <c r="S6" s="461">
        <f>R6+1</f>
        <v/>
      </c>
      <c r="T6" s="461">
        <f>S6+1</f>
        <v/>
      </c>
      <c r="U6" s="461">
        <f>T6+1</f>
        <v/>
      </c>
      <c r="V6" s="461">
        <f>U6+1</f>
        <v/>
      </c>
      <c r="W6" s="461">
        <f>V6+1</f>
        <v/>
      </c>
      <c r="X6" s="461">
        <f>W6+1</f>
        <v/>
      </c>
      <c r="Y6" s="461">
        <f>X6+1</f>
        <v/>
      </c>
      <c r="Z6" s="461">
        <f>Y6+1</f>
        <v/>
      </c>
      <c r="AA6" s="461">
        <f>Z6+1</f>
        <v/>
      </c>
      <c r="AB6" s="461">
        <f>AA6+1</f>
        <v/>
      </c>
      <c r="AC6" s="461">
        <f>AB6+1</f>
        <v/>
      </c>
      <c r="AD6" s="461">
        <f>AC6+1</f>
        <v/>
      </c>
      <c r="AE6" s="461">
        <f>AD6+1</f>
        <v/>
      </c>
      <c r="AF6" s="461">
        <f>AE6+1</f>
        <v/>
      </c>
      <c r="AG6" s="461">
        <f>AF6+1</f>
        <v/>
      </c>
      <c r="AH6" s="461">
        <f>AG6+1</f>
        <v/>
      </c>
      <c r="AI6" s="461">
        <f>AH6+1</f>
        <v/>
      </c>
      <c r="AJ6" s="461">
        <f>AI6+1</f>
        <v/>
      </c>
      <c r="AK6" s="461">
        <f>AJ6+1</f>
        <v/>
      </c>
      <c r="AL6" s="461">
        <f>AK6+1</f>
        <v/>
      </c>
      <c r="AM6" s="462">
        <f>AL6+1</f>
        <v/>
      </c>
      <c r="AN6" s="522" t="inlineStr">
        <is>
          <t>工作總日數</t>
        </is>
      </c>
      <c r="AO6" s="429" t="inlineStr">
        <is>
          <t>工作總時數</t>
        </is>
      </c>
      <c r="AP6" s="56" t="inlineStr">
        <is>
          <t>NSH/SH</t>
        </is>
      </c>
      <c r="AQ6" s="3" t="inlineStr">
        <is>
          <t>RD</t>
        </is>
      </c>
      <c r="AR6" s="3" t="inlineStr">
        <is>
          <t>NP</t>
        </is>
      </c>
      <c r="AS6" s="3" t="inlineStr">
        <is>
          <t>SL</t>
        </is>
      </c>
      <c r="AT6" s="5" t="inlineStr">
        <is>
          <t>AL</t>
        </is>
      </c>
      <c r="AU6" s="85" t="inlineStr">
        <is>
          <t>RD</t>
        </is>
      </c>
      <c r="AV6" s="16" t="inlineStr">
        <is>
          <t>RD</t>
        </is>
      </c>
      <c r="AW6" s="29" t="inlineStr">
        <is>
          <t>OT</t>
        </is>
      </c>
      <c r="AX6" s="16" t="inlineStr">
        <is>
          <t>SH</t>
        </is>
      </c>
      <c r="AY6" s="17" t="inlineStr">
        <is>
          <t>SL</t>
        </is>
      </c>
      <c r="AZ6" s="16" t="inlineStr">
        <is>
          <t>NP</t>
        </is>
      </c>
      <c r="BA6" s="16" t="inlineStr">
        <is>
          <t>AL</t>
        </is>
      </c>
      <c r="BB6" s="16" t="inlineStr">
        <is>
          <t>NC</t>
        </is>
      </c>
      <c r="BC6" s="439" t="inlineStr">
        <is>
          <t>已放年假</t>
        </is>
      </c>
    </row>
    <row r="7" hidden="1" ht="21.75" customHeight="1" s="459">
      <c r="B7" s="225" t="n"/>
      <c r="C7" s="278" t="n"/>
      <c r="D7" s="278" t="n"/>
      <c r="E7" s="279" t="n"/>
      <c r="F7" s="226" t="n"/>
      <c r="G7" s="227" t="n"/>
      <c r="H7" s="280" t="n"/>
      <c r="I7" s="523" t="n"/>
      <c r="J7" s="524" t="n"/>
      <c r="K7" s="524" t="n"/>
      <c r="L7" s="524" t="n"/>
      <c r="M7" s="524" t="n"/>
      <c r="N7" s="524" t="n"/>
      <c r="O7" s="524" t="n"/>
      <c r="P7" s="524" t="n"/>
      <c r="Q7" s="524" t="n"/>
      <c r="R7" s="524" t="n"/>
      <c r="S7" s="524" t="n"/>
      <c r="T7" s="524" t="n"/>
      <c r="U7" s="524" t="n"/>
      <c r="V7" s="524" t="n"/>
      <c r="W7" s="524" t="n"/>
      <c r="X7" s="524" t="n"/>
      <c r="Y7" s="524" t="inlineStr">
        <is>
          <t>H</t>
        </is>
      </c>
      <c r="Z7" s="524" t="inlineStr">
        <is>
          <t>H</t>
        </is>
      </c>
      <c r="AA7" s="524" t="inlineStr">
        <is>
          <t>H</t>
        </is>
      </c>
      <c r="AB7" s="524" t="n"/>
      <c r="AC7" s="524" t="n"/>
      <c r="AD7" s="524" t="n"/>
      <c r="AE7" s="524" t="n"/>
      <c r="AF7" s="524" t="n"/>
      <c r="AG7" s="524" t="n"/>
      <c r="AH7" s="524" t="n"/>
      <c r="AI7" s="524" t="n"/>
      <c r="AJ7" s="524" t="n"/>
      <c r="AK7" s="524" t="n"/>
      <c r="AL7" s="524" t="n"/>
      <c r="AM7" s="525" t="n"/>
      <c r="AN7" s="526" t="n"/>
      <c r="AO7" s="527" t="n"/>
      <c r="AP7" s="24" t="n"/>
      <c r="AQ7" s="7" t="n"/>
      <c r="AR7" s="7" t="n"/>
      <c r="AS7" s="7" t="n"/>
      <c r="AT7" s="73" t="n"/>
      <c r="AU7" s="86">
        <f>#REF!</f>
        <v/>
      </c>
      <c r="AV7" s="54" t="n"/>
      <c r="AW7" s="55" t="n"/>
      <c r="AX7" s="54" t="n"/>
      <c r="AY7" s="23" t="n"/>
      <c r="AZ7" s="54" t="n"/>
      <c r="BA7" s="54" t="n"/>
      <c r="BB7" s="54" t="n"/>
      <c r="BC7" s="528" t="n"/>
    </row>
    <row r="8" ht="21.95" customHeight="1" s="459" thickBot="1">
      <c r="B8" s="228" t="inlineStr">
        <is>
          <t>排位</t>
        </is>
      </c>
      <c r="C8" s="272" t="inlineStr">
        <is>
          <t>員工編號</t>
        </is>
      </c>
      <c r="D8" s="272" t="inlineStr">
        <is>
          <t>姓名</t>
        </is>
      </c>
      <c r="E8" s="281" t="inlineStr">
        <is>
          <t>Rank</t>
        </is>
      </c>
      <c r="F8" s="244" t="inlineStr">
        <is>
          <t>職銜</t>
        </is>
      </c>
      <c r="G8" s="245" t="inlineStr">
        <is>
          <t>工作時數</t>
        </is>
      </c>
      <c r="H8" s="271" t="inlineStr">
        <is>
          <t>更份</t>
        </is>
      </c>
      <c r="I8" s="529">
        <f>SUBSTITUTE(TEXT(I6,"aaa"),"週","")</f>
        <v/>
      </c>
      <c r="J8" s="466">
        <f>SUBSTITUTE(TEXT(J6,"aaa"),"週","")</f>
        <v/>
      </c>
      <c r="K8" s="466">
        <f>SUBSTITUTE(TEXT(K6,"aaa"),"週","")</f>
        <v/>
      </c>
      <c r="L8" s="466">
        <f>SUBSTITUTE(TEXT(L6,"aaa"),"週","")</f>
        <v/>
      </c>
      <c r="M8" s="466">
        <f>SUBSTITUTE(TEXT(M6,"aaa"),"週","")</f>
        <v/>
      </c>
      <c r="N8" s="466">
        <f>SUBSTITUTE(TEXT(N6,"aaa"),"週","")</f>
        <v/>
      </c>
      <c r="O8" s="466">
        <f>SUBSTITUTE(TEXT(O6,"aaa"),"週","")</f>
        <v/>
      </c>
      <c r="P8" s="466">
        <f>SUBSTITUTE(TEXT(P6,"aaa"),"週","")</f>
        <v/>
      </c>
      <c r="Q8" s="466">
        <f>SUBSTITUTE(TEXT(Q6,"aaa"),"週","")</f>
        <v/>
      </c>
      <c r="R8" s="466">
        <f>SUBSTITUTE(TEXT(R6,"aaa"),"週","")</f>
        <v/>
      </c>
      <c r="S8" s="466">
        <f>SUBSTITUTE(TEXT(S6,"aaa"),"週","")</f>
        <v/>
      </c>
      <c r="T8" s="466">
        <f>SUBSTITUTE(TEXT(T6,"aaa"),"週","")</f>
        <v/>
      </c>
      <c r="U8" s="466">
        <f>SUBSTITUTE(TEXT(U6,"aaa"),"週","")</f>
        <v/>
      </c>
      <c r="V8" s="466">
        <f>SUBSTITUTE(TEXT(V6,"aaa"),"週","")</f>
        <v/>
      </c>
      <c r="W8" s="466">
        <f>SUBSTITUTE(TEXT(W6,"aaa"),"週","")</f>
        <v/>
      </c>
      <c r="X8" s="466">
        <f>SUBSTITUTE(TEXT(X6,"aaa"),"週","")</f>
        <v/>
      </c>
      <c r="Y8" s="466">
        <f>SUBSTITUTE(TEXT(Y6,"aaa"),"週","")</f>
        <v/>
      </c>
      <c r="Z8" s="466">
        <f>SUBSTITUTE(TEXT(Z6,"aaa"),"週","")</f>
        <v/>
      </c>
      <c r="AA8" s="466">
        <f>SUBSTITUTE(TEXT(AA6,"aaa"),"週","")</f>
        <v/>
      </c>
      <c r="AB8" s="466">
        <f>SUBSTITUTE(TEXT(AB6,"aaa"),"週","")</f>
        <v/>
      </c>
      <c r="AC8" s="466">
        <f>SUBSTITUTE(TEXT(AC6,"aaa"),"週","")</f>
        <v/>
      </c>
      <c r="AD8" s="466">
        <f>SUBSTITUTE(TEXT(AD6,"aaa"),"週","")</f>
        <v/>
      </c>
      <c r="AE8" s="466">
        <f>SUBSTITUTE(TEXT(AE6,"aaa"),"週","")</f>
        <v/>
      </c>
      <c r="AF8" s="466">
        <f>SUBSTITUTE(TEXT(AF6,"aaa"),"週","")</f>
        <v/>
      </c>
      <c r="AG8" s="466">
        <f>SUBSTITUTE(TEXT(AG6,"aaa"),"週","")</f>
        <v/>
      </c>
      <c r="AH8" s="466">
        <f>SUBSTITUTE(TEXT(AH6,"aaa"),"週","")</f>
        <v/>
      </c>
      <c r="AI8" s="466">
        <f>SUBSTITUTE(TEXT(AI6,"aaa"),"週","")</f>
        <v/>
      </c>
      <c r="AJ8" s="466">
        <f>SUBSTITUTE(TEXT(AJ6,"aaa"),"週","")</f>
        <v/>
      </c>
      <c r="AK8" s="466">
        <f>SUBSTITUTE(TEXT(AK6,"aaa"),"週","")</f>
        <v/>
      </c>
      <c r="AL8" s="466">
        <f>SUBSTITUTE(TEXT(AL6,"aaa"),"週","")</f>
        <v/>
      </c>
      <c r="AM8" s="530">
        <f>SUBSTITUTE(TEXT(AM6,"aaa"),"週","")</f>
        <v/>
      </c>
      <c r="AN8" s="531" t="n"/>
      <c r="AO8" s="502" t="n"/>
      <c r="AP8" s="11" t="inlineStr">
        <is>
          <t>法定假期</t>
        </is>
      </c>
      <c r="AQ8" s="4" t="inlineStr">
        <is>
          <t>例假</t>
        </is>
      </c>
      <c r="AR8" s="4" t="inlineStr">
        <is>
          <t>無薪假</t>
        </is>
      </c>
      <c r="AS8" s="4" t="inlineStr">
        <is>
          <t>病假</t>
        </is>
      </c>
      <c r="AT8" s="25" t="inlineStr">
        <is>
          <t>年假</t>
        </is>
      </c>
      <c r="AU8" s="87" t="inlineStr">
        <is>
          <t>享有</t>
        </is>
      </c>
      <c r="AV8" s="21" t="inlineStr">
        <is>
          <t>已放</t>
        </is>
      </c>
      <c r="AW8" s="30" t="n"/>
      <c r="AX8" s="21" t="inlineStr">
        <is>
          <t>已放</t>
        </is>
      </c>
      <c r="AY8" s="21" t="inlineStr">
        <is>
          <t>已放</t>
        </is>
      </c>
      <c r="AZ8" s="21" t="inlineStr">
        <is>
          <t>已放</t>
        </is>
      </c>
      <c r="BA8" s="21" t="inlineStr">
        <is>
          <t>已放</t>
        </is>
      </c>
      <c r="BB8" s="21" t="inlineStr">
        <is>
          <t>已放</t>
        </is>
      </c>
      <c r="BC8" s="467" t="n"/>
    </row>
    <row r="9" ht="21.95" customHeight="1" s="459">
      <c r="B9" s="282" t="inlineStr">
        <is>
          <t>N01</t>
        </is>
      </c>
      <c r="C9" s="283" t="n">
        <v>4968</v>
      </c>
      <c r="D9" s="283" t="inlineStr">
        <is>
          <t>胡士元</t>
        </is>
      </c>
      <c r="E9" s="118" t="inlineStr">
        <is>
          <t>GS</t>
        </is>
      </c>
      <c r="F9" s="179" t="inlineStr">
        <is>
          <t>SECU_SUPR</t>
        </is>
      </c>
      <c r="G9" s="180" t="n">
        <v>8</v>
      </c>
      <c r="H9" s="93" t="inlineStr">
        <is>
          <t>夜</t>
        </is>
      </c>
      <c r="I9" s="113" t="n">
        <v>8</v>
      </c>
      <c r="J9" s="114" t="n">
        <v>8</v>
      </c>
      <c r="K9" s="114" t="n">
        <v>8</v>
      </c>
      <c r="L9" s="114" t="n">
        <v>8</v>
      </c>
      <c r="M9" s="114" t="n">
        <v>8</v>
      </c>
      <c r="N9" s="114" t="n">
        <v>8</v>
      </c>
      <c r="O9" s="114" t="n">
        <v>8</v>
      </c>
      <c r="P9" s="114" t="n">
        <v>8</v>
      </c>
      <c r="Q9" s="114" t="n">
        <v>8</v>
      </c>
      <c r="R9" s="114" t="n">
        <v>8</v>
      </c>
      <c r="S9" s="114" t="n">
        <v>8</v>
      </c>
      <c r="T9" s="114" t="n">
        <v>8</v>
      </c>
      <c r="U9" s="114" t="n">
        <v>8</v>
      </c>
      <c r="V9" s="114" t="inlineStr">
        <is>
          <t>NSH</t>
        </is>
      </c>
      <c r="W9" s="114" t="n">
        <v>8</v>
      </c>
      <c r="X9" s="114" t="n">
        <v>8</v>
      </c>
      <c r="Y9" s="114" t="n">
        <v>8</v>
      </c>
      <c r="Z9" s="114" t="n">
        <v>8</v>
      </c>
      <c r="AA9" s="114" t="inlineStr">
        <is>
          <t>NSH</t>
        </is>
      </c>
      <c r="AB9" s="114" t="inlineStr">
        <is>
          <t>NSH</t>
        </is>
      </c>
      <c r="AC9" s="114" t="n">
        <v>8</v>
      </c>
      <c r="AD9" s="114" t="n">
        <v>8</v>
      </c>
      <c r="AE9" s="114" t="n">
        <v>8</v>
      </c>
      <c r="AF9" s="114" t="n">
        <v>8</v>
      </c>
      <c r="AG9" s="114" t="n">
        <v>8</v>
      </c>
      <c r="AH9" s="114" t="n">
        <v>8</v>
      </c>
      <c r="AI9" s="114" t="n">
        <v>8</v>
      </c>
      <c r="AJ9" s="114" t="n">
        <v>8</v>
      </c>
      <c r="AK9" s="114" t="n">
        <v>8</v>
      </c>
      <c r="AL9" s="114" t="n">
        <v>8</v>
      </c>
      <c r="AM9" s="116" t="n">
        <v>8</v>
      </c>
      <c r="AN9" s="453">
        <f>COUNT(I9:AM9)</f>
        <v/>
      </c>
      <c r="AO9" s="282">
        <f>SUM(I9:AM9)</f>
        <v/>
      </c>
      <c r="AP9" s="60">
        <f>COUNTIFS($I9:$AM9,"SH")+COUNTIFS($I9:$AM9,"NSH")</f>
        <v/>
      </c>
      <c r="AQ9" s="61">
        <f>COUNTIFS($I9:$AM9,$AQ$6)</f>
        <v/>
      </c>
      <c r="AR9" s="61">
        <f>COUNTIFS($I9:$AM9,$AR$6)</f>
        <v/>
      </c>
      <c r="AS9" s="61">
        <f>COUNTIFS($I9:$AM9,$AS$6)</f>
        <v/>
      </c>
      <c r="AT9" s="77">
        <f>COUNTIFS($I9:$AM9,$AT$6)</f>
        <v/>
      </c>
      <c r="AU9" s="46">
        <f>$AU$7</f>
        <v/>
      </c>
      <c r="AV9" s="10">
        <f>COUNTIF(I9:AM9,"RD")</f>
        <v/>
      </c>
      <c r="AW9" s="10">
        <f>AU9-AV9</f>
        <v/>
      </c>
      <c r="AX9" s="10">
        <f>COUNTIF(I9:AM9,"SH")</f>
        <v/>
      </c>
      <c r="AY9" s="10">
        <f>COUNTIF(I9:AM9,"SL")</f>
        <v/>
      </c>
      <c r="AZ9" s="10">
        <f>COUNTIF(I9:AM9,"np")</f>
        <v/>
      </c>
      <c r="BA9" s="10">
        <f>COUNTIF(I9:AM9,"AL*")</f>
        <v/>
      </c>
      <c r="BB9" s="10">
        <f>COUNTIF(I9:AM9,"NC*")</f>
        <v/>
      </c>
      <c r="BC9" s="82" t="n"/>
    </row>
    <row r="10" ht="21.95" customHeight="1" s="459">
      <c r="B10" s="237" t="inlineStr">
        <is>
          <t>N02</t>
        </is>
      </c>
      <c r="C10" s="240" t="n">
        <v>4974</v>
      </c>
      <c r="D10" s="240" t="inlineStr">
        <is>
          <t>黃嬋女</t>
        </is>
      </c>
      <c r="E10" s="118" t="inlineStr">
        <is>
          <t>GS</t>
        </is>
      </c>
      <c r="F10" s="179" t="inlineStr">
        <is>
          <t>SECU_SUPR</t>
        </is>
      </c>
      <c r="G10" s="180" t="n">
        <v>8</v>
      </c>
      <c r="H10" s="173" t="inlineStr">
        <is>
          <t>夜</t>
        </is>
      </c>
      <c r="I10" s="120" t="n">
        <v>8</v>
      </c>
      <c r="J10" s="121" t="n">
        <v>8</v>
      </c>
      <c r="K10" s="121" t="n">
        <v>8</v>
      </c>
      <c r="L10" s="121" t="n">
        <v>8</v>
      </c>
      <c r="M10" s="121" t="n">
        <v>8</v>
      </c>
      <c r="N10" s="121" t="n">
        <v>8</v>
      </c>
      <c r="O10" s="121" t="n">
        <v>8</v>
      </c>
      <c r="P10" s="121" t="n">
        <v>8</v>
      </c>
      <c r="Q10" s="121" t="n">
        <v>8</v>
      </c>
      <c r="R10" s="121" t="n">
        <v>8</v>
      </c>
      <c r="S10" s="121" t="n">
        <v>8</v>
      </c>
      <c r="T10" s="121" t="inlineStr">
        <is>
          <t>RD</t>
        </is>
      </c>
      <c r="U10" s="121" t="n">
        <v>8</v>
      </c>
      <c r="V10" s="121" t="n">
        <v>8</v>
      </c>
      <c r="W10" s="121" t="n">
        <v>8</v>
      </c>
      <c r="X10" s="121" t="n">
        <v>8</v>
      </c>
      <c r="Y10" s="121" t="n">
        <v>8</v>
      </c>
      <c r="Z10" s="121" t="n">
        <v>8</v>
      </c>
      <c r="AA10" s="121" t="n">
        <v>8</v>
      </c>
      <c r="AB10" s="121" t="n">
        <v>8</v>
      </c>
      <c r="AC10" s="121" t="n">
        <v>8</v>
      </c>
      <c r="AD10" s="121" t="n">
        <v>8</v>
      </c>
      <c r="AE10" s="121" t="n">
        <v>8</v>
      </c>
      <c r="AF10" s="121" t="n">
        <v>8</v>
      </c>
      <c r="AG10" s="121" t="inlineStr">
        <is>
          <t>RD</t>
        </is>
      </c>
      <c r="AH10" s="121" t="inlineStr">
        <is>
          <t>NSH</t>
        </is>
      </c>
      <c r="AI10" s="121" t="inlineStr">
        <is>
          <t>NSH</t>
        </is>
      </c>
      <c r="AJ10" s="121" t="inlineStr">
        <is>
          <t>RD</t>
        </is>
      </c>
      <c r="AK10" s="121" t="inlineStr">
        <is>
          <t>NSH</t>
        </is>
      </c>
      <c r="AL10" s="121" t="inlineStr">
        <is>
          <t>NSH</t>
        </is>
      </c>
      <c r="AM10" s="123" t="inlineStr">
        <is>
          <t>NSH</t>
        </is>
      </c>
      <c r="AN10" s="454">
        <f>COUNT(I10:AM10)</f>
        <v/>
      </c>
      <c r="AO10" s="237">
        <f>SUM(I10:AM10)</f>
        <v/>
      </c>
      <c r="AP10" s="24">
        <f>COUNTIFS($I10:$AM10,"SH")+COUNTIFS($I10:$AM10,"NSH")</f>
        <v/>
      </c>
      <c r="AQ10" s="7">
        <f>COUNTIFS($I10:$AM10,$AQ$6)</f>
        <v/>
      </c>
      <c r="AR10" s="7">
        <f>COUNTIFS($I10:$AM10,$AR$6)</f>
        <v/>
      </c>
      <c r="AS10" s="7">
        <f>COUNTIFS($I10:$AM10,$AS$6)</f>
        <v/>
      </c>
      <c r="AT10" s="9">
        <f>COUNTIFS($I10:$AM10,$AT$6)</f>
        <v/>
      </c>
      <c r="AU10" s="44">
        <f>$AU$7</f>
        <v/>
      </c>
      <c r="AV10" s="8">
        <f>COUNTIF(I10:AM10,"RD")</f>
        <v/>
      </c>
      <c r="AW10" s="8">
        <f>AU10-AV10</f>
        <v/>
      </c>
      <c r="AX10" s="8">
        <f>COUNTIF(I10:AM10,"SH")</f>
        <v/>
      </c>
      <c r="AY10" s="8">
        <f>COUNTIF(I10:AM10,"SL")</f>
        <v/>
      </c>
      <c r="AZ10" s="8">
        <f>COUNTIF(I10:AM10,"np")</f>
        <v/>
      </c>
      <c r="BA10" s="8">
        <f>COUNTIF(I10:AM10,"AL*")</f>
        <v/>
      </c>
      <c r="BB10" s="8">
        <f>COUNTIF(I10:AM10,"NC*")</f>
        <v/>
      </c>
      <c r="BC10" s="27" t="n"/>
    </row>
    <row r="11" ht="21.95" customHeight="1" s="459" thickBot="1">
      <c r="B11" s="228" t="inlineStr">
        <is>
          <t>N04</t>
        </is>
      </c>
      <c r="C11" s="272" t="n">
        <v>4965</v>
      </c>
      <c r="D11" s="284" t="inlineStr">
        <is>
          <t>崔偉</t>
        </is>
      </c>
      <c r="E11" s="281" t="inlineStr">
        <is>
          <t>SG/G</t>
        </is>
      </c>
      <c r="F11" s="244" t="inlineStr">
        <is>
          <t>SECU_G(N)</t>
        </is>
      </c>
      <c r="G11" s="245" t="n">
        <v>8</v>
      </c>
      <c r="H11" s="102" t="inlineStr">
        <is>
          <t>夜</t>
        </is>
      </c>
      <c r="I11" s="181" t="inlineStr">
        <is>
          <t>SG</t>
        </is>
      </c>
      <c r="J11" s="129" t="inlineStr">
        <is>
          <t>SG</t>
        </is>
      </c>
      <c r="K11" s="129" t="inlineStr">
        <is>
          <t>SG</t>
        </is>
      </c>
      <c r="L11" s="130" t="inlineStr">
        <is>
          <t>NSH</t>
        </is>
      </c>
      <c r="M11" s="129" t="inlineStr">
        <is>
          <t>SG</t>
        </is>
      </c>
      <c r="N11" s="129" t="inlineStr">
        <is>
          <t>SG</t>
        </is>
      </c>
      <c r="O11" s="129" t="inlineStr">
        <is>
          <t>SG</t>
        </is>
      </c>
      <c r="P11" s="129" t="inlineStr">
        <is>
          <t>SG</t>
        </is>
      </c>
      <c r="Q11" s="129" t="inlineStr">
        <is>
          <t>SG</t>
        </is>
      </c>
      <c r="R11" s="129" t="inlineStr">
        <is>
          <t>SG</t>
        </is>
      </c>
      <c r="S11" s="129" t="inlineStr">
        <is>
          <t>SG</t>
        </is>
      </c>
      <c r="T11" s="130" t="n">
        <v>8</v>
      </c>
      <c r="U11" s="130" t="inlineStr">
        <is>
          <t>NSH</t>
        </is>
      </c>
      <c r="V11" s="130" t="n">
        <v>8</v>
      </c>
      <c r="W11" s="129" t="inlineStr">
        <is>
          <t>SG</t>
        </is>
      </c>
      <c r="X11" s="129" t="inlineStr">
        <is>
          <t>SG</t>
        </is>
      </c>
      <c r="Y11" s="129" t="inlineStr">
        <is>
          <t>SG</t>
        </is>
      </c>
      <c r="Z11" s="129" t="inlineStr">
        <is>
          <t>SG</t>
        </is>
      </c>
      <c r="AA11" s="130" t="n">
        <v>8</v>
      </c>
      <c r="AB11" s="130" t="n">
        <v>8</v>
      </c>
      <c r="AC11" s="129" t="inlineStr">
        <is>
          <t>SG</t>
        </is>
      </c>
      <c r="AD11" s="130" t="inlineStr">
        <is>
          <t>NSH</t>
        </is>
      </c>
      <c r="AE11" s="129" t="inlineStr">
        <is>
          <t>SG</t>
        </is>
      </c>
      <c r="AF11" s="129" t="inlineStr">
        <is>
          <t>SG</t>
        </is>
      </c>
      <c r="AG11" s="130" t="n">
        <v>8</v>
      </c>
      <c r="AH11" s="130" t="n">
        <v>8</v>
      </c>
      <c r="AI11" s="130" t="n">
        <v>8</v>
      </c>
      <c r="AJ11" s="130" t="n">
        <v>8</v>
      </c>
      <c r="AK11" s="130" t="n">
        <v>8</v>
      </c>
      <c r="AL11" s="130" t="n">
        <v>8</v>
      </c>
      <c r="AM11" s="285" t="n">
        <v>8</v>
      </c>
      <c r="AN11" s="454">
        <f>COUNT(I11:AM11)</f>
        <v/>
      </c>
      <c r="AO11" s="237">
        <f>SUM(I11:AM11)</f>
        <v/>
      </c>
      <c r="AP11" s="11">
        <f>COUNTIFS($I11:$AM11,"SH")+COUNTIFS($I11:$AM11,"NSH")</f>
        <v/>
      </c>
      <c r="AQ11" s="4">
        <f>COUNTIFS($I11:$AM11,$AQ$6)</f>
        <v/>
      </c>
      <c r="AR11" s="4">
        <f>COUNTIFS($I11:$AM11,$AR$6)</f>
        <v/>
      </c>
      <c r="AS11" s="4">
        <f>COUNTIFS($I11:$AM11,$AS$6)</f>
        <v/>
      </c>
      <c r="AT11" s="81">
        <f>COUNTIFS($I11:$AM11,$AT$6)</f>
        <v/>
      </c>
      <c r="AU11" s="45">
        <f>$AU$7</f>
        <v/>
      </c>
      <c r="AV11" s="20">
        <f>COUNTIF(I11:AM11,"RD")</f>
        <v/>
      </c>
      <c r="AW11" s="20">
        <f>AU11-AV11</f>
        <v/>
      </c>
      <c r="AX11" s="20">
        <f>COUNTIF(I11:AM11,"SH")</f>
        <v/>
      </c>
      <c r="AY11" s="20">
        <f>COUNTIF(I11:AM11,"SL")</f>
        <v/>
      </c>
      <c r="AZ11" s="20">
        <f>COUNTIF(I11:AM11,"np")</f>
        <v/>
      </c>
      <c r="BA11" s="20">
        <f>COUNTIF(I11:AM11,"AL*")</f>
        <v/>
      </c>
      <c r="BB11" s="20">
        <f>COUNTIF(I11:AM11,"NC*")</f>
        <v/>
      </c>
      <c r="BC11" s="83" t="n"/>
    </row>
    <row r="12" ht="21.95" customHeight="1" s="459" thickBot="1">
      <c r="B12" s="208" t="n"/>
      <c r="C12" s="208" t="n"/>
      <c r="D12" s="208" t="n"/>
      <c r="E12" s="208" t="n"/>
      <c r="F12" s="208" t="n"/>
      <c r="G12" s="208" t="n"/>
      <c r="H12" s="208" t="n"/>
      <c r="I12" s="133" t="n"/>
      <c r="J12" s="133" t="n"/>
      <c r="K12" s="133" t="n"/>
      <c r="L12" s="133" t="n"/>
      <c r="M12" s="133" t="n"/>
      <c r="N12" s="133" t="n"/>
      <c r="O12" s="133" t="n"/>
      <c r="P12" s="133" t="n"/>
      <c r="Q12" s="133" t="n"/>
      <c r="R12" s="133" t="n"/>
      <c r="S12" s="133" t="n"/>
      <c r="T12" s="133" t="n"/>
      <c r="U12" s="133" t="n"/>
      <c r="V12" s="133" t="n"/>
      <c r="W12" s="133" t="n"/>
      <c r="X12" s="133" t="n"/>
      <c r="Y12" s="133" t="n"/>
      <c r="Z12" s="133" t="n"/>
      <c r="AA12" s="133" t="n"/>
      <c r="AB12" s="133" t="n"/>
      <c r="AC12" s="133" t="n"/>
      <c r="AD12" s="133" t="n"/>
      <c r="AE12" s="133" t="n"/>
      <c r="AF12" s="133" t="n"/>
      <c r="AG12" s="133" t="n"/>
      <c r="AH12" s="133" t="n"/>
      <c r="AI12" s="133" t="n"/>
      <c r="AJ12" s="133" t="n"/>
      <c r="AK12" s="133" t="n"/>
      <c r="AL12" s="133" t="n"/>
      <c r="AM12" s="133" t="n"/>
      <c r="AN12" s="249">
        <f>SUM(AN9:AN11)</f>
        <v/>
      </c>
      <c r="AO12" s="250">
        <f>SUM(AO9:AO11)</f>
        <v/>
      </c>
    </row>
    <row r="13" ht="21.95" customHeight="1" s="459" thickBot="1">
      <c r="B13" s="208" t="n"/>
      <c r="C13" s="208" t="n"/>
      <c r="D13" s="208" t="n"/>
      <c r="E13" s="208" t="n"/>
      <c r="F13" s="208" t="n"/>
      <c r="G13" s="208" t="n"/>
      <c r="H13" s="208" t="n"/>
      <c r="I13" s="133" t="n"/>
      <c r="J13" s="133" t="n"/>
      <c r="K13" s="133" t="n"/>
      <c r="L13" s="133" t="n"/>
      <c r="M13" s="133" t="n"/>
      <c r="N13" s="133" t="n"/>
      <c r="O13" s="133" t="n"/>
      <c r="P13" s="133" t="n"/>
      <c r="Q13" s="133" t="n"/>
      <c r="R13" s="133" t="n"/>
      <c r="S13" s="133" t="n"/>
      <c r="T13" s="133" t="n"/>
      <c r="U13" s="133" t="n"/>
      <c r="V13" s="133" t="n"/>
      <c r="W13" s="133" t="n"/>
      <c r="X13" s="133" t="n"/>
      <c r="Y13" s="133" t="n"/>
      <c r="Z13" s="133" t="n"/>
      <c r="AA13" s="133" t="n"/>
      <c r="AB13" s="133" t="n"/>
      <c r="AC13" s="133" t="n"/>
      <c r="AD13" s="133" t="n"/>
      <c r="AE13" s="133" t="n"/>
      <c r="AF13" s="133" t="n"/>
      <c r="AG13" s="133" t="n"/>
      <c r="AH13" s="133" t="n"/>
      <c r="AI13" s="133" t="n"/>
      <c r="AJ13" s="133" t="n"/>
      <c r="AK13" s="133" t="n"/>
      <c r="AL13" s="133" t="n"/>
      <c r="AM13" s="133" t="n"/>
      <c r="AN13" s="165" t="n"/>
      <c r="AO13" s="208" t="n"/>
    </row>
    <row r="14" ht="21.95" customHeight="1" s="459" thickBot="1">
      <c r="B14" s="207" t="n"/>
      <c r="C14" s="208" t="n"/>
      <c r="D14" s="208" t="n"/>
      <c r="E14" s="208" t="n"/>
      <c r="F14" s="208" t="n"/>
      <c r="G14" s="208" t="n"/>
      <c r="H14" s="207" t="n"/>
      <c r="I14" s="208" t="n"/>
      <c r="J14" s="208" t="n"/>
      <c r="K14" s="208" t="n"/>
      <c r="L14" s="208" t="n"/>
      <c r="M14" s="208" t="n"/>
      <c r="N14" s="208" t="n"/>
      <c r="O14" s="208" t="n"/>
      <c r="P14" s="208" t="n"/>
      <c r="Q14" s="208" t="n"/>
      <c r="R14" s="208" t="n"/>
      <c r="S14" s="208" t="n"/>
      <c r="T14" s="208" t="n"/>
      <c r="U14" s="208" t="n"/>
      <c r="V14" s="208" t="n"/>
      <c r="W14" s="208" t="n"/>
      <c r="X14" s="208" t="n"/>
      <c r="Y14" s="208" t="n"/>
      <c r="Z14" s="208" t="n"/>
      <c r="AA14" s="208" t="n"/>
      <c r="AB14" s="208" t="n"/>
      <c r="AC14" s="208" t="n"/>
      <c r="AD14" s="208" t="n"/>
      <c r="AE14" s="208" t="n"/>
      <c r="AF14" s="208" t="n"/>
      <c r="AG14" s="208" t="n"/>
      <c r="AH14" s="208" t="n"/>
      <c r="AI14" s="208" t="n"/>
      <c r="AJ14" s="208" t="n"/>
      <c r="AK14" s="208" t="n"/>
      <c r="AL14" s="208" t="n"/>
      <c r="AM14" s="208" t="n"/>
      <c r="AN14" s="250" t="inlineStr">
        <is>
          <t>總日數</t>
        </is>
      </c>
      <c r="AO14" s="286" t="inlineStr">
        <is>
          <t>總時數</t>
        </is>
      </c>
    </row>
    <row r="15" ht="21.95" customHeight="1" s="459">
      <c r="B15" s="393" t="inlineStr">
        <is>
          <t>保安主任每日工作(實際)總人數</t>
        </is>
      </c>
      <c r="C15" s="393" t="n"/>
      <c r="D15" s="393" t="n"/>
      <c r="E15" s="394" t="n"/>
      <c r="F15" s="394" t="n"/>
      <c r="G15" s="394" t="n"/>
      <c r="H15" s="141" t="inlineStr">
        <is>
          <t>GS</t>
        </is>
      </c>
      <c r="I15" s="143">
        <f>COUNT(I9:I11)</f>
        <v/>
      </c>
      <c r="J15" s="143">
        <f>COUNT(J9:J11)</f>
        <v/>
      </c>
      <c r="K15" s="143">
        <f>COUNT(K9:K11)</f>
        <v/>
      </c>
      <c r="L15" s="143">
        <f>COUNT(L9:L11)</f>
        <v/>
      </c>
      <c r="M15" s="143">
        <f>COUNT(M9:M11)</f>
        <v/>
      </c>
      <c r="N15" s="143">
        <f>COUNT(N9:N11)</f>
        <v/>
      </c>
      <c r="O15" s="143">
        <f>COUNT(O9:O11)</f>
        <v/>
      </c>
      <c r="P15" s="143">
        <f>COUNT(P9:P11)</f>
        <v/>
      </c>
      <c r="Q15" s="143">
        <f>COUNT(Q9:Q11)</f>
        <v/>
      </c>
      <c r="R15" s="143">
        <f>COUNT(R9:R11)</f>
        <v/>
      </c>
      <c r="S15" s="143">
        <f>COUNT(S9:S11)</f>
        <v/>
      </c>
      <c r="T15" s="143">
        <f>COUNT(T9:T11)</f>
        <v/>
      </c>
      <c r="U15" s="143">
        <f>COUNT(U9:U11)</f>
        <v/>
      </c>
      <c r="V15" s="143">
        <f>COUNT(V9:V11)</f>
        <v/>
      </c>
      <c r="W15" s="143">
        <f>COUNT(W9:W11)</f>
        <v/>
      </c>
      <c r="X15" s="143">
        <f>COUNT(X9:X11)</f>
        <v/>
      </c>
      <c r="Y15" s="143">
        <f>COUNT(Y9:Y11)</f>
        <v/>
      </c>
      <c r="Z15" s="143">
        <f>COUNT(Z9:Z11)</f>
        <v/>
      </c>
      <c r="AA15" s="143">
        <f>COUNT(AA9:AA11)</f>
        <v/>
      </c>
      <c r="AB15" s="143">
        <f>COUNT(AB9:AB11)</f>
        <v/>
      </c>
      <c r="AC15" s="143">
        <f>COUNT(AC9:AC11)</f>
        <v/>
      </c>
      <c r="AD15" s="143">
        <f>COUNT(AD9:AD11)</f>
        <v/>
      </c>
      <c r="AE15" s="143">
        <f>COUNT(AE9:AE11)</f>
        <v/>
      </c>
      <c r="AF15" s="143">
        <f>COUNT(AF9:AF11)</f>
        <v/>
      </c>
      <c r="AG15" s="143">
        <f>COUNT(AG9:AG11)</f>
        <v/>
      </c>
      <c r="AH15" s="143">
        <f>COUNT(AH9:AH11)</f>
        <v/>
      </c>
      <c r="AI15" s="143">
        <f>COUNT(AI9:AI11)</f>
        <v/>
      </c>
      <c r="AJ15" s="143">
        <f>COUNT(AJ9:AJ11)</f>
        <v/>
      </c>
      <c r="AK15" s="143">
        <f>COUNT(AK9:AK11)</f>
        <v/>
      </c>
      <c r="AL15" s="143">
        <f>COUNT(AL9:AL11)</f>
        <v/>
      </c>
      <c r="AM15" s="143">
        <f>COUNT(AM9:AM11)</f>
        <v/>
      </c>
      <c r="AN15" s="141">
        <f>SUM(I15:AM15)</f>
        <v/>
      </c>
      <c r="AO15" s="145">
        <f>SUM(I9:AM11)</f>
        <v/>
      </c>
    </row>
    <row r="16" ht="21.95" customHeight="1" s="459">
      <c r="B16" s="396" t="inlineStr">
        <is>
          <t>保安主任每日工作(要求)總人數</t>
        </is>
      </c>
      <c r="C16" s="396" t="n"/>
      <c r="D16" s="396" t="n"/>
      <c r="E16" s="397" t="n"/>
      <c r="F16" s="397" t="n"/>
      <c r="G16" s="397" t="n"/>
      <c r="H16" s="149" t="n"/>
      <c r="I16" s="252" t="n">
        <v>2</v>
      </c>
      <c r="J16" s="151" t="n">
        <v>2</v>
      </c>
      <c r="K16" s="151" t="n">
        <v>2</v>
      </c>
      <c r="L16" s="151" t="n">
        <v>2</v>
      </c>
      <c r="M16" s="151" t="n">
        <v>2</v>
      </c>
      <c r="N16" s="151" t="n">
        <v>2</v>
      </c>
      <c r="O16" s="151" t="n">
        <v>2</v>
      </c>
      <c r="P16" s="151" t="n">
        <v>2</v>
      </c>
      <c r="Q16" s="151" t="n">
        <v>2</v>
      </c>
      <c r="R16" s="151" t="n">
        <v>2</v>
      </c>
      <c r="S16" s="151" t="n">
        <v>2</v>
      </c>
      <c r="T16" s="151" t="n">
        <v>2</v>
      </c>
      <c r="U16" s="151" t="n">
        <v>2</v>
      </c>
      <c r="V16" s="151" t="n">
        <v>2</v>
      </c>
      <c r="W16" s="151" t="n">
        <v>2</v>
      </c>
      <c r="X16" s="151" t="n">
        <v>2</v>
      </c>
      <c r="Y16" s="151" t="n">
        <v>2</v>
      </c>
      <c r="Z16" s="151" t="n">
        <v>2</v>
      </c>
      <c r="AA16" s="151" t="n">
        <v>2</v>
      </c>
      <c r="AB16" s="151" t="n">
        <v>2</v>
      </c>
      <c r="AC16" s="151" t="n">
        <v>2</v>
      </c>
      <c r="AD16" s="151" t="n">
        <v>2</v>
      </c>
      <c r="AE16" s="151" t="n">
        <v>2</v>
      </c>
      <c r="AF16" s="151" t="n">
        <v>2</v>
      </c>
      <c r="AG16" s="151" t="n">
        <v>2</v>
      </c>
      <c r="AH16" s="151" t="n">
        <v>2</v>
      </c>
      <c r="AI16" s="151" t="n">
        <v>2</v>
      </c>
      <c r="AJ16" s="151" t="n">
        <v>2</v>
      </c>
      <c r="AK16" s="151" t="n">
        <v>2</v>
      </c>
      <c r="AL16" s="151" t="n">
        <v>2</v>
      </c>
      <c r="AM16" s="151" t="n">
        <v>2</v>
      </c>
      <c r="AN16" s="149">
        <f>SUM(I16:AM16)</f>
        <v/>
      </c>
      <c r="AO16" s="287">
        <f>AN16*8</f>
        <v/>
      </c>
    </row>
    <row r="17" ht="21.95" customHeight="1" s="459" thickBot="1">
      <c r="B17" s="402" t="inlineStr">
        <is>
          <t>保安主任每日工作(缺勤)總人數</t>
        </is>
      </c>
      <c r="C17" s="402" t="n"/>
      <c r="D17" s="402" t="n"/>
      <c r="E17" s="403" t="n"/>
      <c r="F17" s="403" t="n"/>
      <c r="G17" s="403" t="n"/>
      <c r="H17" s="157" t="n"/>
      <c r="I17" s="471">
        <f>IF((I15-I16)&lt;0,I15-I16,0)</f>
        <v/>
      </c>
      <c r="J17" s="471">
        <f>IF((J15-J16)&lt;0,J15-J16,0)</f>
        <v/>
      </c>
      <c r="K17" s="471">
        <f>IF((K15-K16)&lt;0,K15-K16,0)</f>
        <v/>
      </c>
      <c r="L17" s="471">
        <f>IF((L15-L16)&lt;0,L15-L16,0)</f>
        <v/>
      </c>
      <c r="M17" s="471">
        <f>IF((M15-M16)&lt;0,M15-M16,0)</f>
        <v/>
      </c>
      <c r="N17" s="471">
        <f>IF((N15-N16)&lt;0,N15-N16,0)</f>
        <v/>
      </c>
      <c r="O17" s="471">
        <f>IF((O15-O16)&lt;0,O15-O16,0)</f>
        <v/>
      </c>
      <c r="P17" s="471">
        <f>IF((P15-P16)&lt;0,P15-P16,0)</f>
        <v/>
      </c>
      <c r="Q17" s="471">
        <f>IF((Q15-Q16)&lt;0,Q15-Q16,0)</f>
        <v/>
      </c>
      <c r="R17" s="471">
        <f>IF((RG15-RG16)&lt;0,RG15-RG16,0)</f>
        <v/>
      </c>
      <c r="S17" s="471">
        <f>IF((S15-S16)&lt;0,S15-S16,0)</f>
        <v/>
      </c>
      <c r="T17" s="471">
        <f>IF((T15-T16)&lt;0,T15-T16,0)</f>
        <v/>
      </c>
      <c r="U17" s="471">
        <f>IF((U15-U16)&lt;0,U15-U16,0)</f>
        <v/>
      </c>
      <c r="V17" s="471">
        <f>IF((V15-V16)&lt;0,V15-V16,0)</f>
        <v/>
      </c>
      <c r="W17" s="471">
        <f>IF((W15-W16)&lt;0,W15-W16,0)</f>
        <v/>
      </c>
      <c r="X17" s="471">
        <f>IF((X15-X16)&lt;0,X15-X16,0)</f>
        <v/>
      </c>
      <c r="Y17" s="471">
        <f>IF((Y15-Y16)&lt;0,Y15-Y16,0)</f>
        <v/>
      </c>
      <c r="Z17" s="471">
        <f>IF((Z15-Z16)&lt;0,Z15-Z16,0)</f>
        <v/>
      </c>
      <c r="AA17" s="471">
        <f>IF((AA15-AA16)&lt;0,AA15-AA16,0)</f>
        <v/>
      </c>
      <c r="AB17" s="471">
        <f>IF((AB15-AB16)&lt;0,AB15-AB16,0)</f>
        <v/>
      </c>
      <c r="AC17" s="471">
        <f>IF((AC15-AC16)&lt;0,AC15-AC16,0)</f>
        <v/>
      </c>
      <c r="AD17" s="471">
        <f>IF((AD15-AD16)&lt;0,AD15-AD16,0)</f>
        <v/>
      </c>
      <c r="AE17" s="471">
        <f>IF((AE15-AE16)&lt;0,AE15-AE16,0)</f>
        <v/>
      </c>
      <c r="AF17" s="471">
        <f>IF((AF15-AF16)&lt;0,AF15-AF16,0)</f>
        <v/>
      </c>
      <c r="AG17" s="471">
        <f>IF((AG15-AG16)&lt;0,AG15-AG16,0)</f>
        <v/>
      </c>
      <c r="AH17" s="471">
        <f>IF((AH15-AH16)&lt;0,AH15-AH16,0)</f>
        <v/>
      </c>
      <c r="AI17" s="471">
        <f>IF((AI15-AI16)&lt;0,AI15-AI16,0)</f>
        <v/>
      </c>
      <c r="AJ17" s="471">
        <f>IF((AJ15-AJ16)&lt;0,AJ15-AJ16,0)</f>
        <v/>
      </c>
      <c r="AK17" s="471">
        <f>IF((AK15-AK16)&lt;0,AK15-AK16,0)</f>
        <v/>
      </c>
      <c r="AL17" s="471">
        <f>IF((AL15-AL16)&lt;0,AL15-AL16,0)</f>
        <v/>
      </c>
      <c r="AM17" s="471">
        <f>IF((AM15-AM16)&lt;0,AM15-AM16,0)</f>
        <v/>
      </c>
      <c r="AN17" s="490">
        <f>SUM(I17:AM17)</f>
        <v/>
      </c>
      <c r="AO17" s="532">
        <f>AO15-AO16</f>
        <v/>
      </c>
    </row>
    <row r="18" ht="21.95" customHeight="1" s="459">
      <c r="B18" s="162" t="n"/>
      <c r="C18" s="162" t="n"/>
      <c r="D18" s="162" t="n"/>
      <c r="E18" s="162" t="n"/>
      <c r="F18" s="162" t="n"/>
      <c r="G18" s="162" t="n"/>
      <c r="H18" s="163" t="n"/>
      <c r="I18" s="473" t="n"/>
      <c r="J18" s="473" t="n"/>
      <c r="K18" s="473" t="n"/>
      <c r="L18" s="473" t="n"/>
      <c r="M18" s="473" t="n"/>
      <c r="N18" s="473" t="n"/>
      <c r="O18" s="473" t="n"/>
      <c r="P18" s="473" t="n"/>
      <c r="Q18" s="473" t="n"/>
      <c r="R18" s="473" t="n"/>
      <c r="S18" s="473" t="n"/>
      <c r="T18" s="473" t="n"/>
      <c r="U18" s="473" t="n"/>
      <c r="V18" s="473" t="n"/>
      <c r="W18" s="473" t="n"/>
      <c r="X18" s="473" t="n"/>
      <c r="Y18" s="473" t="n"/>
      <c r="Z18" s="473" t="n"/>
      <c r="AA18" s="473" t="n"/>
      <c r="AB18" s="473" t="n"/>
      <c r="AC18" s="473" t="n"/>
      <c r="AD18" s="473" t="n"/>
      <c r="AE18" s="473" t="n"/>
      <c r="AF18" s="473" t="n"/>
      <c r="AG18" s="473" t="n"/>
      <c r="AH18" s="473" t="n"/>
      <c r="AI18" s="473" t="n"/>
      <c r="AJ18" s="473" t="n"/>
      <c r="AK18" s="473" t="n"/>
      <c r="AL18" s="473" t="n"/>
      <c r="AM18" s="473" t="n"/>
      <c r="AN18" s="473" t="n"/>
      <c r="AO18" s="473" t="n"/>
    </row>
    <row r="19" ht="21.95" customHeight="1" s="459" thickBot="1">
      <c r="B19" s="89" t="inlineStr">
        <is>
          <t>2. 特別保安員/普通保安員出勤時數</t>
        </is>
      </c>
      <c r="C19" s="208" t="n"/>
      <c r="D19" s="208" t="n"/>
      <c r="E19" s="208" t="n"/>
      <c r="F19" s="208" t="n"/>
      <c r="G19" s="208" t="n"/>
      <c r="H19" s="208" t="n"/>
      <c r="I19" s="133" t="n"/>
      <c r="J19" s="133" t="n"/>
      <c r="K19" s="133" t="n"/>
      <c r="L19" s="133" t="n"/>
      <c r="M19" s="133" t="n"/>
      <c r="N19" s="133" t="n"/>
      <c r="O19" s="133" t="n"/>
      <c r="P19" s="133" t="n"/>
      <c r="Q19" s="133" t="n"/>
      <c r="R19" s="133" t="n"/>
      <c r="S19" s="133" t="n"/>
      <c r="T19" s="133" t="n"/>
      <c r="U19" s="133" t="n"/>
      <c r="V19" s="133" t="n"/>
      <c r="W19" s="133" t="n"/>
      <c r="X19" s="133" t="n"/>
      <c r="Y19" s="133" t="n"/>
      <c r="Z19" s="133" t="n"/>
      <c r="AA19" s="133" t="n"/>
      <c r="AB19" s="133" t="n"/>
      <c r="AC19" s="133" t="n"/>
      <c r="AD19" s="133" t="n"/>
      <c r="AE19" s="133" t="n"/>
      <c r="AF19" s="133" t="n"/>
      <c r="AG19" s="133" t="n"/>
      <c r="AH19" s="133" t="n"/>
      <c r="AI19" s="133" t="n"/>
      <c r="AJ19" s="133" t="n"/>
      <c r="AK19" s="133" t="n"/>
      <c r="AL19" s="133" t="n"/>
      <c r="AM19" s="133" t="n"/>
      <c r="AN19" s="208" t="n"/>
      <c r="AO19" s="208" t="n"/>
    </row>
    <row r="20" ht="21.95" customFormat="1" customHeight="1" s="22">
      <c r="B20" s="233" t="inlineStr">
        <is>
          <t>N03</t>
        </is>
      </c>
      <c r="C20" s="236" t="n">
        <v>4967</v>
      </c>
      <c r="D20" s="236" t="inlineStr">
        <is>
          <t>梁玉玲</t>
        </is>
      </c>
      <c r="E20" s="276" t="inlineStr">
        <is>
          <t>SG/G</t>
        </is>
      </c>
      <c r="F20" s="223" t="inlineStr">
        <is>
          <t>SECU_G(N)</t>
        </is>
      </c>
      <c r="G20" s="224" t="n">
        <v>8</v>
      </c>
      <c r="H20" s="93" t="inlineStr">
        <is>
          <t>夜</t>
        </is>
      </c>
      <c r="I20" s="113" t="n">
        <v>8</v>
      </c>
      <c r="J20" s="259" t="n">
        <v>8</v>
      </c>
      <c r="K20" s="259" t="n">
        <v>8</v>
      </c>
      <c r="L20" s="259" t="n">
        <v>8</v>
      </c>
      <c r="M20" s="259" t="inlineStr">
        <is>
          <t>NSH</t>
        </is>
      </c>
      <c r="N20" s="259" t="n">
        <v>8</v>
      </c>
      <c r="O20" s="259" t="n">
        <v>8</v>
      </c>
      <c r="P20" s="259" t="n">
        <v>8</v>
      </c>
      <c r="Q20" s="259" t="n">
        <v>8</v>
      </c>
      <c r="R20" s="259" t="n">
        <v>8</v>
      </c>
      <c r="S20" s="259" t="n">
        <v>8</v>
      </c>
      <c r="T20" s="259" t="n">
        <v>8</v>
      </c>
      <c r="U20" s="259" t="n">
        <v>8</v>
      </c>
      <c r="V20" s="259" t="n">
        <v>8</v>
      </c>
      <c r="W20" s="259" t="n">
        <v>8</v>
      </c>
      <c r="X20" s="259" t="n">
        <v>8</v>
      </c>
      <c r="Y20" s="259" t="inlineStr">
        <is>
          <t>NSH</t>
        </is>
      </c>
      <c r="Z20" s="259" t="inlineStr">
        <is>
          <t>NSH</t>
        </is>
      </c>
      <c r="AA20" s="259" t="n">
        <v>8</v>
      </c>
      <c r="AB20" s="259" t="n">
        <v>8</v>
      </c>
      <c r="AC20" s="259" t="n">
        <v>8</v>
      </c>
      <c r="AD20" s="259" t="n">
        <v>8</v>
      </c>
      <c r="AE20" s="259" t="inlineStr">
        <is>
          <t>RD</t>
        </is>
      </c>
      <c r="AF20" s="259" t="n">
        <v>8</v>
      </c>
      <c r="AG20" s="259" t="n">
        <v>8</v>
      </c>
      <c r="AH20" s="259" t="n">
        <v>8</v>
      </c>
      <c r="AI20" s="259" t="n">
        <v>8</v>
      </c>
      <c r="AJ20" s="259" t="n">
        <v>8</v>
      </c>
      <c r="AK20" s="259" t="n">
        <v>8</v>
      </c>
      <c r="AL20" s="259" t="n">
        <v>8</v>
      </c>
      <c r="AM20" s="260" t="n">
        <v>8</v>
      </c>
      <c r="AN20" s="455">
        <f>COUNT(I20:AM20)</f>
        <v/>
      </c>
      <c r="AO20" s="233">
        <f>SUM(I20:AM20)</f>
        <v/>
      </c>
      <c r="AP20" s="15">
        <f>COUNTIFS($I20:$AM20,"SH")+COUNTIFS($I20:$AM20,"NSH")</f>
        <v/>
      </c>
      <c r="AQ20" s="3">
        <f>COUNTIFS($I20:$AM20,$AQ$6)</f>
        <v/>
      </c>
      <c r="AR20" s="3">
        <f>COUNTIFS($I20:$AM20,$AR$6)</f>
        <v/>
      </c>
      <c r="AS20" s="3">
        <f>COUNTIFS($I20:$AM20,$AS$6)</f>
        <v/>
      </c>
      <c r="AT20" s="76">
        <f>COUNTIFS($I20:$AM20,$AT$6)</f>
        <v/>
      </c>
      <c r="AU20" s="74">
        <f>$AU$7</f>
        <v/>
      </c>
      <c r="AV20" s="6">
        <f>COUNTIF(I20:AM20,"RD")</f>
        <v/>
      </c>
      <c r="AW20" s="6">
        <f>AU20-AV20</f>
        <v/>
      </c>
      <c r="AX20" s="6">
        <f>COUNTIF(I20:AM20,"SH")</f>
        <v/>
      </c>
      <c r="AY20" s="6">
        <f>COUNTIF(I20:AM20,"SL")</f>
        <v/>
      </c>
      <c r="AZ20" s="6">
        <f>COUNTIF(I20:AM20,"np")</f>
        <v/>
      </c>
      <c r="BA20" s="6">
        <f>COUNTIF(I20:AM20,"AL*")</f>
        <v/>
      </c>
      <c r="BB20" s="6">
        <f>COUNTIF(I20:AM20,"NC*")</f>
        <v/>
      </c>
      <c r="BC20" s="26" t="n"/>
    </row>
    <row r="21" ht="21.95" customFormat="1" customHeight="1" s="22">
      <c r="B21" s="237" t="inlineStr">
        <is>
          <t>N04</t>
        </is>
      </c>
      <c r="C21" s="240" t="n">
        <v>4965</v>
      </c>
      <c r="D21" s="288" t="inlineStr">
        <is>
          <t>崔偉</t>
        </is>
      </c>
      <c r="E21" s="289" t="inlineStr">
        <is>
          <t>SG/G</t>
        </is>
      </c>
      <c r="F21" s="119" t="inlineStr">
        <is>
          <t>SECU_G(N)</t>
        </is>
      </c>
      <c r="G21" s="262" t="n">
        <v>8</v>
      </c>
      <c r="H21" s="173" t="inlineStr">
        <is>
          <t>夜</t>
        </is>
      </c>
      <c r="I21" s="178" t="n">
        <v>8</v>
      </c>
      <c r="J21" s="121" t="n">
        <v>8</v>
      </c>
      <c r="K21" s="122" t="n">
        <v>8</v>
      </c>
      <c r="L21" s="122" t="inlineStr">
        <is>
          <t>NSH</t>
        </is>
      </c>
      <c r="M21" s="122" t="n">
        <v>8</v>
      </c>
      <c r="N21" s="122" t="n">
        <v>8</v>
      </c>
      <c r="O21" s="122" t="n">
        <v>8</v>
      </c>
      <c r="P21" s="122" t="n">
        <v>8</v>
      </c>
      <c r="Q21" s="122" t="n">
        <v>8</v>
      </c>
      <c r="R21" s="122" t="n">
        <v>8</v>
      </c>
      <c r="S21" s="122" t="n">
        <v>8</v>
      </c>
      <c r="T21" s="122" t="inlineStr">
        <is>
          <t>GS</t>
        </is>
      </c>
      <c r="U21" s="122" t="inlineStr">
        <is>
          <t>NSH</t>
        </is>
      </c>
      <c r="V21" s="122" t="inlineStr">
        <is>
          <t>GS</t>
        </is>
      </c>
      <c r="W21" s="122" t="n">
        <v>8</v>
      </c>
      <c r="X21" s="122" t="n">
        <v>8</v>
      </c>
      <c r="Y21" s="122" t="n">
        <v>8</v>
      </c>
      <c r="Z21" s="122" t="n">
        <v>8</v>
      </c>
      <c r="AA21" s="122" t="inlineStr">
        <is>
          <t>GS</t>
        </is>
      </c>
      <c r="AB21" s="122" t="inlineStr">
        <is>
          <t>GS</t>
        </is>
      </c>
      <c r="AC21" s="122" t="n">
        <v>8</v>
      </c>
      <c r="AD21" s="122" t="inlineStr">
        <is>
          <t>NSH</t>
        </is>
      </c>
      <c r="AE21" s="122" t="n">
        <v>8</v>
      </c>
      <c r="AF21" s="122" t="n">
        <v>8</v>
      </c>
      <c r="AG21" s="122" t="inlineStr">
        <is>
          <t>GS</t>
        </is>
      </c>
      <c r="AH21" s="122" t="inlineStr">
        <is>
          <t>GS</t>
        </is>
      </c>
      <c r="AI21" s="122" t="inlineStr">
        <is>
          <t>GS</t>
        </is>
      </c>
      <c r="AJ21" s="122" t="inlineStr">
        <is>
          <t>GS</t>
        </is>
      </c>
      <c r="AK21" s="122" t="inlineStr">
        <is>
          <t>GS</t>
        </is>
      </c>
      <c r="AL21" s="122" t="inlineStr">
        <is>
          <t>GS</t>
        </is>
      </c>
      <c r="AM21" s="290" t="inlineStr">
        <is>
          <t>GS</t>
        </is>
      </c>
      <c r="AN21" s="456">
        <f>COUNT(I21:AM21)</f>
        <v/>
      </c>
      <c r="AO21" s="269">
        <f>SUM(I21:AM21)</f>
        <v/>
      </c>
      <c r="AP21" s="60">
        <f>COUNTIFS($I21:$AM21,"SH")+COUNTIFS($I21:$AM21,"NSH")</f>
        <v/>
      </c>
      <c r="AQ21" s="61">
        <f>COUNTIFS($I21:$AM21,$AQ$6)</f>
        <v/>
      </c>
      <c r="AR21" s="61">
        <f>COUNTIFS($I21:$AM21,$AR$6)</f>
        <v/>
      </c>
      <c r="AS21" s="61">
        <f>COUNTIFS($I21:$AM21,$AS$6)</f>
        <v/>
      </c>
      <c r="AT21" s="77">
        <f>COUNTIFS($I21:$AM21,$AT$6)</f>
        <v/>
      </c>
      <c r="AU21" s="46">
        <f>$AU$7</f>
        <v/>
      </c>
      <c r="AV21" s="10">
        <f>COUNTIF(I21:AM21,"RD")</f>
        <v/>
      </c>
      <c r="AW21" s="10">
        <f>AU21-AV21</f>
        <v/>
      </c>
      <c r="AX21" s="10">
        <f>COUNTIF(I21:AM21,"SH")</f>
        <v/>
      </c>
      <c r="AY21" s="10">
        <f>COUNTIF(I21:AM21,"SL")</f>
        <v/>
      </c>
      <c r="AZ21" s="10">
        <f>COUNTIF(I21:AM21,"np")</f>
        <v/>
      </c>
      <c r="BA21" s="10">
        <f>COUNTIF(I21:AM21,"AL*")</f>
        <v/>
      </c>
      <c r="BB21" s="10">
        <f>COUNTIF(I21:AM21,"NC*")</f>
        <v/>
      </c>
      <c r="BC21" s="82" t="n"/>
    </row>
    <row r="22" ht="21.95" customFormat="1" customHeight="1" s="22">
      <c r="B22" s="237" t="inlineStr">
        <is>
          <t>N05</t>
        </is>
      </c>
      <c r="C22" s="240" t="n">
        <v>4972</v>
      </c>
      <c r="D22" s="240" t="inlineStr">
        <is>
          <t>鍾國明</t>
        </is>
      </c>
      <c r="E22" s="289" t="inlineStr">
        <is>
          <t>SG/G</t>
        </is>
      </c>
      <c r="F22" s="119" t="inlineStr">
        <is>
          <t>SECU_G(N)</t>
        </is>
      </c>
      <c r="G22" s="262" t="n">
        <v>8</v>
      </c>
      <c r="H22" s="173" t="inlineStr">
        <is>
          <t>夜</t>
        </is>
      </c>
      <c r="I22" s="178" t="inlineStr">
        <is>
          <t>RD</t>
        </is>
      </c>
      <c r="J22" s="122" t="n">
        <v>8</v>
      </c>
      <c r="K22" s="122" t="n">
        <v>8</v>
      </c>
      <c r="L22" s="122" t="n">
        <v>8</v>
      </c>
      <c r="M22" s="122" t="n">
        <v>8</v>
      </c>
      <c r="N22" s="122" t="inlineStr">
        <is>
          <t>NSH</t>
        </is>
      </c>
      <c r="O22" s="122" t="n">
        <v>8</v>
      </c>
      <c r="P22" s="122" t="n">
        <v>8</v>
      </c>
      <c r="Q22" s="122" t="n">
        <v>8</v>
      </c>
      <c r="R22" s="122" t="n">
        <v>8</v>
      </c>
      <c r="S22" s="122" t="n">
        <v>8</v>
      </c>
      <c r="T22" s="122" t="n">
        <v>8</v>
      </c>
      <c r="U22" s="122" t="n">
        <v>8</v>
      </c>
      <c r="V22" s="122" t="inlineStr">
        <is>
          <t>NSH</t>
        </is>
      </c>
      <c r="W22" s="122" t="n">
        <v>8</v>
      </c>
      <c r="X22" s="122" t="n">
        <v>8</v>
      </c>
      <c r="Y22" s="122" t="n">
        <v>8</v>
      </c>
      <c r="Z22" s="122" t="n">
        <v>8</v>
      </c>
      <c r="AA22" s="122" t="n">
        <v>8</v>
      </c>
      <c r="AB22" s="122" t="n">
        <v>8</v>
      </c>
      <c r="AC22" s="122" t="inlineStr">
        <is>
          <t>NSH</t>
        </is>
      </c>
      <c r="AD22" s="122" t="n">
        <v>8</v>
      </c>
      <c r="AE22" s="122" t="n">
        <v>8</v>
      </c>
      <c r="AF22" s="122" t="n">
        <v>8</v>
      </c>
      <c r="AG22" s="122" t="n">
        <v>8</v>
      </c>
      <c r="AH22" s="122" t="n">
        <v>8</v>
      </c>
      <c r="AI22" s="122" t="n">
        <v>8</v>
      </c>
      <c r="AJ22" s="122" t="n">
        <v>8</v>
      </c>
      <c r="AK22" s="122" t="n">
        <v>8</v>
      </c>
      <c r="AL22" s="122" t="n">
        <v>8</v>
      </c>
      <c r="AM22" s="290" t="n">
        <v>8</v>
      </c>
      <c r="AN22" s="456">
        <f>COUNT(I22:AM22)</f>
        <v/>
      </c>
      <c r="AO22" s="269">
        <f>SUM(I22:AM22)</f>
        <v/>
      </c>
      <c r="AP22" s="60">
        <f>COUNTIFS($I22:$AM22,"SH")+COUNTIFS($I22:$AM22,"NSH")</f>
        <v/>
      </c>
      <c r="AQ22" s="61">
        <f>COUNTIFS($I22:$AM22,$AQ$6)</f>
        <v/>
      </c>
      <c r="AR22" s="61">
        <f>COUNTIFS($I22:$AM22,$AR$6)</f>
        <v/>
      </c>
      <c r="AS22" s="61">
        <f>COUNTIFS($I22:$AM22,$AS$6)</f>
        <v/>
      </c>
      <c r="AT22" s="77">
        <f>COUNTIFS($I22:$AM22,$AT$6)</f>
        <v/>
      </c>
      <c r="AU22" s="46">
        <f>$AU$7</f>
        <v/>
      </c>
      <c r="AV22" s="10">
        <f>COUNTIF(I22:AM22,"RD")</f>
        <v/>
      </c>
      <c r="AW22" s="10">
        <f>AU22-AV22</f>
        <v/>
      </c>
      <c r="AX22" s="10">
        <f>COUNTIF(I22:AM22,"SH")</f>
        <v/>
      </c>
      <c r="AY22" s="10">
        <f>COUNTIF(I22:AM22,"SL")</f>
        <v/>
      </c>
      <c r="AZ22" s="10">
        <f>COUNTIF(I22:AM22,"np")</f>
        <v/>
      </c>
      <c r="BA22" s="10">
        <f>COUNTIF(I22:AM22,"AL*")</f>
        <v/>
      </c>
      <c r="BB22" s="10">
        <f>COUNTIF(I22:AM22,"NC*")</f>
        <v/>
      </c>
      <c r="BC22" s="82" t="n"/>
    </row>
    <row r="23" ht="21.95" customFormat="1" customHeight="1" s="22">
      <c r="B23" s="237" t="inlineStr">
        <is>
          <t>N06</t>
        </is>
      </c>
      <c r="C23" s="240" t="n">
        <v>4971</v>
      </c>
      <c r="D23" s="240" t="inlineStr">
        <is>
          <t>陳菊花</t>
        </is>
      </c>
      <c r="E23" s="289" t="inlineStr">
        <is>
          <t>SG/G</t>
        </is>
      </c>
      <c r="F23" s="119" t="inlineStr">
        <is>
          <t>SECU_G(N)</t>
        </is>
      </c>
      <c r="G23" s="262" t="n">
        <v>8</v>
      </c>
      <c r="H23" s="173" t="inlineStr">
        <is>
          <t>夜</t>
        </is>
      </c>
      <c r="I23" s="178" t="n">
        <v>8</v>
      </c>
      <c r="J23" s="122" t="n">
        <v>8</v>
      </c>
      <c r="K23" s="122" t="n">
        <v>8</v>
      </c>
      <c r="L23" s="122" t="n">
        <v>8</v>
      </c>
      <c r="M23" s="122" t="n">
        <v>8</v>
      </c>
      <c r="N23" s="122" t="n">
        <v>8</v>
      </c>
      <c r="O23" s="122" t="n">
        <v>8</v>
      </c>
      <c r="P23" s="122" t="inlineStr">
        <is>
          <t>NSH</t>
        </is>
      </c>
      <c r="Q23" s="122" t="n">
        <v>8</v>
      </c>
      <c r="R23" s="122" t="n">
        <v>8</v>
      </c>
      <c r="S23" s="122" t="n">
        <v>8</v>
      </c>
      <c r="T23" s="122" t="n">
        <v>8</v>
      </c>
      <c r="U23" s="122" t="n">
        <v>8</v>
      </c>
      <c r="V23" s="122" t="n">
        <v>8</v>
      </c>
      <c r="W23" s="122" t="n">
        <v>8</v>
      </c>
      <c r="X23" s="122" t="inlineStr">
        <is>
          <t>NSH</t>
        </is>
      </c>
      <c r="Y23" s="122" t="n">
        <v>8</v>
      </c>
      <c r="Z23" s="122" t="n">
        <v>8</v>
      </c>
      <c r="AA23" s="122" t="n">
        <v>8</v>
      </c>
      <c r="AB23" s="122" t="n">
        <v>8</v>
      </c>
      <c r="AC23" s="122" t="n">
        <v>8</v>
      </c>
      <c r="AD23" s="122" t="n">
        <v>8</v>
      </c>
      <c r="AE23" s="122" t="inlineStr">
        <is>
          <t>NSH</t>
        </is>
      </c>
      <c r="AF23" s="122" t="n">
        <v>8</v>
      </c>
      <c r="AG23" s="122" t="n">
        <v>8</v>
      </c>
      <c r="AH23" s="122" t="n">
        <v>8</v>
      </c>
      <c r="AI23" s="122" t="n">
        <v>8</v>
      </c>
      <c r="AJ23" s="122" t="n">
        <v>8</v>
      </c>
      <c r="AK23" s="122" t="n">
        <v>8</v>
      </c>
      <c r="AL23" s="122" t="n">
        <v>8</v>
      </c>
      <c r="AM23" s="290" t="n">
        <v>8</v>
      </c>
      <c r="AN23" s="456">
        <f>COUNT(I23:AM23)</f>
        <v/>
      </c>
      <c r="AO23" s="269">
        <f>SUM(I23:AM23)</f>
        <v/>
      </c>
      <c r="AP23" s="60">
        <f>COUNTIFS($I23:$AM23,"SH")+COUNTIFS($I23:$AM23,"NSH")</f>
        <v/>
      </c>
      <c r="AQ23" s="61">
        <f>COUNTIFS($I23:$AM23,$AQ$6)</f>
        <v/>
      </c>
      <c r="AR23" s="61">
        <f>COUNTIFS($I23:$AM23,$AR$6)</f>
        <v/>
      </c>
      <c r="AS23" s="61">
        <f>COUNTIFS($I23:$AM23,$AS$6)</f>
        <v/>
      </c>
      <c r="AT23" s="77">
        <f>COUNTIFS($I23:$AM23,$AT$6)</f>
        <v/>
      </c>
      <c r="AU23" s="46">
        <f>$AU$7</f>
        <v/>
      </c>
      <c r="AV23" s="10">
        <f>COUNTIF(I23:AM23,"RD")</f>
        <v/>
      </c>
      <c r="AW23" s="10">
        <f>AU23-AV23</f>
        <v/>
      </c>
      <c r="AX23" s="10">
        <f>COUNTIF(I23:AM23,"SH")</f>
        <v/>
      </c>
      <c r="AY23" s="10">
        <f>COUNTIF(I23:AM23,"SL")</f>
        <v/>
      </c>
      <c r="AZ23" s="10">
        <f>COUNTIF(I23:AM23,"np")</f>
        <v/>
      </c>
      <c r="BA23" s="10">
        <f>COUNTIF(I23:AM23,"AL*")</f>
        <v/>
      </c>
      <c r="BB23" s="10">
        <f>COUNTIF(I23:AM23,"NC*")</f>
        <v/>
      </c>
      <c r="BC23" s="82" t="n"/>
    </row>
    <row r="24" ht="21.95" customFormat="1" customHeight="1" s="22">
      <c r="B24" s="237" t="inlineStr">
        <is>
          <t>N07</t>
        </is>
      </c>
      <c r="C24" s="240" t="n">
        <v>4975</v>
      </c>
      <c r="D24" s="240" t="inlineStr">
        <is>
          <t>彭建強</t>
        </is>
      </c>
      <c r="E24" s="289" t="inlineStr">
        <is>
          <t>SG/G</t>
        </is>
      </c>
      <c r="F24" s="119" t="inlineStr">
        <is>
          <t>SECU_G(N)</t>
        </is>
      </c>
      <c r="G24" s="262" t="n">
        <v>8</v>
      </c>
      <c r="H24" s="173" t="inlineStr">
        <is>
          <t>夜</t>
        </is>
      </c>
      <c r="I24" s="178" t="n">
        <v>8</v>
      </c>
      <c r="J24" s="122" t="n">
        <v>8</v>
      </c>
      <c r="K24" s="122" t="inlineStr">
        <is>
          <t>NSH</t>
        </is>
      </c>
      <c r="L24" s="122" t="n">
        <v>8</v>
      </c>
      <c r="M24" s="122" t="n">
        <v>8</v>
      </c>
      <c r="N24" s="122" t="n">
        <v>8</v>
      </c>
      <c r="O24" s="122" t="n">
        <v>8</v>
      </c>
      <c r="P24" s="122" t="n">
        <v>8</v>
      </c>
      <c r="Q24" s="122" t="n">
        <v>8</v>
      </c>
      <c r="R24" s="122" t="inlineStr">
        <is>
          <t>NSH</t>
        </is>
      </c>
      <c r="S24" s="122" t="n">
        <v>8</v>
      </c>
      <c r="T24" s="122" t="n">
        <v>8</v>
      </c>
      <c r="U24" s="122" t="n">
        <v>8</v>
      </c>
      <c r="V24" s="122" t="n">
        <v>8</v>
      </c>
      <c r="W24" s="122" t="inlineStr">
        <is>
          <t>NSH</t>
        </is>
      </c>
      <c r="X24" s="122" t="n">
        <v>8</v>
      </c>
      <c r="Y24" s="122" t="n">
        <v>8</v>
      </c>
      <c r="Z24" s="122" t="n">
        <v>8</v>
      </c>
      <c r="AA24" s="122" t="n">
        <v>8</v>
      </c>
      <c r="AB24" s="122" t="n">
        <v>8</v>
      </c>
      <c r="AC24" s="122" t="inlineStr">
        <is>
          <t>RD</t>
        </is>
      </c>
      <c r="AD24" s="122" t="n">
        <v>8</v>
      </c>
      <c r="AE24" s="122" t="n">
        <v>8</v>
      </c>
      <c r="AF24" s="122" t="n">
        <v>8</v>
      </c>
      <c r="AG24" s="122" t="n">
        <v>8</v>
      </c>
      <c r="AH24" s="122" t="n">
        <v>8</v>
      </c>
      <c r="AI24" s="122" t="n">
        <v>8</v>
      </c>
      <c r="AJ24" s="122" t="n">
        <v>8</v>
      </c>
      <c r="AK24" s="122" t="n">
        <v>8</v>
      </c>
      <c r="AL24" s="122" t="n">
        <v>8</v>
      </c>
      <c r="AM24" s="290" t="n">
        <v>8</v>
      </c>
      <c r="AN24" s="456">
        <f>COUNT(I24:AM24)</f>
        <v/>
      </c>
      <c r="AO24" s="269">
        <f>SUM(I24:AM24)</f>
        <v/>
      </c>
      <c r="AP24" s="60">
        <f>COUNTIFS($I24:$AM24,"SH")+COUNTIFS($I24:$AM24,"NSH")</f>
        <v/>
      </c>
      <c r="AQ24" s="61">
        <f>COUNTIFS($I24:$AM24,$AQ$6)</f>
        <v/>
      </c>
      <c r="AR24" s="61">
        <f>COUNTIFS($I24:$AM24,$AR$6)</f>
        <v/>
      </c>
      <c r="AS24" s="61">
        <f>COUNTIFS($I24:$AM24,$AS$6)</f>
        <v/>
      </c>
      <c r="AT24" s="77">
        <f>COUNTIFS($I24:$AM24,$AT$6)</f>
        <v/>
      </c>
      <c r="AU24" s="46">
        <f>$AU$7</f>
        <v/>
      </c>
      <c r="AV24" s="10">
        <f>COUNTIF(I24:AM24,"RD")</f>
        <v/>
      </c>
      <c r="AW24" s="10">
        <f>AU24-AV24</f>
        <v/>
      </c>
      <c r="AX24" s="10">
        <f>COUNTIF(I24:AM24,"SH")</f>
        <v/>
      </c>
      <c r="AY24" s="10">
        <f>COUNTIF(I24:AM24,"SL")</f>
        <v/>
      </c>
      <c r="AZ24" s="10">
        <f>COUNTIF(I24:AM24,"np")</f>
        <v/>
      </c>
      <c r="BA24" s="10">
        <f>COUNTIF(I24:AM24,"AL*")</f>
        <v/>
      </c>
      <c r="BB24" s="10">
        <f>COUNTIF(I24:AM24,"NC*")</f>
        <v/>
      </c>
      <c r="BC24" s="82" t="n"/>
    </row>
    <row r="25" ht="21" customHeight="1" s="459">
      <c r="B25" s="237" t="inlineStr">
        <is>
          <t>N08</t>
        </is>
      </c>
      <c r="C25" s="240" t="n">
        <v>4970</v>
      </c>
      <c r="D25" s="240" t="inlineStr">
        <is>
          <t>李鳳英</t>
        </is>
      </c>
      <c r="E25" s="289" t="inlineStr">
        <is>
          <t>SG/G</t>
        </is>
      </c>
      <c r="F25" s="119" t="inlineStr">
        <is>
          <t>SECU_G(N)</t>
        </is>
      </c>
      <c r="G25" s="262" t="n">
        <v>8</v>
      </c>
      <c r="H25" s="173" t="inlineStr">
        <is>
          <t>夜</t>
        </is>
      </c>
      <c r="I25" s="178" t="inlineStr">
        <is>
          <t>NSH</t>
        </is>
      </c>
      <c r="J25" s="122" t="n">
        <v>8</v>
      </c>
      <c r="K25" s="122" t="n">
        <v>8</v>
      </c>
      <c r="L25" s="122" t="n">
        <v>8</v>
      </c>
      <c r="M25" s="122" t="inlineStr">
        <is>
          <t>RD</t>
        </is>
      </c>
      <c r="N25" s="122" t="inlineStr">
        <is>
          <t>RD</t>
        </is>
      </c>
      <c r="O25" s="122" t="inlineStr">
        <is>
          <t>NSH</t>
        </is>
      </c>
      <c r="P25" s="122" t="inlineStr">
        <is>
          <t>NSH</t>
        </is>
      </c>
      <c r="Q25" s="122" t="n">
        <v>8</v>
      </c>
      <c r="R25" s="122" t="n">
        <v>8</v>
      </c>
      <c r="S25" s="122" t="n">
        <v>8</v>
      </c>
      <c r="T25" s="122" t="n">
        <v>8</v>
      </c>
      <c r="U25" s="122" t="n">
        <v>8</v>
      </c>
      <c r="V25" s="122" t="n">
        <v>8</v>
      </c>
      <c r="W25" s="122" t="n">
        <v>8</v>
      </c>
      <c r="X25" s="122" t="n">
        <v>8</v>
      </c>
      <c r="Y25" s="122" t="n">
        <v>8</v>
      </c>
      <c r="Z25" s="122" t="inlineStr">
        <is>
          <t>RD</t>
        </is>
      </c>
      <c r="AA25" s="122" t="n">
        <v>8</v>
      </c>
      <c r="AB25" s="122" t="n">
        <v>8</v>
      </c>
      <c r="AC25" s="122" t="n">
        <v>8</v>
      </c>
      <c r="AD25" s="122" t="n">
        <v>8</v>
      </c>
      <c r="AE25" s="122" t="n">
        <v>8</v>
      </c>
      <c r="AF25" s="122" t="n">
        <v>8</v>
      </c>
      <c r="AG25" s="122" t="n">
        <v>8</v>
      </c>
      <c r="AH25" s="122" t="n">
        <v>8</v>
      </c>
      <c r="AI25" s="122" t="n">
        <v>8</v>
      </c>
      <c r="AJ25" s="122" t="n">
        <v>8</v>
      </c>
      <c r="AK25" s="122" t="n">
        <v>8</v>
      </c>
      <c r="AL25" s="122" t="n">
        <v>8</v>
      </c>
      <c r="AM25" s="290" t="n">
        <v>8</v>
      </c>
      <c r="AN25" s="457">
        <f>COUNT(I25:AM25)</f>
        <v/>
      </c>
      <c r="AO25" s="237">
        <f>SUM(I25:AM25)</f>
        <v/>
      </c>
      <c r="AP25" s="60">
        <f>COUNTIFS($I25:$AM25,"SH")+COUNTIFS($I25:$AM25,"NSH")</f>
        <v/>
      </c>
      <c r="AQ25" s="61">
        <f>COUNTIFS($I25:$AM25,$AQ$6)</f>
        <v/>
      </c>
      <c r="AR25" s="61">
        <f>COUNTIFS($I25:$AM25,$AR$6)</f>
        <v/>
      </c>
      <c r="AS25" s="61">
        <f>COUNTIFS($I25:$AM25,$AS$6)</f>
        <v/>
      </c>
      <c r="AT25" s="77">
        <f>COUNTIFS($I25:$AM25,$AT$6)</f>
        <v/>
      </c>
      <c r="AU25" s="46">
        <f>$AU$7</f>
        <v/>
      </c>
      <c r="AV25" s="10">
        <f>COUNTIF(I25:AM25,"RD")</f>
        <v/>
      </c>
      <c r="AW25" s="10">
        <f>AU25-AV25</f>
        <v/>
      </c>
      <c r="AX25" s="10">
        <f>COUNTIF(I25:AM25,"SH")</f>
        <v/>
      </c>
      <c r="AY25" s="10">
        <f>COUNTIF(I25:AM25,"SL")</f>
        <v/>
      </c>
      <c r="AZ25" s="10">
        <f>COUNTIF(I25:AM25,"np")</f>
        <v/>
      </c>
      <c r="BA25" s="10">
        <f>COUNTIF(I25:AM25,"AL*")</f>
        <v/>
      </c>
      <c r="BB25" s="10">
        <f>COUNTIF(I25:AM25,"NC*")</f>
        <v/>
      </c>
      <c r="BC25" s="82" t="n"/>
    </row>
    <row r="26" ht="21.95" customFormat="1" customHeight="1" s="22">
      <c r="B26" s="237" t="inlineStr">
        <is>
          <t>N09</t>
        </is>
      </c>
      <c r="C26" s="240" t="n">
        <v>4973</v>
      </c>
      <c r="D26" s="240" t="inlineStr">
        <is>
          <t>張宏琴</t>
        </is>
      </c>
      <c r="E26" s="289" t="inlineStr">
        <is>
          <t>SG/G</t>
        </is>
      </c>
      <c r="F26" s="119" t="inlineStr">
        <is>
          <t>SECU_G(N)</t>
        </is>
      </c>
      <c r="G26" s="262" t="n">
        <v>8</v>
      </c>
      <c r="H26" s="173" t="inlineStr">
        <is>
          <t>夜</t>
        </is>
      </c>
      <c r="I26" s="178" t="n">
        <v>8</v>
      </c>
      <c r="J26" s="122" t="n">
        <v>8</v>
      </c>
      <c r="K26" s="122" t="n">
        <v>8</v>
      </c>
      <c r="L26" s="122" t="n">
        <v>8</v>
      </c>
      <c r="M26" s="122" t="n">
        <v>8</v>
      </c>
      <c r="N26" s="122" t="n">
        <v>8</v>
      </c>
      <c r="O26" s="122" t="n">
        <v>8</v>
      </c>
      <c r="P26" s="122" t="n">
        <v>8</v>
      </c>
      <c r="Q26" s="122" t="n">
        <v>8</v>
      </c>
      <c r="R26" s="122" t="inlineStr">
        <is>
          <t>NSH</t>
        </is>
      </c>
      <c r="S26" s="122" t="inlineStr">
        <is>
          <t>NSH</t>
        </is>
      </c>
      <c r="T26" s="122" t="n">
        <v>8</v>
      </c>
      <c r="U26" s="122" t="n">
        <v>8</v>
      </c>
      <c r="V26" s="122" t="n">
        <v>8</v>
      </c>
      <c r="W26" s="122" t="n">
        <v>8</v>
      </c>
      <c r="X26" s="122" t="inlineStr">
        <is>
          <t>NSH</t>
        </is>
      </c>
      <c r="Y26" s="122" t="n">
        <v>8</v>
      </c>
      <c r="Z26" s="122" t="n">
        <v>8</v>
      </c>
      <c r="AA26" s="122" t="n">
        <v>8</v>
      </c>
      <c r="AB26" s="122" t="n">
        <v>8</v>
      </c>
      <c r="AC26" s="122" t="n">
        <v>8</v>
      </c>
      <c r="AD26" s="122" t="n">
        <v>8</v>
      </c>
      <c r="AE26" s="122" t="n">
        <v>8</v>
      </c>
      <c r="AF26" s="122" t="inlineStr">
        <is>
          <t>RD</t>
        </is>
      </c>
      <c r="AG26" s="122" t="n">
        <v>8</v>
      </c>
      <c r="AH26" s="122" t="n">
        <v>8</v>
      </c>
      <c r="AI26" s="122" t="n">
        <v>8</v>
      </c>
      <c r="AJ26" s="122" t="n">
        <v>8</v>
      </c>
      <c r="AK26" s="122" t="n">
        <v>8</v>
      </c>
      <c r="AL26" s="122" t="n">
        <v>8</v>
      </c>
      <c r="AM26" s="290" t="n">
        <v>8</v>
      </c>
      <c r="AN26" s="456">
        <f>COUNT(I26:AM26)</f>
        <v/>
      </c>
      <c r="AO26" s="269">
        <f>SUM(I26:AM26)</f>
        <v/>
      </c>
      <c r="AP26" s="60">
        <f>COUNTIFS($I26:$AM26,"SH")+COUNTIFS($I26:$AM26,"NSH")</f>
        <v/>
      </c>
      <c r="AQ26" s="61">
        <f>COUNTIFS($I26:$AM26,$AQ$6)</f>
        <v/>
      </c>
      <c r="AR26" s="61">
        <f>COUNTIFS($I26:$AM26,$AR$6)</f>
        <v/>
      </c>
      <c r="AS26" s="61">
        <f>COUNTIFS($I26:$AM26,$AS$6)</f>
        <v/>
      </c>
      <c r="AT26" s="77">
        <f>COUNTIFS($I26:$AM26,$AT$6)</f>
        <v/>
      </c>
      <c r="AU26" s="46">
        <f>$AU$7</f>
        <v/>
      </c>
      <c r="AV26" s="10">
        <f>COUNTIF(I26:AM26,"RD")</f>
        <v/>
      </c>
      <c r="AW26" s="10">
        <f>AU26-AV26</f>
        <v/>
      </c>
      <c r="AX26" s="10">
        <f>COUNTIF(I26:AM26,"SH")</f>
        <v/>
      </c>
      <c r="AY26" s="10">
        <f>COUNTIF(I26:AM26,"SL")</f>
        <v/>
      </c>
      <c r="AZ26" s="10">
        <f>COUNTIF(I26:AM26,"np")</f>
        <v/>
      </c>
      <c r="BA26" s="10">
        <f>COUNTIF(I26:AM26,"AL*")</f>
        <v/>
      </c>
      <c r="BB26" s="10">
        <f>COUNTIF(I26:AM26,"NC*")</f>
        <v/>
      </c>
      <c r="BC26" s="82" t="n"/>
    </row>
    <row r="27" ht="21.95" customFormat="1" customHeight="1" s="22">
      <c r="B27" s="237" t="inlineStr">
        <is>
          <t>N10</t>
        </is>
      </c>
      <c r="C27" s="240" t="n">
        <v>4969</v>
      </c>
      <c r="D27" s="240" t="inlineStr">
        <is>
          <t>陳觀意</t>
        </is>
      </c>
      <c r="E27" s="289" t="inlineStr">
        <is>
          <t>SG/G</t>
        </is>
      </c>
      <c r="F27" s="119" t="inlineStr">
        <is>
          <t>SECU_G(N)</t>
        </is>
      </c>
      <c r="G27" s="262" t="n">
        <v>8</v>
      </c>
      <c r="H27" s="173" t="inlineStr">
        <is>
          <t>夜</t>
        </is>
      </c>
      <c r="I27" s="178" t="n">
        <v>8</v>
      </c>
      <c r="J27" s="122" t="inlineStr">
        <is>
          <t>NSH</t>
        </is>
      </c>
      <c r="K27" s="122" t="n">
        <v>8</v>
      </c>
      <c r="L27" s="122" t="n">
        <v>8</v>
      </c>
      <c r="M27" s="122" t="n">
        <v>8</v>
      </c>
      <c r="N27" s="122" t="n">
        <v>8</v>
      </c>
      <c r="O27" s="122" t="n">
        <v>8</v>
      </c>
      <c r="P27" s="122" t="n">
        <v>8</v>
      </c>
      <c r="Q27" s="122" t="inlineStr">
        <is>
          <t>NSH</t>
        </is>
      </c>
      <c r="R27" s="122" t="n">
        <v>8</v>
      </c>
      <c r="S27" s="122" t="n">
        <v>8</v>
      </c>
      <c r="T27" s="122" t="n">
        <v>8</v>
      </c>
      <c r="U27" s="122" t="n">
        <v>8</v>
      </c>
      <c r="V27" s="122" t="n">
        <v>8</v>
      </c>
      <c r="W27" s="122" t="inlineStr">
        <is>
          <t>NSH</t>
        </is>
      </c>
      <c r="X27" s="122" t="n">
        <v>8</v>
      </c>
      <c r="Y27" s="122" t="n">
        <v>8</v>
      </c>
      <c r="Z27" s="122" t="n">
        <v>8</v>
      </c>
      <c r="AA27" s="122" t="n">
        <v>8</v>
      </c>
      <c r="AB27" s="122" t="n">
        <v>8</v>
      </c>
      <c r="AC27" s="122" t="n">
        <v>8</v>
      </c>
      <c r="AD27" s="122" t="n">
        <v>8</v>
      </c>
      <c r="AE27" s="122" t="n">
        <v>8</v>
      </c>
      <c r="AF27" s="122" t="inlineStr">
        <is>
          <t>RD</t>
        </is>
      </c>
      <c r="AG27" s="122" t="n">
        <v>8</v>
      </c>
      <c r="AH27" s="122" t="n">
        <v>8</v>
      </c>
      <c r="AI27" s="122" t="n">
        <v>8</v>
      </c>
      <c r="AJ27" s="122" t="n">
        <v>8</v>
      </c>
      <c r="AK27" s="122" t="n">
        <v>8</v>
      </c>
      <c r="AL27" s="122" t="n">
        <v>8</v>
      </c>
      <c r="AM27" s="290" t="n">
        <v>8</v>
      </c>
      <c r="AN27" s="456">
        <f>COUNT(I27:AM27)</f>
        <v/>
      </c>
      <c r="AO27" s="269">
        <f>SUM(I27:AM27)</f>
        <v/>
      </c>
      <c r="AP27" s="60">
        <f>COUNTIFS($I27:$AM27,"SH")+COUNTIFS($I27:$AM27,"NSH")</f>
        <v/>
      </c>
      <c r="AQ27" s="61">
        <f>COUNTIFS($I27:$AM27,$AQ$6)</f>
        <v/>
      </c>
      <c r="AR27" s="61">
        <f>COUNTIFS($I27:$AM27,$AR$6)</f>
        <v/>
      </c>
      <c r="AS27" s="61">
        <f>COUNTIFS($I27:$AM27,$AS$6)</f>
        <v/>
      </c>
      <c r="AT27" s="77">
        <f>COUNTIFS($I27:$AM27,$AT$6)</f>
        <v/>
      </c>
      <c r="AU27" s="46">
        <f>$AU$7</f>
        <v/>
      </c>
      <c r="AV27" s="10">
        <f>COUNTIF(I27:AM27,"RD")</f>
        <v/>
      </c>
      <c r="AW27" s="10">
        <f>AU27-AV27</f>
        <v/>
      </c>
      <c r="AX27" s="10">
        <f>COUNTIF(I27:AM27,"SH")</f>
        <v/>
      </c>
      <c r="AY27" s="10">
        <f>COUNTIF(I27:AM27,"SL")</f>
        <v/>
      </c>
      <c r="AZ27" s="10">
        <f>COUNTIF(I27:AM27,"np")</f>
        <v/>
      </c>
      <c r="BA27" s="10">
        <f>COUNTIF(I27:AM27,"AL*")</f>
        <v/>
      </c>
      <c r="BB27" s="10">
        <f>COUNTIF(I27:AM27,"NC*")</f>
        <v/>
      </c>
      <c r="BC27" s="82" t="n"/>
    </row>
    <row r="28" ht="21.95" customHeight="1" s="459">
      <c r="B28" s="237" t="inlineStr">
        <is>
          <t>N11</t>
        </is>
      </c>
      <c r="C28" s="240" t="n">
        <v>4964</v>
      </c>
      <c r="D28" s="240" t="inlineStr">
        <is>
          <t>龐雪宏</t>
        </is>
      </c>
      <c r="E28" s="289" t="inlineStr">
        <is>
          <t>SG/G</t>
        </is>
      </c>
      <c r="F28" s="119" t="inlineStr">
        <is>
          <t>SECU_G(N)</t>
        </is>
      </c>
      <c r="G28" s="262" t="n">
        <v>8</v>
      </c>
      <c r="H28" s="173" t="inlineStr">
        <is>
          <t>夜</t>
        </is>
      </c>
      <c r="I28" s="178" t="n">
        <v>8</v>
      </c>
      <c r="J28" s="122" t="inlineStr">
        <is>
          <t>NSH</t>
        </is>
      </c>
      <c r="K28" s="122" t="n">
        <v>8</v>
      </c>
      <c r="L28" s="122" t="n">
        <v>8</v>
      </c>
      <c r="M28" s="122" t="n">
        <v>8</v>
      </c>
      <c r="N28" s="122" t="n">
        <v>8</v>
      </c>
      <c r="O28" s="122" t="n">
        <v>8</v>
      </c>
      <c r="P28" s="122" t="n">
        <v>8</v>
      </c>
      <c r="Q28" s="122" t="inlineStr">
        <is>
          <t>NSH</t>
        </is>
      </c>
      <c r="R28" s="122" t="n">
        <v>8</v>
      </c>
      <c r="S28" s="122" t="n">
        <v>8</v>
      </c>
      <c r="T28" s="122" t="n">
        <v>8</v>
      </c>
      <c r="U28" s="122" t="n">
        <v>8</v>
      </c>
      <c r="V28" s="122" t="n">
        <v>8</v>
      </c>
      <c r="W28" s="122" t="n">
        <v>8</v>
      </c>
      <c r="X28" s="122" t="n">
        <v>8</v>
      </c>
      <c r="Y28" s="122" t="inlineStr">
        <is>
          <t>NSH</t>
        </is>
      </c>
      <c r="Z28" s="122" t="n">
        <v>8</v>
      </c>
      <c r="AA28" s="122" t="n">
        <v>8</v>
      </c>
      <c r="AB28" s="122" t="n">
        <v>8</v>
      </c>
      <c r="AC28" s="122" t="n">
        <v>8</v>
      </c>
      <c r="AD28" s="122" t="inlineStr">
        <is>
          <t>RD</t>
        </is>
      </c>
      <c r="AE28" s="122" t="n">
        <v>8</v>
      </c>
      <c r="AF28" s="122" t="n">
        <v>8</v>
      </c>
      <c r="AG28" s="122" t="n">
        <v>8</v>
      </c>
      <c r="AH28" s="122" t="n">
        <v>8</v>
      </c>
      <c r="AI28" s="122" t="n">
        <v>8</v>
      </c>
      <c r="AJ28" s="122" t="n">
        <v>8</v>
      </c>
      <c r="AK28" s="122" t="n">
        <v>8</v>
      </c>
      <c r="AL28" s="122" t="n">
        <v>8</v>
      </c>
      <c r="AM28" s="290" t="n">
        <v>8</v>
      </c>
      <c r="AN28" s="457">
        <f>COUNT(I28:AM28)</f>
        <v/>
      </c>
      <c r="AO28" s="237">
        <f>SUM(I28:AM28)</f>
        <v/>
      </c>
      <c r="AP28" s="60">
        <f>COUNTIFS($I28:$AM28,"SH")+COUNTIFS($I28:$AM28,"NSH")</f>
        <v/>
      </c>
      <c r="AQ28" s="61">
        <f>COUNTIFS($I28:$AM28,$AQ$6)</f>
        <v/>
      </c>
      <c r="AR28" s="61">
        <f>COUNTIFS($I28:$AM28,$AR$6)</f>
        <v/>
      </c>
      <c r="AS28" s="61">
        <f>COUNTIFS($I28:$AM28,$AS$6)</f>
        <v/>
      </c>
      <c r="AT28" s="77">
        <f>COUNTIFS($I28:$AM28,$AT$6)</f>
        <v/>
      </c>
      <c r="AU28" s="46">
        <f>$AU$7</f>
        <v/>
      </c>
      <c r="AV28" s="10">
        <f>COUNTIF(I28:AM28,"RD")</f>
        <v/>
      </c>
      <c r="AW28" s="10">
        <f>AU28-AV28</f>
        <v/>
      </c>
      <c r="AX28" s="10">
        <f>COUNTIF(I28:AM28,"SH")</f>
        <v/>
      </c>
      <c r="AY28" s="10">
        <f>COUNTIF(I28:AM28,"SL")</f>
        <v/>
      </c>
      <c r="AZ28" s="10">
        <f>COUNTIF(I28:AM28,"np")</f>
        <v/>
      </c>
      <c r="BA28" s="10">
        <f>COUNTIF(I28:AM28,"AL*")</f>
        <v/>
      </c>
      <c r="BB28" s="10">
        <f>COUNTIF(I28:AM28,"NC*")</f>
        <v/>
      </c>
      <c r="BC28" s="82" t="n"/>
    </row>
    <row r="29" ht="21.95" customHeight="1" s="459">
      <c r="B29" s="237" t="inlineStr">
        <is>
          <t>N12</t>
        </is>
      </c>
      <c r="C29" s="240" t="n">
        <v>4966</v>
      </c>
      <c r="D29" s="240" t="inlineStr">
        <is>
          <t>陳秀荣</t>
        </is>
      </c>
      <c r="E29" s="289" t="inlineStr">
        <is>
          <t>SG/G</t>
        </is>
      </c>
      <c r="F29" s="119" t="inlineStr">
        <is>
          <t>SECU_G(N)</t>
        </is>
      </c>
      <c r="G29" s="262" t="n">
        <v>8</v>
      </c>
      <c r="H29" s="173" t="inlineStr">
        <is>
          <t>夜</t>
        </is>
      </c>
      <c r="I29" s="178" t="n">
        <v>8</v>
      </c>
      <c r="J29" s="122" t="n">
        <v>8</v>
      </c>
      <c r="K29" s="122" t="inlineStr">
        <is>
          <t>NSH</t>
        </is>
      </c>
      <c r="L29" s="122" t="inlineStr">
        <is>
          <t>NSH</t>
        </is>
      </c>
      <c r="M29" s="122" t="n">
        <v>8</v>
      </c>
      <c r="N29" s="122" t="n">
        <v>8</v>
      </c>
      <c r="O29" s="122" t="n">
        <v>8</v>
      </c>
      <c r="P29" s="122" t="n">
        <v>8</v>
      </c>
      <c r="Q29" s="122" t="n">
        <v>8</v>
      </c>
      <c r="R29" s="122" t="n">
        <v>8</v>
      </c>
      <c r="S29" s="122" t="inlineStr">
        <is>
          <t>NSH</t>
        </is>
      </c>
      <c r="T29" s="122" t="inlineStr">
        <is>
          <t>NP</t>
        </is>
      </c>
      <c r="U29" s="122" t="n">
        <v>8</v>
      </c>
      <c r="V29" s="122" t="n">
        <v>8</v>
      </c>
      <c r="W29" s="122" t="n">
        <v>8</v>
      </c>
      <c r="X29" s="122" t="n">
        <v>8</v>
      </c>
      <c r="Y29" s="122" t="n">
        <v>8</v>
      </c>
      <c r="Z29" s="122" t="n">
        <v>8</v>
      </c>
      <c r="AA29" s="122" t="inlineStr">
        <is>
          <t>RD</t>
        </is>
      </c>
      <c r="AB29" s="122" t="n">
        <v>8</v>
      </c>
      <c r="AC29" s="122" t="n">
        <v>8</v>
      </c>
      <c r="AD29" s="122" t="n">
        <v>8</v>
      </c>
      <c r="AE29" s="122" t="n">
        <v>8</v>
      </c>
      <c r="AF29" s="122" t="n">
        <v>8</v>
      </c>
      <c r="AG29" s="122" t="n">
        <v>8</v>
      </c>
      <c r="AH29" s="122" t="inlineStr">
        <is>
          <t>RD</t>
        </is>
      </c>
      <c r="AI29" s="122" t="inlineStr">
        <is>
          <t>RD</t>
        </is>
      </c>
      <c r="AJ29" s="122" t="n">
        <v>8</v>
      </c>
      <c r="AK29" s="122" t="inlineStr">
        <is>
          <t>RD</t>
        </is>
      </c>
      <c r="AL29" s="122" t="inlineStr">
        <is>
          <t>RD</t>
        </is>
      </c>
      <c r="AM29" s="290" t="inlineStr">
        <is>
          <t>RD</t>
        </is>
      </c>
      <c r="AN29" s="457">
        <f>COUNT(I29:AM29)</f>
        <v/>
      </c>
      <c r="AO29" s="237">
        <f>SUM(I29:AM29)</f>
        <v/>
      </c>
      <c r="AP29" s="60">
        <f>COUNTIFS($I29:$AM29,"SH")+COUNTIFS($I29:$AM29,"NSH")</f>
        <v/>
      </c>
      <c r="AQ29" s="61">
        <f>COUNTIFS($I29:$AM29,$AQ$6)</f>
        <v/>
      </c>
      <c r="AR29" s="61">
        <f>COUNTIFS($I29:$AM29,$AR$6)</f>
        <v/>
      </c>
      <c r="AS29" s="61">
        <f>COUNTIFS($I29:$AM29,$AS$6)</f>
        <v/>
      </c>
      <c r="AT29" s="77">
        <f>COUNTIFS($I29:$AM29,$AT$6)</f>
        <v/>
      </c>
      <c r="AU29" s="46">
        <f>$AU$7</f>
        <v/>
      </c>
      <c r="AV29" s="10">
        <f>COUNTIF(I29:AM29,"RD")</f>
        <v/>
      </c>
      <c r="AW29" s="10">
        <f>AU29-AV29</f>
        <v/>
      </c>
      <c r="AX29" s="10">
        <f>COUNTIF(I29:AM29,"SH")</f>
        <v/>
      </c>
      <c r="AY29" s="10">
        <f>COUNTIF(I29:AM29,"SL")</f>
        <v/>
      </c>
      <c r="AZ29" s="10">
        <f>COUNTIF(I29:AM29,"np")</f>
        <v/>
      </c>
      <c r="BA29" s="10">
        <f>COUNTIF(I29:AM29,"AL*")</f>
        <v/>
      </c>
      <c r="BB29" s="10">
        <f>COUNTIF(I29:AM29,"NC*")</f>
        <v/>
      </c>
      <c r="BC29" s="82" t="n"/>
    </row>
    <row r="30" ht="21.95" customHeight="1" s="459" thickBot="1">
      <c r="B30" s="228" t="inlineStr">
        <is>
          <t>N13</t>
        </is>
      </c>
      <c r="C30" s="272" t="n">
        <v>5034</v>
      </c>
      <c r="D30" s="272" t="inlineStr">
        <is>
          <t>陳志明</t>
        </is>
      </c>
      <c r="E30" s="281" t="inlineStr">
        <is>
          <t>SG/G</t>
        </is>
      </c>
      <c r="F30" s="244" t="inlineStr">
        <is>
          <t>SECU_G(N)</t>
        </is>
      </c>
      <c r="G30" s="245" t="n">
        <v>8</v>
      </c>
      <c r="H30" s="102" t="inlineStr">
        <is>
          <t>夜</t>
        </is>
      </c>
      <c r="I30" s="181" t="n">
        <v>8</v>
      </c>
      <c r="J30" s="130" t="n">
        <v>8</v>
      </c>
      <c r="K30" s="130" t="n">
        <v>8</v>
      </c>
      <c r="L30" s="130" t="n">
        <v>8</v>
      </c>
      <c r="M30" s="130" t="n">
        <v>8</v>
      </c>
      <c r="N30" s="130" t="n">
        <v>8</v>
      </c>
      <c r="O30" s="130" t="inlineStr">
        <is>
          <t>NP</t>
        </is>
      </c>
      <c r="P30" s="130" t="n">
        <v>8</v>
      </c>
      <c r="Q30" s="130" t="n">
        <v>8</v>
      </c>
      <c r="R30" s="130" t="n">
        <v>8</v>
      </c>
      <c r="S30" s="130" t="n">
        <v>8</v>
      </c>
      <c r="T30" s="130" t="n">
        <v>8</v>
      </c>
      <c r="U30" s="130" t="inlineStr">
        <is>
          <t>NP</t>
        </is>
      </c>
      <c r="V30" s="130" t="n">
        <v>8</v>
      </c>
      <c r="W30" s="130" t="n">
        <v>8</v>
      </c>
      <c r="X30" s="130" t="n">
        <v>8</v>
      </c>
      <c r="Y30" s="130" t="n">
        <v>8</v>
      </c>
      <c r="Z30" s="130" t="n">
        <v>8</v>
      </c>
      <c r="AA30" s="130" t="n">
        <v>8</v>
      </c>
      <c r="AB30" s="130" t="inlineStr">
        <is>
          <t>NP</t>
        </is>
      </c>
      <c r="AC30" s="130" t="n">
        <v>8</v>
      </c>
      <c r="AD30" s="130" t="n">
        <v>8</v>
      </c>
      <c r="AE30" s="130" t="n">
        <v>8</v>
      </c>
      <c r="AF30" s="130" t="n">
        <v>8</v>
      </c>
      <c r="AG30" s="130" t="inlineStr">
        <is>
          <t>RD</t>
        </is>
      </c>
      <c r="AH30" s="130" t="n">
        <v>8</v>
      </c>
      <c r="AI30" s="130" t="n">
        <v>8</v>
      </c>
      <c r="AJ30" s="130" t="inlineStr">
        <is>
          <t>RD</t>
        </is>
      </c>
      <c r="AK30" s="130" t="n">
        <v>8</v>
      </c>
      <c r="AL30" s="130" t="n">
        <v>8</v>
      </c>
      <c r="AM30" s="285" t="n">
        <v>8</v>
      </c>
      <c r="AN30" s="458">
        <f>COUNT(I30:AM30)</f>
        <v/>
      </c>
      <c r="AO30" s="228">
        <f>SUM(I30:AM30)</f>
        <v/>
      </c>
      <c r="AP30" s="66">
        <f>COUNTIFS($I30:$AM30,"SH")+COUNTIFS($I30:$AM30,"NSH")</f>
        <v/>
      </c>
      <c r="AQ30" s="67">
        <f>COUNTIFS($I30:$AM30,$AQ$6)</f>
        <v/>
      </c>
      <c r="AR30" s="67">
        <f>COUNTIFS($I30:$AM30,$AR$6)</f>
        <v/>
      </c>
      <c r="AS30" s="67">
        <f>COUNTIFS($I30:$AM30,$AS$6)</f>
        <v/>
      </c>
      <c r="AT30" s="78">
        <f>COUNTIFS($I30:$AM30,$AT$6)</f>
        <v/>
      </c>
      <c r="AU30" s="75">
        <f>$AU$7</f>
        <v/>
      </c>
      <c r="AV30" s="68">
        <f>COUNTIF(I30:AM30,"RD")</f>
        <v/>
      </c>
      <c r="AW30" s="68">
        <f>AU30-AV30</f>
        <v/>
      </c>
      <c r="AX30" s="68">
        <f>COUNTIF(I30:AM30,"SH")</f>
        <v/>
      </c>
      <c r="AY30" s="68">
        <f>COUNTIF(I30:AM30,"SL")</f>
        <v/>
      </c>
      <c r="AZ30" s="68">
        <f>COUNTIF(I30:AM30,"np")</f>
        <v/>
      </c>
      <c r="BA30" s="68">
        <f>COUNTIF(I30:AM30,"AL*")</f>
        <v/>
      </c>
      <c r="BB30" s="68">
        <f>COUNTIF(I30:AM30,"NC*")</f>
        <v/>
      </c>
      <c r="BC30" s="84" t="n"/>
    </row>
    <row r="31" ht="21.95" customHeight="1" s="459" thickBot="1">
      <c r="B31" s="391" t="inlineStr">
        <is>
          <t>合約要求每日人數: 9</t>
        </is>
      </c>
      <c r="D31" s="423" t="inlineStr">
        <is>
          <t xml:space="preserve">每日出勤人數:  </t>
        </is>
      </c>
      <c r="I31" s="90">
        <f>COUNTIF(I20:I30,"8")</f>
        <v/>
      </c>
      <c r="J31" s="90">
        <f>COUNTIF(J20:J30,"8")</f>
        <v/>
      </c>
      <c r="K31" s="90">
        <f>COUNTIF(K20:K30,"8")</f>
        <v/>
      </c>
      <c r="L31" s="90">
        <f>COUNTIF(L20:L30,"8")</f>
        <v/>
      </c>
      <c r="M31" s="90">
        <f>COUNTIF(M20:M30,"8")</f>
        <v/>
      </c>
      <c r="N31" s="90">
        <f>COUNTIF(N20:N30,"8")</f>
        <v/>
      </c>
      <c r="O31" s="90">
        <f>COUNTIF(O20:O30,"8")</f>
        <v/>
      </c>
      <c r="P31" s="90">
        <f>COUNTIF(P20:P30,"8")</f>
        <v/>
      </c>
      <c r="Q31" s="90">
        <f>COUNTIF(Q20:Q30,"8")</f>
        <v/>
      </c>
      <c r="R31" s="90">
        <f>COUNTIF(R20:R30,"8")</f>
        <v/>
      </c>
      <c r="S31" s="90">
        <f>COUNTIF(S20:S30,"8")</f>
        <v/>
      </c>
      <c r="T31" s="90">
        <f>COUNTIF(T20:T30,"8")</f>
        <v/>
      </c>
      <c r="U31" s="90">
        <f>COUNTIF(U20:U30,"8")</f>
        <v/>
      </c>
      <c r="V31" s="90">
        <f>COUNTIF(V20:V30,"8")</f>
        <v/>
      </c>
      <c r="W31" s="90">
        <f>COUNTIF(W20:W30,"8")</f>
        <v/>
      </c>
      <c r="X31" s="90">
        <f>COUNTIF(X20:X30,"8")</f>
        <v/>
      </c>
      <c r="Y31" s="90">
        <f>COUNTIF(Y20:Y30,"8")</f>
        <v/>
      </c>
      <c r="Z31" s="90">
        <f>COUNTIF(Z20:Z30,"8")</f>
        <v/>
      </c>
      <c r="AA31" s="90">
        <f>COUNTIF(AA20:AA30,"8")</f>
        <v/>
      </c>
      <c r="AB31" s="90">
        <f>COUNTIF(AB20:AB30,"8")</f>
        <v/>
      </c>
      <c r="AC31" s="90">
        <f>COUNTIF(AC20:AC30,"8")</f>
        <v/>
      </c>
      <c r="AD31" s="90">
        <f>COUNTIF(AD20:AD30,"8")</f>
        <v/>
      </c>
      <c r="AE31" s="90">
        <f>COUNTIF(AE20:AE30,"8")</f>
        <v/>
      </c>
      <c r="AF31" s="90">
        <f>COUNTIF(AF20:AF30,"8")</f>
        <v/>
      </c>
      <c r="AG31" s="90">
        <f>COUNTIF(AG20:AG30,"8")</f>
        <v/>
      </c>
      <c r="AH31" s="90">
        <f>COUNTIF(AH20:AH30,"8")</f>
        <v/>
      </c>
      <c r="AI31" s="90">
        <f>COUNTIF(AI20:AI30,"8")</f>
        <v/>
      </c>
      <c r="AJ31" s="90">
        <f>COUNTIF(AJ20:AJ30,"8")</f>
        <v/>
      </c>
      <c r="AK31" s="90">
        <f>COUNTIF(AK20:AK30,"8")</f>
        <v/>
      </c>
      <c r="AL31" s="90">
        <f>COUNTIF(AL20:AL30,"8")</f>
        <v/>
      </c>
      <c r="AM31" s="90">
        <f>COUNTIF(AM20:AM30,"8")</f>
        <v/>
      </c>
      <c r="AN31" s="291">
        <f>SUM(AN20:AN30)</f>
        <v/>
      </c>
      <c r="AO31" s="250">
        <f>SUM(AO20:AO30)</f>
        <v/>
      </c>
    </row>
    <row r="32" ht="21.95" customHeight="1" s="459" thickBot="1">
      <c r="B32" s="432" t="n"/>
      <c r="E32" s="208" t="n"/>
      <c r="F32" s="208" t="n"/>
      <c r="G32" s="208" t="n"/>
      <c r="H32" s="207" t="n"/>
      <c r="I32" s="208" t="n"/>
      <c r="J32" s="208" t="n"/>
      <c r="K32" s="208" t="n"/>
      <c r="L32" s="208" t="n"/>
      <c r="M32" s="208" t="n"/>
      <c r="N32" s="208" t="n"/>
      <c r="O32" s="208" t="n"/>
      <c r="P32" s="208" t="n"/>
      <c r="Q32" s="208" t="n"/>
      <c r="R32" s="208" t="n"/>
      <c r="S32" s="208" t="n"/>
      <c r="T32" s="208" t="n"/>
      <c r="U32" s="208" t="n"/>
      <c r="V32" s="208" t="n"/>
      <c r="W32" s="208" t="n"/>
      <c r="X32" s="208" t="n"/>
      <c r="Y32" s="208" t="n"/>
      <c r="Z32" s="208" t="n"/>
      <c r="AA32" s="208" t="n"/>
      <c r="AB32" s="208" t="n"/>
      <c r="AC32" s="208" t="n"/>
      <c r="AD32" s="208" t="n"/>
      <c r="AE32" s="208" t="n"/>
      <c r="AF32" s="208" t="n"/>
      <c r="AG32" s="208" t="n"/>
      <c r="AH32" s="208" t="n"/>
      <c r="AI32" s="208" t="n"/>
      <c r="AJ32" s="208" t="n"/>
      <c r="AK32" s="208" t="n"/>
      <c r="AL32" s="208" t="n"/>
      <c r="AM32" s="208" t="n"/>
      <c r="AN32" s="207" t="n"/>
      <c r="AO32" s="207" t="n"/>
    </row>
    <row r="33" ht="21.95" customHeight="1" s="459" thickBot="1">
      <c r="B33" s="432" t="n"/>
      <c r="E33" s="208" t="n"/>
      <c r="F33" s="208" t="n"/>
      <c r="G33" s="208" t="n"/>
      <c r="H33" s="207" t="n"/>
      <c r="I33" s="208" t="n"/>
      <c r="J33" s="208" t="n"/>
      <c r="K33" s="208" t="n"/>
      <c r="L33" s="208" t="n"/>
      <c r="M33" s="208" t="n"/>
      <c r="N33" s="208" t="n"/>
      <c r="O33" s="208" t="n"/>
      <c r="P33" s="208" t="n"/>
      <c r="Q33" s="208" t="n"/>
      <c r="R33" s="208" t="n"/>
      <c r="S33" s="208" t="n"/>
      <c r="T33" s="208" t="n"/>
      <c r="U33" s="208" t="n"/>
      <c r="V33" s="208" t="n"/>
      <c r="W33" s="208" t="n"/>
      <c r="X33" s="208" t="n"/>
      <c r="Y33" s="208" t="n"/>
      <c r="Z33" s="208" t="n"/>
      <c r="AA33" s="208" t="n"/>
      <c r="AB33" s="208" t="n"/>
      <c r="AC33" s="208" t="n"/>
      <c r="AD33" s="208" t="n"/>
      <c r="AE33" s="208" t="n"/>
      <c r="AF33" s="208" t="n"/>
      <c r="AG33" s="208" t="n"/>
      <c r="AH33" s="208" t="n"/>
      <c r="AI33" s="208" t="n"/>
      <c r="AJ33" s="208" t="n"/>
      <c r="AK33" s="208" t="n"/>
      <c r="AL33" s="208" t="n"/>
      <c r="AM33" s="208" t="n"/>
      <c r="AN33" s="250" t="inlineStr">
        <is>
          <t>總日數</t>
        </is>
      </c>
      <c r="AO33" s="286" t="inlineStr">
        <is>
          <t>總時數</t>
        </is>
      </c>
    </row>
    <row r="34" ht="21.95" customHeight="1" s="459">
      <c r="B34" s="475" t="inlineStr">
        <is>
          <t>特別保安員每日工作(實際)總人數</t>
        </is>
      </c>
      <c r="C34" s="476" t="n"/>
      <c r="D34" s="477" t="n"/>
      <c r="E34" s="394" t="n"/>
      <c r="F34" s="394" t="n"/>
      <c r="G34" s="394" t="n"/>
      <c r="H34" s="141" t="inlineStr">
        <is>
          <t>SG</t>
        </is>
      </c>
      <c r="I34" s="142" t="n">
        <v>6</v>
      </c>
      <c r="J34" s="143" t="n">
        <v>6</v>
      </c>
      <c r="K34" s="143" t="n">
        <v>6</v>
      </c>
      <c r="L34" s="143" t="n">
        <v>6</v>
      </c>
      <c r="M34" s="143" t="n">
        <v>6</v>
      </c>
      <c r="N34" s="143" t="n">
        <v>6</v>
      </c>
      <c r="O34" s="143" t="n">
        <v>6</v>
      </c>
      <c r="P34" s="143" t="n">
        <v>6</v>
      </c>
      <c r="Q34" s="143" t="n">
        <v>6</v>
      </c>
      <c r="R34" s="143" t="n">
        <v>6</v>
      </c>
      <c r="S34" s="143" t="n">
        <v>6</v>
      </c>
      <c r="T34" s="143" t="n">
        <v>6</v>
      </c>
      <c r="U34" s="143" t="n">
        <v>6</v>
      </c>
      <c r="V34" s="143" t="n">
        <v>6</v>
      </c>
      <c r="W34" s="143" t="n">
        <v>6</v>
      </c>
      <c r="X34" s="143" t="n">
        <v>6</v>
      </c>
      <c r="Y34" s="143" t="n">
        <v>6</v>
      </c>
      <c r="Z34" s="143" t="n">
        <v>6</v>
      </c>
      <c r="AA34" s="143" t="n">
        <v>6</v>
      </c>
      <c r="AB34" s="143" t="n">
        <v>6</v>
      </c>
      <c r="AC34" s="143" t="n">
        <v>6</v>
      </c>
      <c r="AD34" s="143" t="n">
        <v>6</v>
      </c>
      <c r="AE34" s="143" t="n">
        <v>6</v>
      </c>
      <c r="AF34" s="143" t="n">
        <v>6</v>
      </c>
      <c r="AG34" s="143" t="n">
        <v>6</v>
      </c>
      <c r="AH34" s="143" t="n">
        <v>6</v>
      </c>
      <c r="AI34" s="143" t="n">
        <v>6</v>
      </c>
      <c r="AJ34" s="143" t="n">
        <v>6</v>
      </c>
      <c r="AK34" s="143" t="n">
        <v>6</v>
      </c>
      <c r="AL34" s="143" t="n">
        <v>6</v>
      </c>
      <c r="AM34" s="183" t="n">
        <v>6</v>
      </c>
      <c r="AN34" s="141">
        <f>SUM(I34:AM34)</f>
        <v/>
      </c>
      <c r="AO34" s="141">
        <f>AN34*8</f>
        <v/>
      </c>
    </row>
    <row r="35" ht="21.95" customHeight="1" s="459">
      <c r="B35" s="478" t="inlineStr">
        <is>
          <t>特別保安員每日工作(要求)總人數</t>
        </is>
      </c>
      <c r="C35" s="479" t="n"/>
      <c r="D35" s="480" t="n"/>
      <c r="E35" s="397" t="n"/>
      <c r="F35" s="397" t="n"/>
      <c r="G35" s="397" t="n"/>
      <c r="H35" s="149" t="n"/>
      <c r="I35" s="150" t="n">
        <v>6</v>
      </c>
      <c r="J35" s="151" t="n">
        <v>6</v>
      </c>
      <c r="K35" s="151" t="n">
        <v>6</v>
      </c>
      <c r="L35" s="151" t="n">
        <v>6</v>
      </c>
      <c r="M35" s="151" t="n">
        <v>6</v>
      </c>
      <c r="N35" s="151" t="n">
        <v>6</v>
      </c>
      <c r="O35" s="151" t="n">
        <v>6</v>
      </c>
      <c r="P35" s="151" t="n">
        <v>6</v>
      </c>
      <c r="Q35" s="151" t="n">
        <v>6</v>
      </c>
      <c r="R35" s="151" t="n">
        <v>6</v>
      </c>
      <c r="S35" s="151" t="n">
        <v>6</v>
      </c>
      <c r="T35" s="151" t="n">
        <v>6</v>
      </c>
      <c r="U35" s="151" t="n">
        <v>6</v>
      </c>
      <c r="V35" s="151" t="n">
        <v>6</v>
      </c>
      <c r="W35" s="151" t="n">
        <v>6</v>
      </c>
      <c r="X35" s="151" t="n">
        <v>6</v>
      </c>
      <c r="Y35" s="151" t="n">
        <v>6</v>
      </c>
      <c r="Z35" s="151" t="n">
        <v>6</v>
      </c>
      <c r="AA35" s="151" t="n">
        <v>6</v>
      </c>
      <c r="AB35" s="151" t="n">
        <v>6</v>
      </c>
      <c r="AC35" s="151" t="n">
        <v>6</v>
      </c>
      <c r="AD35" s="151" t="n">
        <v>6</v>
      </c>
      <c r="AE35" s="151" t="n">
        <v>6</v>
      </c>
      <c r="AF35" s="151" t="n">
        <v>6</v>
      </c>
      <c r="AG35" s="151" t="n">
        <v>6</v>
      </c>
      <c r="AH35" s="151" t="n">
        <v>6</v>
      </c>
      <c r="AI35" s="151" t="n">
        <v>6</v>
      </c>
      <c r="AJ35" s="151" t="n">
        <v>6</v>
      </c>
      <c r="AK35" s="151" t="n">
        <v>6</v>
      </c>
      <c r="AL35" s="151" t="n">
        <v>6</v>
      </c>
      <c r="AM35" s="186" t="n">
        <v>6</v>
      </c>
      <c r="AN35" s="149">
        <f>SUM(I35:AM35)</f>
        <v/>
      </c>
      <c r="AO35" s="149">
        <f>AN35*8</f>
        <v/>
      </c>
    </row>
    <row r="36" ht="21.95" customHeight="1" s="459" thickBot="1">
      <c r="B36" s="481" t="inlineStr">
        <is>
          <t>特別保安員每日工作(缺勤)總人數</t>
        </is>
      </c>
      <c r="C36" s="482" t="n"/>
      <c r="D36" s="483" t="n"/>
      <c r="E36" s="403" t="n"/>
      <c r="F36" s="403" t="n"/>
      <c r="G36" s="403" t="n"/>
      <c r="H36" s="157" t="n"/>
      <c r="I36" s="470">
        <f>IF((I34-I35)&lt;0,I34-I35,0)</f>
        <v/>
      </c>
      <c r="J36" s="471">
        <f>IF((J34-J35)&lt;0,J34-J35,0)</f>
        <v/>
      </c>
      <c r="K36" s="471">
        <f>IF((K34-K35)&lt;0,K34-K35,0)</f>
        <v/>
      </c>
      <c r="L36" s="471">
        <f>IF((L34-L35)&lt;0,L34-L35,0)</f>
        <v/>
      </c>
      <c r="M36" s="471">
        <f>IF((M34-M35)&lt;0,M34-M35,0)</f>
        <v/>
      </c>
      <c r="N36" s="471">
        <f>IF((N34-N35)&lt;0,N34-N35,0)</f>
        <v/>
      </c>
      <c r="O36" s="471">
        <f>IF((O34-O35)&lt;0,O34-O35,0)</f>
        <v/>
      </c>
      <c r="P36" s="471">
        <f>IF((P34-P35)&lt;0,P34-P35,0)</f>
        <v/>
      </c>
      <c r="Q36" s="471">
        <f>IF((Q34-Q35)&lt;0,Q34-Q35,0)</f>
        <v/>
      </c>
      <c r="R36" s="471">
        <f>IF((R34-R35)&lt;0,R34-R35,0)</f>
        <v/>
      </c>
      <c r="S36" s="471">
        <f>IF((S34-S35)&lt;0,S34-S35,0)</f>
        <v/>
      </c>
      <c r="T36" s="471">
        <f>IF((T34-T35)&lt;0,T34-T35,0)</f>
        <v/>
      </c>
      <c r="U36" s="471">
        <f>IF((U34-U35)&lt;0,U34-U35,0)</f>
        <v/>
      </c>
      <c r="V36" s="471">
        <f>IF((V34-V35)&lt;0,V34-V35,0)</f>
        <v/>
      </c>
      <c r="W36" s="471">
        <f>IF((W34-W35)&lt;0,W34-W35,0)</f>
        <v/>
      </c>
      <c r="X36" s="471">
        <f>IF((X34-X35)&lt;0,X34-X35,0)</f>
        <v/>
      </c>
      <c r="Y36" s="471">
        <f>IF((Y34-Y35)&lt;0,Y34-Y35,0)</f>
        <v/>
      </c>
      <c r="Z36" s="471">
        <f>IF((Z34-Z35)&lt;0,Z34-Z35,0)</f>
        <v/>
      </c>
      <c r="AA36" s="471">
        <f>IF((AA34-AA35)&lt;0,AA34-AA35,0)</f>
        <v/>
      </c>
      <c r="AB36" s="471">
        <f>IF((AB34-AB35)&lt;0,AB34-AB35,0)</f>
        <v/>
      </c>
      <c r="AC36" s="471">
        <f>IF((AC34-AC35)&lt;0,AC34-AC35,0)</f>
        <v/>
      </c>
      <c r="AD36" s="471">
        <f>IF((AD34-AD35)&lt;0,AD34-AD35,0)</f>
        <v/>
      </c>
      <c r="AE36" s="471">
        <f>IF((AE34-AE35)&lt;0,AE34-AE35,0)</f>
        <v/>
      </c>
      <c r="AF36" s="471">
        <f>IF((AF34-AF35)&lt;0,AF34-AF35,0)</f>
        <v/>
      </c>
      <c r="AG36" s="471">
        <f>IF((AG34-AG35)&lt;0,AG34-AG35,0)</f>
        <v/>
      </c>
      <c r="AH36" s="471">
        <f>IF((AH34-AH35)&lt;0,AH34-AH35,0)</f>
        <v/>
      </c>
      <c r="AI36" s="471">
        <f>IF((AI34-AI35)&lt;0,AI34-AI35,0)</f>
        <v/>
      </c>
      <c r="AJ36" s="471">
        <f>IF((AJ34-AJ35)&lt;0,AJ34-AJ35,0)</f>
        <v/>
      </c>
      <c r="AK36" s="471">
        <f>IF((AK34-AK35)&lt;0,AK34-AK35,0)</f>
        <v/>
      </c>
      <c r="AL36" s="471">
        <f>IF((AL34-AL35)&lt;0,AL34-AL35,0)</f>
        <v/>
      </c>
      <c r="AM36" s="484">
        <f>IF((AM34-AM35)&lt;0,AM34-AM35,0)</f>
        <v/>
      </c>
      <c r="AN36" s="490">
        <f>SUM(I36:AM36)</f>
        <v/>
      </c>
      <c r="AO36" s="490">
        <f>AO34-AO35</f>
        <v/>
      </c>
    </row>
    <row r="37" ht="21.95" customHeight="1" s="459">
      <c r="B37" s="475" t="inlineStr">
        <is>
          <t>普通保安每日工作(實際)總人數</t>
        </is>
      </c>
      <c r="C37" s="476" t="n"/>
      <c r="D37" s="477" t="n"/>
      <c r="E37" s="394" t="n"/>
      <c r="F37" s="394" t="n"/>
      <c r="G37" s="394" t="n"/>
      <c r="H37" s="141" t="inlineStr">
        <is>
          <t>G</t>
        </is>
      </c>
      <c r="I37" s="533">
        <f>COUNT(I19:I30)-I34</f>
        <v/>
      </c>
      <c r="J37" s="505">
        <f>COUNT(J19:J30)-J34</f>
        <v/>
      </c>
      <c r="K37" s="505">
        <f>COUNT(K19:K30)-K34</f>
        <v/>
      </c>
      <c r="L37" s="505">
        <f>COUNT(L19:L30)-L34</f>
        <v/>
      </c>
      <c r="M37" s="505">
        <f>COUNT(M19:M30)-M34</f>
        <v/>
      </c>
      <c r="N37" s="505">
        <f>COUNT(N19:N30)-N34</f>
        <v/>
      </c>
      <c r="O37" s="505">
        <f>COUNT(O19:O30)-O34</f>
        <v/>
      </c>
      <c r="P37" s="505">
        <f>COUNT(P19:P30)-P34</f>
        <v/>
      </c>
      <c r="Q37" s="505">
        <f>COUNT(Q19:Q30)-Q34</f>
        <v/>
      </c>
      <c r="R37" s="505">
        <f>COUNT(R19:R30)-R34</f>
        <v/>
      </c>
      <c r="S37" s="505">
        <f>COUNT(S19:S30)-S34</f>
        <v/>
      </c>
      <c r="T37" s="505">
        <f>COUNT(T19:T30)-T34</f>
        <v/>
      </c>
      <c r="U37" s="505">
        <f>COUNT(U19:U30)-U34</f>
        <v/>
      </c>
      <c r="V37" s="505">
        <f>COUNT(V19:V30)-V34</f>
        <v/>
      </c>
      <c r="W37" s="505">
        <f>COUNT(W19:W30)-W34</f>
        <v/>
      </c>
      <c r="X37" s="505">
        <f>COUNT(X19:X30)-X34</f>
        <v/>
      </c>
      <c r="Y37" s="505">
        <f>COUNT(Y19:Y30)-Y34</f>
        <v/>
      </c>
      <c r="Z37" s="505">
        <f>COUNT(Z19:Z30)-Z34</f>
        <v/>
      </c>
      <c r="AA37" s="505">
        <f>COUNT(AA19:AA30)-AA34</f>
        <v/>
      </c>
      <c r="AB37" s="505">
        <f>COUNT(AB19:AB30)-AB34</f>
        <v/>
      </c>
      <c r="AC37" s="505">
        <f>COUNT(AC19:AC30)-AC34</f>
        <v/>
      </c>
      <c r="AD37" s="505">
        <f>COUNT(AD19:AD30)-AD34</f>
        <v/>
      </c>
      <c r="AE37" s="505">
        <f>COUNT(AE19:AE30)-AE34</f>
        <v/>
      </c>
      <c r="AF37" s="505">
        <f>COUNT(AF19:AF30)-AF34</f>
        <v/>
      </c>
      <c r="AG37" s="505">
        <f>COUNT(AG19:AG30)-AG34</f>
        <v/>
      </c>
      <c r="AH37" s="505">
        <f>COUNT(AH19:AH30)-AH34</f>
        <v/>
      </c>
      <c r="AI37" s="505">
        <f>COUNT(AI19:AI30)-AI34</f>
        <v/>
      </c>
      <c r="AJ37" s="505">
        <f>COUNT(AJ19:AJ30)-AJ34</f>
        <v/>
      </c>
      <c r="AK37" s="505">
        <f>COUNT(AK19:AK30)-AK34</f>
        <v/>
      </c>
      <c r="AL37" s="505">
        <f>COUNT(AL19:AL30)-AL34</f>
        <v/>
      </c>
      <c r="AM37" s="534">
        <f>COUNT(AM19:AM30)-AM34</f>
        <v/>
      </c>
      <c r="AN37" s="144">
        <f>SUM(I37:AM37)</f>
        <v/>
      </c>
      <c r="AO37" s="141">
        <f>AN37*8</f>
        <v/>
      </c>
      <c r="AP37" s="53" t="n"/>
    </row>
    <row r="38" ht="21.95" customHeight="1" s="459">
      <c r="B38" s="478" t="inlineStr">
        <is>
          <t>普通保安每日工作(要求)總人數</t>
        </is>
      </c>
      <c r="C38" s="479" t="n"/>
      <c r="D38" s="480" t="n"/>
      <c r="E38" s="397" t="n"/>
      <c r="F38" s="397" t="n"/>
      <c r="G38" s="397" t="n"/>
      <c r="H38" s="149" t="n"/>
      <c r="I38" s="150" t="n">
        <v>3</v>
      </c>
      <c r="J38" s="151" t="n">
        <v>3</v>
      </c>
      <c r="K38" s="151" t="n">
        <v>3</v>
      </c>
      <c r="L38" s="151" t="n">
        <v>3</v>
      </c>
      <c r="M38" s="151" t="n">
        <v>3</v>
      </c>
      <c r="N38" s="151" t="n">
        <v>3</v>
      </c>
      <c r="O38" s="151" t="n">
        <v>3</v>
      </c>
      <c r="P38" s="151" t="n">
        <v>3</v>
      </c>
      <c r="Q38" s="151" t="n">
        <v>3</v>
      </c>
      <c r="R38" s="151" t="n">
        <v>3</v>
      </c>
      <c r="S38" s="151" t="n">
        <v>3</v>
      </c>
      <c r="T38" s="151" t="n">
        <v>3</v>
      </c>
      <c r="U38" s="151" t="n">
        <v>3</v>
      </c>
      <c r="V38" s="151" t="n">
        <v>3</v>
      </c>
      <c r="W38" s="151" t="n">
        <v>3</v>
      </c>
      <c r="X38" s="151" t="n">
        <v>3</v>
      </c>
      <c r="Y38" s="151" t="n">
        <v>3</v>
      </c>
      <c r="Z38" s="151" t="n">
        <v>3</v>
      </c>
      <c r="AA38" s="151" t="n">
        <v>3</v>
      </c>
      <c r="AB38" s="151" t="n">
        <v>3</v>
      </c>
      <c r="AC38" s="151" t="n">
        <v>3</v>
      </c>
      <c r="AD38" s="151" t="n">
        <v>3</v>
      </c>
      <c r="AE38" s="151" t="n">
        <v>3</v>
      </c>
      <c r="AF38" s="151" t="n">
        <v>3</v>
      </c>
      <c r="AG38" s="151" t="n">
        <v>3</v>
      </c>
      <c r="AH38" s="151" t="n">
        <v>3</v>
      </c>
      <c r="AI38" s="151" t="n">
        <v>3</v>
      </c>
      <c r="AJ38" s="151" t="n">
        <v>3</v>
      </c>
      <c r="AK38" s="151" t="n">
        <v>3</v>
      </c>
      <c r="AL38" s="151" t="n">
        <v>3</v>
      </c>
      <c r="AM38" s="186" t="n">
        <v>3</v>
      </c>
      <c r="AN38" s="149">
        <f>SUM(I38:AM38)</f>
        <v/>
      </c>
      <c r="AO38" s="149">
        <f>AN38*8</f>
        <v/>
      </c>
    </row>
    <row r="39" ht="21.95" customHeight="1" s="459" thickBot="1">
      <c r="B39" s="535" t="inlineStr">
        <is>
          <t>普通保安每日工作(缺勤)總人數</t>
        </is>
      </c>
      <c r="C39" s="536" t="n"/>
      <c r="D39" s="537" t="n"/>
      <c r="E39" s="191" t="n"/>
      <c r="F39" s="191" t="n"/>
      <c r="G39" s="191" t="n"/>
      <c r="H39" s="192" t="n"/>
      <c r="I39" s="470">
        <f>IF((I37-I38)&lt;0,I37-I38,0)</f>
        <v/>
      </c>
      <c r="J39" s="471">
        <f>IF((J37-J38)&lt;0,J37-J38,0)</f>
        <v/>
      </c>
      <c r="K39" s="471">
        <f>IF((K37-K38)&lt;0,K37-K38,0)</f>
        <v/>
      </c>
      <c r="L39" s="471">
        <f>IF((L37-L38)&lt;0,L37-L38,0)</f>
        <v/>
      </c>
      <c r="M39" s="471">
        <f>IF((M37-M38)&lt;0,M37-M38,0)</f>
        <v/>
      </c>
      <c r="N39" s="471">
        <f>IF((N37-N38)&lt;0,N37-N38,0)</f>
        <v/>
      </c>
      <c r="O39" s="471">
        <f>IF((O37-O38)&lt;0,O37-O38,0)</f>
        <v/>
      </c>
      <c r="P39" s="471">
        <f>IF((P37-P38)&lt;0,P37-P38,0)</f>
        <v/>
      </c>
      <c r="Q39" s="471">
        <f>IF((Q37-Q38)&lt;0,Q37-Q38,0)</f>
        <v/>
      </c>
      <c r="R39" s="471">
        <f>IF((R37-R38)&lt;0,R37-R38,0)</f>
        <v/>
      </c>
      <c r="S39" s="471">
        <f>IF((S37-S38)&lt;0,S37-S38,0)</f>
        <v/>
      </c>
      <c r="T39" s="471">
        <f>IF((T37-T38)&lt;0,T37-T38,0)</f>
        <v/>
      </c>
      <c r="U39" s="471">
        <f>IF((U37-U38)&lt;0,U37-U38,0)</f>
        <v/>
      </c>
      <c r="V39" s="471">
        <f>IF((V37-V38)&lt;0,V37-V38,0)</f>
        <v/>
      </c>
      <c r="W39" s="471">
        <f>IF((W37-W38)&lt;0,W37-W38,0)</f>
        <v/>
      </c>
      <c r="X39" s="471">
        <f>IF((X37-X38)&lt;0,X37-X38,0)</f>
        <v/>
      </c>
      <c r="Y39" s="471">
        <f>IF((Y37-Y38)&lt;0,Y37-Y38,0)</f>
        <v/>
      </c>
      <c r="Z39" s="471">
        <f>IF((Z37-Z38)&lt;0,Z37-Z38,0)</f>
        <v/>
      </c>
      <c r="AA39" s="471">
        <f>IF((AA37-AA38)&lt;0,AA37-AA38,0)</f>
        <v/>
      </c>
      <c r="AB39" s="471">
        <f>IF((AB37-AB38)&lt;0,AB37-AB38,0)</f>
        <v/>
      </c>
      <c r="AC39" s="471">
        <f>IF((AC37-AC38)&lt;0,AC37-AC38,0)</f>
        <v/>
      </c>
      <c r="AD39" s="471">
        <f>IF((AD37-AD38)&lt;0,AD37-AD38,0)</f>
        <v/>
      </c>
      <c r="AE39" s="471">
        <f>IF((AE37-AE38)&lt;0,AE37-AE38,0)</f>
        <v/>
      </c>
      <c r="AF39" s="471">
        <f>IF((AF37-AF38)&lt;0,AF37-AF38,0)</f>
        <v/>
      </c>
      <c r="AG39" s="471">
        <f>IF((AG37-AG38)&lt;0,AG37-AG38,0)</f>
        <v/>
      </c>
      <c r="AH39" s="471">
        <f>IF((AH37-AH38)&lt;0,AH37-AH38,0)</f>
        <v/>
      </c>
      <c r="AI39" s="471">
        <f>IF((AI37-AI38)&lt;0,AI37-AI38,0)</f>
        <v/>
      </c>
      <c r="AJ39" s="471">
        <f>IF((AJ37-AJ38)&lt;0,AJ37-AJ38,0)</f>
        <v/>
      </c>
      <c r="AK39" s="471">
        <f>IF((AK37-AK38)&lt;0,AK37-AK38,0)</f>
        <v/>
      </c>
      <c r="AL39" s="471">
        <f>IF((AL37-AL38)&lt;0,AL37-AL38,0)</f>
        <v/>
      </c>
      <c r="AM39" s="484">
        <f>IF((AM37-AM38)&lt;0,AM37-AM38,0)</f>
        <v/>
      </c>
      <c r="AN39" s="486">
        <f>SUM(I39:AM39)</f>
        <v/>
      </c>
      <c r="AO39" s="486">
        <f>AO37-AO38</f>
        <v/>
      </c>
    </row>
    <row r="40" ht="21.95" customHeight="1" s="459">
      <c r="B40" s="538" t="inlineStr">
        <is>
          <t>保安每日工作(實際)總人數</t>
        </is>
      </c>
      <c r="C40" s="539" t="n"/>
      <c r="D40" s="540" t="n"/>
      <c r="E40" s="437" t="n"/>
      <c r="F40" s="437" t="n"/>
      <c r="G40" s="437" t="n"/>
      <c r="H40" s="305" t="n"/>
      <c r="I40" s="513">
        <f>SUM(I15+I34+I37)</f>
        <v/>
      </c>
      <c r="J40" s="198">
        <f>SUM(J15+J34+J37)</f>
        <v/>
      </c>
      <c r="K40" s="198">
        <f>SUM(K15+K34+K37)</f>
        <v/>
      </c>
      <c r="L40" s="198">
        <f>SUM(L15+L34+L37)</f>
        <v/>
      </c>
      <c r="M40" s="198">
        <f>SUM(M15+M34+M37)</f>
        <v/>
      </c>
      <c r="N40" s="198">
        <f>SUM(N15+N34+N37)</f>
        <v/>
      </c>
      <c r="O40" s="198">
        <f>SUM(O15+O34+O37)</f>
        <v/>
      </c>
      <c r="P40" s="198">
        <f>SUM(P15+P34+P37)</f>
        <v/>
      </c>
      <c r="Q40" s="198">
        <f>SUM(Q15+Q34+Q37)</f>
        <v/>
      </c>
      <c r="R40" s="198">
        <f>SUM(R15+R34+R37)</f>
        <v/>
      </c>
      <c r="S40" s="198">
        <f>SUM(S15+S34+S37)</f>
        <v/>
      </c>
      <c r="T40" s="198">
        <f>SUM(T15+T34+T37)</f>
        <v/>
      </c>
      <c r="U40" s="198">
        <f>SUM(U15+U34+U37)</f>
        <v/>
      </c>
      <c r="V40" s="198">
        <f>SUM(V15+V34+V37)</f>
        <v/>
      </c>
      <c r="W40" s="198">
        <f>SUM(W15+W34+W37)</f>
        <v/>
      </c>
      <c r="X40" s="198">
        <f>SUM(X15+X34+X37)</f>
        <v/>
      </c>
      <c r="Y40" s="198">
        <f>SUM(Y15+Y34+Y37)</f>
        <v/>
      </c>
      <c r="Z40" s="198">
        <f>SUM(Z15+Z34+Z37)</f>
        <v/>
      </c>
      <c r="AA40" s="198">
        <f>SUM(AA15+AA34+AA37)</f>
        <v/>
      </c>
      <c r="AB40" s="198">
        <f>SUM(AB15+AB34+AB37)</f>
        <v/>
      </c>
      <c r="AC40" s="198">
        <f>SUM(AC15+AC34+AC37)</f>
        <v/>
      </c>
      <c r="AD40" s="198">
        <f>SUM(AD15+AD34+AD37)</f>
        <v/>
      </c>
      <c r="AE40" s="198">
        <f>SUM(AE15+AE34+AE37)</f>
        <v/>
      </c>
      <c r="AF40" s="198">
        <f>SUM(AF15+AF34+AF37)</f>
        <v/>
      </c>
      <c r="AG40" s="198">
        <f>SUM(AG15+AG34+AG37)</f>
        <v/>
      </c>
      <c r="AH40" s="198">
        <f>SUM(AH15+AH34+AH37)</f>
        <v/>
      </c>
      <c r="AI40" s="198">
        <f>SUM(AI15+AI34+AI37)</f>
        <v/>
      </c>
      <c r="AJ40" s="198">
        <f>SUM(AJ15+AJ34+AJ37)</f>
        <v/>
      </c>
      <c r="AK40" s="198">
        <f>SUM(AK15+AK34+AK37)</f>
        <v/>
      </c>
      <c r="AL40" s="198">
        <f>SUM(AL15+AL34+AL37)</f>
        <v/>
      </c>
      <c r="AM40" s="199">
        <f>SUM(AM15+AM34+AM37)</f>
        <v/>
      </c>
      <c r="AN40" s="541">
        <f>SUM(I40:AM40)</f>
        <v/>
      </c>
      <c r="AO40" s="542">
        <f>SUM(AO12+AO31)</f>
        <v/>
      </c>
    </row>
    <row r="41" ht="21.95" customHeight="1" s="459">
      <c r="B41" s="478" t="inlineStr">
        <is>
          <t>保安每日工作(要求)總人數</t>
        </is>
      </c>
      <c r="C41" s="479" t="n"/>
      <c r="D41" s="480" t="n"/>
      <c r="E41" s="397" t="n"/>
      <c r="F41" s="397" t="n"/>
      <c r="G41" s="397" t="n"/>
      <c r="H41" s="149" t="n"/>
      <c r="I41" s="150">
        <f>SUM(I16+I35+I38)</f>
        <v/>
      </c>
      <c r="J41" s="151">
        <f>SUM(J16+J35+J38)</f>
        <v/>
      </c>
      <c r="K41" s="151">
        <f>SUM(K16+K35+K38)</f>
        <v/>
      </c>
      <c r="L41" s="151">
        <f>SUM(L16+L35+L38)</f>
        <v/>
      </c>
      <c r="M41" s="151">
        <f>SUM(M16+M35+M38)</f>
        <v/>
      </c>
      <c r="N41" s="151">
        <f>SUM(N16+N35+N38)</f>
        <v/>
      </c>
      <c r="O41" s="151">
        <f>SUM(O16+O35+O38)</f>
        <v/>
      </c>
      <c r="P41" s="151">
        <f>SUM(P16+P35+P38)</f>
        <v/>
      </c>
      <c r="Q41" s="151">
        <f>SUM(Q16+Q35+Q38)</f>
        <v/>
      </c>
      <c r="R41" s="151">
        <f>SUM(R16+R35+R38)</f>
        <v/>
      </c>
      <c r="S41" s="151">
        <f>SUM(S16+S35+S38)</f>
        <v/>
      </c>
      <c r="T41" s="151">
        <f>SUM(T16+T35+T38)</f>
        <v/>
      </c>
      <c r="U41" s="151">
        <f>SUM(U16+U35+U38)</f>
        <v/>
      </c>
      <c r="V41" s="151">
        <f>SUM(V16+V35+V38)</f>
        <v/>
      </c>
      <c r="W41" s="151">
        <f>SUM(W16+W35+W38)</f>
        <v/>
      </c>
      <c r="X41" s="151">
        <f>SUM(X16+X35+X38)</f>
        <v/>
      </c>
      <c r="Y41" s="151">
        <f>SUM(Y16+Y35+Y38)</f>
        <v/>
      </c>
      <c r="Z41" s="151">
        <f>SUM(Z16+Z35+Z38)</f>
        <v/>
      </c>
      <c r="AA41" s="151">
        <f>SUM(AA16+AA35+AA38)</f>
        <v/>
      </c>
      <c r="AB41" s="151">
        <f>SUM(AB16+AB35+AB38)</f>
        <v/>
      </c>
      <c r="AC41" s="151">
        <f>SUM(AC16+AC35+AC38)</f>
        <v/>
      </c>
      <c r="AD41" s="151">
        <f>SUM(AD16+AD35+AD38)</f>
        <v/>
      </c>
      <c r="AE41" s="151">
        <f>SUM(AE16+AE35+AE38)</f>
        <v/>
      </c>
      <c r="AF41" s="151">
        <f>SUM(AF16+AF35+AF38)</f>
        <v/>
      </c>
      <c r="AG41" s="151">
        <f>SUM(AG16+AG35+AG38)</f>
        <v/>
      </c>
      <c r="AH41" s="151">
        <f>SUM(AH16+AH35+AH38)</f>
        <v/>
      </c>
      <c r="AI41" s="151">
        <f>SUM(AI16+AI35+AI38)</f>
        <v/>
      </c>
      <c r="AJ41" s="151">
        <f>SUM(AJ16+AJ35+AJ38)</f>
        <v/>
      </c>
      <c r="AK41" s="151">
        <f>SUM(AK16+AK35+AK38)</f>
        <v/>
      </c>
      <c r="AL41" s="151">
        <f>SUM(AL16+AL35+AL38)</f>
        <v/>
      </c>
      <c r="AM41" s="186">
        <f>SUM(AM16+AM35+AM38)</f>
        <v/>
      </c>
      <c r="AN41" s="543">
        <f>SUM(I41:AM41)</f>
        <v/>
      </c>
      <c r="AO41" s="543">
        <f>SUM(AO16+AO35+AO38)</f>
        <v/>
      </c>
    </row>
    <row r="42" ht="21.95" customFormat="1" customHeight="1" s="14" thickBot="1">
      <c r="B42" s="489" t="inlineStr">
        <is>
          <t>保安每日工作(缺勤)總人數</t>
        </is>
      </c>
      <c r="C42" s="482" t="n"/>
      <c r="D42" s="483" t="n"/>
      <c r="E42" s="295" t="n"/>
      <c r="F42" s="295" t="n"/>
      <c r="G42" s="295" t="n"/>
      <c r="H42" s="201" t="n"/>
      <c r="I42" s="515">
        <f>SUM(I40-I41)</f>
        <v/>
      </c>
      <c r="J42" s="516">
        <f>SUM(J40-J41)</f>
        <v/>
      </c>
      <c r="K42" s="516">
        <f>SUM(K40-K41)</f>
        <v/>
      </c>
      <c r="L42" s="516">
        <f>SUM(L40-L41)</f>
        <v/>
      </c>
      <c r="M42" s="516">
        <f>SUM(M40-M41)</f>
        <v/>
      </c>
      <c r="N42" s="516">
        <f>SUM(N40-N41)</f>
        <v/>
      </c>
      <c r="O42" s="516">
        <f>SUM(O40-O41)</f>
        <v/>
      </c>
      <c r="P42" s="516">
        <f>SUM(P40-P41)</f>
        <v/>
      </c>
      <c r="Q42" s="516">
        <f>SUM(Q40-Q41)</f>
        <v/>
      </c>
      <c r="R42" s="516">
        <f>SUM(R40-R41)</f>
        <v/>
      </c>
      <c r="S42" s="516">
        <f>SUM(S40-S41)</f>
        <v/>
      </c>
      <c r="T42" s="516">
        <f>SUM(T40-T41)</f>
        <v/>
      </c>
      <c r="U42" s="516">
        <f>SUM(U40-U41)</f>
        <v/>
      </c>
      <c r="V42" s="516">
        <f>SUM(V40-V41)</f>
        <v/>
      </c>
      <c r="W42" s="516">
        <f>SUM(W40-W41)</f>
        <v/>
      </c>
      <c r="X42" s="516">
        <f>SUM(X40-X41)</f>
        <v/>
      </c>
      <c r="Y42" s="516">
        <f>SUM(Y40-Y41)</f>
        <v/>
      </c>
      <c r="Z42" s="516">
        <f>SUM(Z40-Z41)</f>
        <v/>
      </c>
      <c r="AA42" s="516">
        <f>SUM(AA40-AA41)</f>
        <v/>
      </c>
      <c r="AB42" s="516">
        <f>SUM(AB40-AB41)</f>
        <v/>
      </c>
      <c r="AC42" s="516">
        <f>SUM(AC40-AC41)</f>
        <v/>
      </c>
      <c r="AD42" s="516">
        <f>SUM(AD40-AD41)</f>
        <v/>
      </c>
      <c r="AE42" s="516">
        <f>SUM(AE40-AE41)</f>
        <v/>
      </c>
      <c r="AF42" s="516">
        <f>SUM(AF40-AF41)</f>
        <v/>
      </c>
      <c r="AG42" s="516">
        <f>SUM(AG40-AG41)</f>
        <v/>
      </c>
      <c r="AH42" s="516">
        <f>SUM(AH40-AH41)</f>
        <v/>
      </c>
      <c r="AI42" s="516">
        <f>SUM(AI40-AI41)</f>
        <v/>
      </c>
      <c r="AJ42" s="516">
        <f>SUM(AJ40-AJ41)</f>
        <v/>
      </c>
      <c r="AK42" s="516">
        <f>SUM(AK40-AK41)</f>
        <v/>
      </c>
      <c r="AL42" s="516">
        <f>SUM(AL40-AL41)</f>
        <v/>
      </c>
      <c r="AM42" s="544">
        <f>SUM(AM40-AM41)</f>
        <v/>
      </c>
      <c r="AN42" s="518">
        <f>SUM(I42:AM42)</f>
        <v/>
      </c>
      <c r="AO42" s="518">
        <f>AO40-AO41</f>
        <v/>
      </c>
    </row>
    <row r="43" ht="21.95" customHeight="1" s="459">
      <c r="B43" s="207" t="n"/>
      <c r="C43" s="208" t="n"/>
      <c r="D43" s="208" t="n"/>
      <c r="E43" s="208" t="n"/>
      <c r="F43" s="208" t="n"/>
      <c r="G43" s="208" t="n"/>
      <c r="H43" s="207" t="n"/>
      <c r="I43" s="208" t="n"/>
      <c r="J43" s="208" t="n"/>
      <c r="K43" s="208" t="n"/>
      <c r="L43" s="208" t="n"/>
      <c r="M43" s="208" t="n"/>
      <c r="N43" s="208" t="n"/>
      <c r="O43" s="208" t="n"/>
      <c r="P43" s="208" t="n"/>
      <c r="Q43" s="208" t="n"/>
      <c r="R43" s="208" t="n"/>
      <c r="S43" s="208" t="n"/>
      <c r="T43" s="208" t="n"/>
      <c r="U43" s="208" t="n"/>
      <c r="V43" s="208" t="n"/>
      <c r="W43" s="208" t="n"/>
      <c r="X43" s="208" t="n"/>
      <c r="Y43" s="208" t="n"/>
      <c r="Z43" s="208" t="n"/>
      <c r="AA43" s="208" t="n"/>
      <c r="AB43" s="208" t="n"/>
      <c r="AC43" s="208" t="n"/>
      <c r="AD43" s="208" t="n"/>
      <c r="AE43" s="208" t="n"/>
      <c r="AF43" s="208" t="n"/>
      <c r="AG43" s="208" t="n"/>
      <c r="AH43" s="208" t="n"/>
      <c r="AI43" s="208" t="n"/>
      <c r="AJ43" s="208" t="n"/>
      <c r="AK43" s="208" t="n"/>
      <c r="AL43" s="208" t="n"/>
      <c r="AM43" s="208" t="n"/>
      <c r="AN43" s="208" t="n"/>
      <c r="AO43" s="208" t="n"/>
    </row>
    <row r="44" ht="22.5" customHeight="1" s="459">
      <c r="B44" s="207" t="n"/>
      <c r="C44" s="208" t="n"/>
      <c r="D44" s="208" t="n"/>
      <c r="E44" s="208" t="n"/>
      <c r="F44" s="208" t="n"/>
      <c r="G44" s="208" t="n"/>
      <c r="H44" s="209" t="inlineStr">
        <is>
          <t>備註：</t>
        </is>
      </c>
      <c r="I44" s="210" t="inlineStr">
        <is>
          <t xml:space="preserve"> GS=Guard Supervisor     SG=Special Guard      G=Security Guard</t>
        </is>
      </c>
      <c r="J44" s="519" t="n"/>
      <c r="K44" s="519" t="n"/>
      <c r="L44" s="519" t="n"/>
      <c r="M44" s="519" t="n"/>
      <c r="N44" s="519" t="n"/>
      <c r="O44" s="519" t="n"/>
      <c r="P44" s="519" t="n"/>
      <c r="Q44" s="519" t="n"/>
      <c r="R44" s="90" t="n"/>
      <c r="S44" s="90" t="n"/>
      <c r="T44" s="90" t="n"/>
      <c r="U44" s="90" t="n"/>
      <c r="V44" s="90" t="n"/>
      <c r="W44" s="90" t="n"/>
      <c r="X44" s="90" t="n"/>
      <c r="Y44" s="90" t="n"/>
      <c r="Z44" s="208" t="n"/>
      <c r="AA44" s="520" t="inlineStr">
        <is>
          <t>SH / NSH</t>
        </is>
      </c>
      <c r="AB44" s="498" t="n"/>
      <c r="AC44" s="212" t="inlineStr">
        <is>
          <t>RD</t>
        </is>
      </c>
      <c r="AD44" s="213" t="inlineStr">
        <is>
          <t>NP</t>
        </is>
      </c>
      <c r="AE44" s="214" t="inlineStr">
        <is>
          <t>SL</t>
        </is>
      </c>
      <c r="AF44" s="215" t="inlineStr">
        <is>
          <t>AL</t>
        </is>
      </c>
      <c r="AG44" s="216" t="inlineStr">
        <is>
          <t>NC</t>
        </is>
      </c>
      <c r="AH44" s="208" t="n"/>
      <c r="AI44" s="208" t="n"/>
      <c r="AJ44" s="208" t="n"/>
      <c r="AK44" s="207" t="n"/>
      <c r="AL44" s="207" t="n"/>
      <c r="AM44" s="13" t="n"/>
      <c r="AN44" s="13" t="n"/>
      <c r="AO44" s="13" t="n"/>
    </row>
    <row r="45" ht="21.95" customHeight="1" s="459">
      <c r="B45" s="207" t="n"/>
      <c r="C45" s="208" t="n"/>
      <c r="D45" s="208" t="n"/>
      <c r="E45" s="208" t="n"/>
      <c r="F45" s="208" t="n"/>
      <c r="G45" s="208" t="n"/>
      <c r="H45" s="91" t="n"/>
      <c r="I45" s="210" t="inlineStr">
        <is>
          <t>【AL=年假】【NP=無薪假】【PH=公眾假期】【PL=其他有薪假】【RD=例假】【SH=法定假期】【NSH=無薪法定假期】【SL=病假】【NC=非合約期】</t>
        </is>
      </c>
      <c r="J45" s="90" t="n"/>
      <c r="K45" s="90" t="n"/>
      <c r="L45" s="90" t="n"/>
      <c r="M45" s="90" t="n"/>
      <c r="N45" s="90" t="n"/>
      <c r="O45" s="90" t="n"/>
      <c r="P45" s="90" t="n"/>
      <c r="Q45" s="90" t="n"/>
      <c r="R45" s="90" t="n"/>
      <c r="S45" s="90" t="n"/>
      <c r="T45" s="90" t="n"/>
      <c r="U45" s="90" t="n"/>
      <c r="V45" s="90" t="n"/>
      <c r="W45" s="90" t="n"/>
      <c r="X45" s="90" t="n"/>
      <c r="Y45" s="90" t="n"/>
      <c r="Z45" s="208" t="n"/>
      <c r="AA45" s="208" t="n"/>
      <c r="AB45" s="208" t="n"/>
      <c r="AC45" s="208" t="n"/>
      <c r="AD45" s="208" t="n"/>
      <c r="AE45" s="208" t="n"/>
      <c r="AF45" s="208" t="n"/>
      <c r="AG45" s="208" t="n"/>
      <c r="AH45" s="208" t="n"/>
      <c r="AI45" s="208" t="n"/>
      <c r="AJ45" s="208" t="n"/>
      <c r="AK45" s="208" t="n"/>
      <c r="AL45" s="208" t="n"/>
      <c r="AM45" s="208" t="n"/>
      <c r="AN45" s="208" t="n"/>
      <c r="AO45" s="208" t="n"/>
    </row>
    <row r="46" ht="21.95" customHeight="1" s="459">
      <c r="B46" s="296" t="n"/>
      <c r="C46" s="297" t="n"/>
      <c r="D46" s="298" t="n"/>
      <c r="E46" s="208" t="n"/>
      <c r="F46" s="208" t="n"/>
      <c r="G46" s="208" t="n"/>
      <c r="H46" s="207" t="n"/>
      <c r="I46" s="208" t="n"/>
      <c r="J46" s="208" t="n"/>
      <c r="K46" s="208" t="n"/>
      <c r="L46" s="208" t="n"/>
      <c r="M46" s="208" t="n"/>
      <c r="N46" s="208" t="n"/>
      <c r="O46" s="208" t="n"/>
      <c r="P46" s="208" t="n"/>
      <c r="Q46" s="208" t="n"/>
      <c r="R46" s="208" t="n"/>
      <c r="S46" s="208" t="n"/>
      <c r="T46" s="208" t="n"/>
      <c r="U46" s="208" t="n"/>
      <c r="V46" s="208" t="n"/>
      <c r="W46" s="208" t="n"/>
      <c r="X46" s="208" t="n"/>
      <c r="Y46" s="208" t="n"/>
      <c r="Z46" s="208" t="n"/>
      <c r="AA46" s="208" t="n"/>
      <c r="AB46" s="208" t="n"/>
      <c r="AC46" s="208" t="n"/>
      <c r="AD46" s="208" t="n"/>
      <c r="AE46" s="208" t="n"/>
      <c r="AF46" s="208" t="n"/>
      <c r="AG46" s="208" t="n"/>
      <c r="AH46" s="208" t="n"/>
      <c r="AI46" s="208" t="n"/>
      <c r="AJ46" s="208" t="n"/>
      <c r="AK46" s="208" t="n"/>
      <c r="AL46" s="208" t="n"/>
      <c r="AM46" s="208" t="n"/>
      <c r="AN46" s="208" t="n"/>
      <c r="AO46" s="208" t="n"/>
    </row>
    <row r="47" ht="21.95" customFormat="1" customHeight="1" s="12">
      <c r="B47" s="296" t="n"/>
      <c r="C47" s="431" t="n"/>
      <c r="E47" s="90" t="n"/>
      <c r="F47" s="299" t="n"/>
      <c r="G47" s="300" t="n"/>
      <c r="H47" s="91" t="n"/>
      <c r="I47" s="91" t="n"/>
      <c r="J47" s="91" t="n"/>
      <c r="K47" s="91" t="n"/>
      <c r="L47" s="90" t="n"/>
      <c r="M47" s="90" t="n"/>
      <c r="N47" s="90" t="n"/>
      <c r="O47" s="90" t="n"/>
      <c r="P47" s="90" t="n"/>
      <c r="Q47" s="90" t="n"/>
      <c r="R47" s="90" t="n"/>
      <c r="S47" s="90" t="n"/>
      <c r="T47" s="90" t="n"/>
      <c r="U47" s="90" t="n"/>
      <c r="V47" s="90" t="n"/>
      <c r="W47" s="90" t="n"/>
      <c r="X47" s="90" t="n"/>
      <c r="Y47" s="90" t="n"/>
      <c r="Z47" s="90" t="n"/>
      <c r="AA47" s="90" t="n"/>
      <c r="AB47" s="90" t="n"/>
      <c r="AC47" s="90" t="n"/>
      <c r="AD47" s="90" t="n"/>
      <c r="AE47" s="90" t="n"/>
      <c r="AF47" s="90" t="n"/>
      <c r="AG47" s="90" t="n"/>
      <c r="AH47" s="90" t="n"/>
      <c r="AI47" s="90" t="n"/>
      <c r="AJ47" s="90" t="n"/>
      <c r="AK47" s="90" t="n"/>
      <c r="AL47" s="90" t="n"/>
      <c r="AM47" s="90" t="n"/>
      <c r="AN47" s="91" t="n"/>
      <c r="AO47" s="91" t="n"/>
    </row>
    <row r="48" ht="21.95" customFormat="1" customHeight="1" s="12">
      <c r="B48" s="31" t="n"/>
      <c r="C48" s="32" t="n"/>
      <c r="D48" s="31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32" t="n"/>
      <c r="AA48" s="32" t="n"/>
      <c r="AB48" s="32" t="n"/>
      <c r="AC48" s="32" t="n"/>
      <c r="AD48" s="32" t="n"/>
      <c r="AE48" s="32" t="n"/>
      <c r="AF48" s="32" t="n"/>
      <c r="AG48" s="32" t="n"/>
      <c r="AH48" s="32" t="n"/>
      <c r="AI48" s="32" t="n"/>
      <c r="AJ48" s="32" t="n"/>
      <c r="AK48" s="32" t="n"/>
      <c r="AL48" s="32" t="n"/>
      <c r="AM48" s="32" t="n"/>
      <c r="AN48" s="32" t="n"/>
      <c r="AO48" s="32" t="n"/>
    </row>
    <row r="49" ht="21.95" customHeight="1" s="459">
      <c r="D49" s="39" t="n"/>
      <c r="H49" s="40" t="n"/>
      <c r="AK49" s="32" t="n"/>
      <c r="AN49" s="39" t="n"/>
      <c r="AO49" s="39" t="n"/>
    </row>
    <row r="50" ht="21.95" customHeight="1" s="459">
      <c r="AN50" s="39" t="n"/>
      <c r="AO50" s="39" t="n"/>
    </row>
    <row r="51" ht="21.95" customHeight="1" s="459"/>
    <row r="52" ht="21.95" customHeight="1" s="459"/>
    <row r="53" ht="21.95" customHeight="1" s="459">
      <c r="AK53" s="32" t="n"/>
      <c r="AL53" s="41" t="n"/>
      <c r="AN53" s="39" t="n"/>
      <c r="AO53" s="39" t="n"/>
    </row>
    <row r="54" ht="21.95" customHeight="1" s="459">
      <c r="T54" s="40" t="inlineStr">
        <is>
          <t xml:space="preserve"> </t>
        </is>
      </c>
    </row>
    <row r="55" ht="21.95" customHeight="1" s="459"/>
    <row r="56" ht="21.95" customHeight="1" s="459"/>
    <row r="57" ht="21.95" customHeight="1" s="459"/>
    <row r="58" ht="21.95" customHeight="1" s="459"/>
    <row r="59" ht="21.95" customHeight="1" s="459"/>
    <row r="60" ht="21.95" customHeight="1" s="459"/>
    <row r="61" ht="21.95" customHeight="1" s="459"/>
    <row r="62" ht="21.95" customHeight="1" s="459"/>
    <row r="63" ht="21.95" customHeight="1" s="459"/>
    <row r="64" ht="21.95" customHeight="1" s="459"/>
    <row r="65" ht="21.95" customHeight="1" s="459"/>
    <row r="66" ht="21.95" customHeight="1" s="459"/>
    <row r="67" ht="21.95" customHeight="1" s="459"/>
    <row r="68" ht="21.95" customHeight="1" s="459"/>
    <row r="69" ht="21.95" customHeight="1" s="459"/>
    <row r="70" ht="21.95" customHeight="1" s="459"/>
    <row r="71" ht="21.95" customHeight="1" s="459"/>
    <row r="72" ht="21.95" customHeight="1" s="459"/>
    <row r="73" ht="21.95" customHeight="1" s="459"/>
    <row r="74" ht="21.95" customHeight="1" s="459"/>
    <row r="75" ht="21.95" customHeight="1" s="459"/>
    <row r="76" ht="21.95" customHeight="1" s="459"/>
    <row r="77" ht="21.95" customHeight="1" s="459"/>
    <row r="78" ht="21.95" customHeight="1" s="459"/>
    <row r="79" ht="21.95" customHeight="1" s="459"/>
    <row r="80" ht="21.95" customHeight="1" s="459"/>
    <row r="81" ht="21.95" customHeight="1" s="459"/>
    <row r="82" ht="21.95" customHeight="1" s="459"/>
    <row r="83" ht="21.95" customHeight="1" s="459"/>
    <row r="84" ht="21.95" customHeight="1" s="459"/>
    <row r="85" ht="21.95" customHeight="1" s="459"/>
    <row r="86" ht="21.95" customHeight="1" s="459"/>
    <row r="87" ht="21.95" customHeight="1" s="459"/>
    <row r="88" ht="21.95" customHeight="1" s="459"/>
    <row r="89" ht="21.95" customHeight="1" s="459"/>
    <row r="90" ht="21.95" customHeight="1" s="459"/>
    <row r="91" ht="21.95" customHeight="1" s="459"/>
    <row r="92" ht="21.95" customHeight="1" s="459"/>
    <row r="93" ht="21.95" customHeight="1" s="459"/>
    <row r="94" ht="21.95" customHeight="1" s="459"/>
    <row r="95" ht="21.95" customHeight="1" s="459"/>
    <row r="96" ht="21.95" customHeight="1" s="459"/>
    <row r="97" ht="21.95" customHeight="1" s="459"/>
  </sheetData>
  <autoFilter ref="D8:D31"/>
  <mergeCells count="22">
    <mergeCell ref="B42:D42"/>
    <mergeCell ref="AA44:AB44"/>
    <mergeCell ref="B31:C31"/>
    <mergeCell ref="D31:H31"/>
    <mergeCell ref="O4:Z4"/>
    <mergeCell ref="B38:D38"/>
    <mergeCell ref="B34:D34"/>
    <mergeCell ref="B37:D37"/>
    <mergeCell ref="C47:D47"/>
    <mergeCell ref="AO6:AO8"/>
    <mergeCell ref="B40:D40"/>
    <mergeCell ref="BC6:BC8"/>
    <mergeCell ref="AN6:AN8"/>
    <mergeCell ref="B33:D33"/>
    <mergeCell ref="B36:D36"/>
    <mergeCell ref="B41:D41"/>
    <mergeCell ref="B32:D32"/>
    <mergeCell ref="B35:D35"/>
    <mergeCell ref="B3:AO3"/>
    <mergeCell ref="B2:AO2"/>
    <mergeCell ref="B39:D39"/>
    <mergeCell ref="B1:AO1"/>
  </mergeCells>
  <conditionalFormatting sqref="B1:B2">
    <cfRule type="cellIs" priority="136" operator="equal" dxfId="220">
      <formula>"NC"</formula>
    </cfRule>
    <cfRule type="cellIs" priority="137" operator="equal" dxfId="219">
      <formula>"R"</formula>
    </cfRule>
    <cfRule type="cellIs" priority="138" operator="equal" dxfId="221" stopIfTrue="1">
      <formula>"RD"</formula>
    </cfRule>
    <cfRule type="cellIs" priority="399" operator="equal" dxfId="226">
      <formula>"NP"</formula>
    </cfRule>
    <cfRule type="cellIs" priority="400" operator="equal" dxfId="23">
      <formula>"NC"</formula>
    </cfRule>
    <cfRule type="cellIs" priority="404" operator="equal" dxfId="3" stopIfTrue="1">
      <formula>"NP"</formula>
    </cfRule>
  </conditionalFormatting>
  <conditionalFormatting sqref="C4">
    <cfRule type="cellIs" priority="394" operator="equal" dxfId="23">
      <formula>"NC"</formula>
    </cfRule>
    <cfRule type="cellIs" priority="395" operator="equal" dxfId="3" stopIfTrue="1">
      <formula>"NP"</formula>
    </cfRule>
    <cfRule type="cellIs" priority="396" operator="equal" dxfId="221" stopIfTrue="1">
      <formula>"RD"</formula>
    </cfRule>
    <cfRule type="cellIs" priority="397" operator="equal" dxfId="220">
      <formula>"NC"</formula>
    </cfRule>
    <cfRule type="cellIs" priority="398" operator="equal" dxfId="219">
      <formula>"R"</formula>
    </cfRule>
  </conditionalFormatting>
  <conditionalFormatting sqref="I6:I7 AG6:AM7">
    <cfRule type="expression" priority="57" dxfId="157">
      <formula>(WEEKDAY($I1048524,5)&gt;1)</formula>
    </cfRule>
    <cfRule type="expression" priority="58" dxfId="37">
      <formula>LEFT(#REF!,1)="H"</formula>
    </cfRule>
    <cfRule type="expression" priority="59" dxfId="37">
      <formula>WEEKDAY(I$6,2)&gt;6</formula>
    </cfRule>
  </conditionalFormatting>
  <conditionalFormatting sqref="I11 K11 M11:P11 R11:T11 V11 AA11:AB11 AJ11:AM11">
    <cfRule type="containsText" priority="374" operator="containsText" dxfId="9" text="AL">
      <formula>NOT(ISERROR(SEARCH("AL",I11)))</formula>
    </cfRule>
    <cfRule type="cellIs" priority="372" operator="equal" dxfId="3">
      <formula>"SR"</formula>
    </cfRule>
    <cfRule type="cellIs" priority="373" operator="equal" dxfId="7">
      <formula>"SG"</formula>
    </cfRule>
  </conditionalFormatting>
  <conditionalFormatting sqref="I11">
    <cfRule type="cellIs" priority="366" operator="equal" dxfId="8">
      <formula>"CL"</formula>
    </cfRule>
    <cfRule type="cellIs" priority="367" operator="equal" dxfId="7">
      <formula>"GS"</formula>
    </cfRule>
    <cfRule type="containsText" priority="368" operator="containsText" dxfId="6" text="SL">
      <formula>NOT(ISERROR(SEARCH("SL",I11)))</formula>
    </cfRule>
    <cfRule type="containsText" priority="369" operator="containsText" dxfId="5" text="NP">
      <formula>NOT(ISERROR(SEARCH("NP",I11)))</formula>
    </cfRule>
    <cfRule type="containsText" priority="370" operator="containsText" dxfId="4" text="SH">
      <formula>NOT(ISERROR(SEARCH("SH",I11)))</formula>
    </cfRule>
    <cfRule type="containsText" priority="371" operator="containsText" dxfId="3" text="RD">
      <formula>NOT(ISERROR(SEARCH("RD",I11)))</formula>
    </cfRule>
  </conditionalFormatting>
  <conditionalFormatting sqref="I20">
    <cfRule type="cellIs" priority="290" operator="equal" dxfId="3">
      <formula>"SR"</formula>
    </cfRule>
    <cfRule type="cellIs" priority="291" operator="equal" dxfId="7">
      <formula>"SG"</formula>
    </cfRule>
    <cfRule type="containsText" priority="292" operator="containsText" dxfId="9" text="AL">
      <formula>NOT(ISERROR(SEARCH("AL",I20)))</formula>
    </cfRule>
    <cfRule type="containsText" priority="294" operator="containsText" dxfId="6" text="SL">
      <formula>NOT(ISERROR(SEARCH("SL",I20)))</formula>
    </cfRule>
    <cfRule type="containsText" priority="295" operator="containsText" dxfId="5" text="NP">
      <formula>NOT(ISERROR(SEARCH("NP",I20)))</formula>
    </cfRule>
    <cfRule type="containsText" priority="296" operator="containsText" dxfId="4" text="SH">
      <formula>NOT(ISERROR(SEARCH("SH",I20)))</formula>
    </cfRule>
    <cfRule type="containsText" priority="297" operator="containsText" dxfId="3" text="RD">
      <formula>NOT(ISERROR(SEARCH("RD",I20)))</formula>
    </cfRule>
  </conditionalFormatting>
  <conditionalFormatting sqref="I21 I22:AF30 K21:AF21 AJ21:AM30">
    <cfRule type="containsText" priority="308" operator="containsText" dxfId="6" text="SL">
      <formula>NOT(ISERROR(SEARCH("SL",I21)))</formula>
    </cfRule>
    <cfRule type="containsText" priority="309" operator="containsText" dxfId="5" text="NP">
      <formula>NOT(ISERROR(SEARCH("NP",I21)))</formula>
    </cfRule>
    <cfRule type="containsText" priority="310" operator="containsText" dxfId="4" text="SH">
      <formula>NOT(ISERROR(SEARCH("SH",I21)))</formula>
    </cfRule>
    <cfRule type="containsText" priority="311" operator="containsText" dxfId="3" text="RD">
      <formula>NOT(ISERROR(SEARCH("RD",I21)))</formula>
    </cfRule>
  </conditionalFormatting>
  <conditionalFormatting sqref="I6:AF8 AJ6:AM8">
    <cfRule type="expression" priority="60" dxfId="37">
      <formula>LEFT(I$7,1)="H"</formula>
    </cfRule>
    <cfRule type="expression" priority="61" dxfId="37">
      <formula>WEEKDAY(I$7,2)&gt;6</formula>
    </cfRule>
  </conditionalFormatting>
  <conditionalFormatting sqref="I8:AM8">
    <cfRule type="expression" priority="65" dxfId="157">
      <formula>(WEEKDAY($I1048525,5)&gt;1)</formula>
    </cfRule>
    <cfRule type="expression" priority="66" dxfId="37">
      <formula>LEFT(#REF!,1)="H"</formula>
    </cfRule>
    <cfRule type="expression" priority="67" dxfId="37">
      <formula>WEEKDAY(I$6,2)&gt;6</formula>
    </cfRule>
  </conditionalFormatting>
  <conditionalFormatting sqref="I9:AF10 AJ9:AM10">
    <cfRule type="cellIs" priority="312" operator="equal" dxfId="3">
      <formula>"SR"</formula>
    </cfRule>
    <cfRule type="cellIs" priority="313" operator="equal" dxfId="7">
      <formula>"SG"</formula>
    </cfRule>
    <cfRule type="containsText" priority="314" operator="containsText" dxfId="9" text="AL">
      <formula>NOT(ISERROR(SEARCH("AL",I9)))</formula>
    </cfRule>
    <cfRule type="containsText" priority="316" operator="containsText" dxfId="6" text="SL">
      <formula>NOT(ISERROR(SEARCH("SL",I9)))</formula>
    </cfRule>
    <cfRule type="containsText" priority="317" operator="containsText" dxfId="5" text="NP">
      <formula>NOT(ISERROR(SEARCH("NP",I9)))</formula>
    </cfRule>
    <cfRule type="containsText" priority="318" operator="containsText" dxfId="4" text="SH">
      <formula>NOT(ISERROR(SEARCH("SH",I9)))</formula>
    </cfRule>
    <cfRule type="containsText" priority="319" operator="containsText" dxfId="3" text="RD">
      <formula>NOT(ISERROR(SEARCH("RD",I9)))</formula>
    </cfRule>
  </conditionalFormatting>
  <conditionalFormatting sqref="I12:AF13 I19:AF19 AJ12:AM13 AJ19:AM19">
    <cfRule type="containsText" priority="459" operator="containsText" dxfId="6" text="SL">
      <formula>NOT(ISERROR(SEARCH("SL",I12)))</formula>
    </cfRule>
    <cfRule type="containsText" priority="460" operator="containsText" dxfId="5" text="NP">
      <formula>NOT(ISERROR(SEARCH("NP",I12)))</formula>
    </cfRule>
    <cfRule type="containsText" priority="461" operator="containsText" dxfId="4" text="SH">
      <formula>NOT(ISERROR(SEARCH("SH",I12)))</formula>
    </cfRule>
    <cfRule type="containsText" priority="462" operator="containsText" dxfId="3" text="RD">
      <formula>NOT(ISERROR(SEARCH("RD",I12)))</formula>
    </cfRule>
  </conditionalFormatting>
  <conditionalFormatting sqref="I12:AF19 AJ12:AM19">
    <cfRule type="cellIs" priority="408" operator="equal" dxfId="3">
      <formula>"SR"</formula>
    </cfRule>
    <cfRule type="cellIs" priority="426" operator="equal" dxfId="7">
      <formula>"SG"</formula>
    </cfRule>
    <cfRule type="containsText" priority="439" operator="containsText" dxfId="23" text="AL">
      <formula>NOT(ISERROR(SEARCH("AL",I12)))</formula>
    </cfRule>
  </conditionalFormatting>
  <conditionalFormatting sqref="I34:AF34 AJ34:AM34">
    <cfRule type="cellIs" priority="274" operator="greaterThan" dxfId="22">
      <formula>8</formula>
    </cfRule>
  </conditionalFormatting>
  <conditionalFormatting sqref="I34:AF39 AJ34:AM39">
    <cfRule type="cellIs" priority="275" operator="equal" dxfId="7">
      <formula>"GS"</formula>
    </cfRule>
    <cfRule type="cellIs" priority="276" operator="equal" dxfId="7">
      <formula>"SG"</formula>
    </cfRule>
  </conditionalFormatting>
  <conditionalFormatting sqref="I41:AF41 AJ41:AM41">
    <cfRule type="cellIs" priority="158" operator="equal" dxfId="7">
      <formula>"GS"</formula>
    </cfRule>
    <cfRule type="cellIs" priority="159" operator="equal" dxfId="7">
      <formula>"SG"</formula>
    </cfRule>
  </conditionalFormatting>
  <conditionalFormatting sqref="J21">
    <cfRule type="cellIs" priority="282" operator="equal" dxfId="3">
      <formula>"SR"</formula>
    </cfRule>
    <cfRule type="cellIs" priority="283" operator="equal" dxfId="7">
      <formula>"SG"</formula>
    </cfRule>
    <cfRule type="containsText" priority="284" operator="containsText" dxfId="9" text="AL">
      <formula>NOT(ISERROR(SEARCH("AL",J21)))</formula>
    </cfRule>
    <cfRule type="containsText" priority="286" operator="containsText" dxfId="6" text="SL">
      <formula>NOT(ISERROR(SEARCH("SL",J21)))</formula>
    </cfRule>
    <cfRule type="containsText" priority="287" operator="containsText" dxfId="5" text="NP">
      <formula>NOT(ISERROR(SEARCH("NP",J21)))</formula>
    </cfRule>
    <cfRule type="containsText" priority="288" operator="containsText" dxfId="4" text="SH">
      <formula>NOT(ISERROR(SEARCH("SH",J21)))</formula>
    </cfRule>
    <cfRule type="containsText" priority="289" operator="containsText" dxfId="3" text="RD">
      <formula>NOT(ISERROR(SEARCH("RD",J21)))</formula>
    </cfRule>
  </conditionalFormatting>
  <conditionalFormatting sqref="J11:K11 M11:S11">
    <cfRule type="containsText" priority="270" operator="containsText" dxfId="6" text="SL">
      <formula>NOT(ISERROR(SEARCH("SL",J11)))</formula>
    </cfRule>
    <cfRule type="containsText" priority="271" operator="containsText" dxfId="5" text="NP">
      <formula>NOT(ISERROR(SEARCH("NP",J11)))</formula>
    </cfRule>
    <cfRule type="containsText" priority="272" operator="containsText" dxfId="4" text="SH">
      <formula>NOT(ISERROR(SEARCH("SH",J11)))</formula>
    </cfRule>
    <cfRule type="containsText" priority="273" operator="containsText" dxfId="3" text="RD">
      <formula>NOT(ISERROR(SEARCH("RD",J11)))</formula>
    </cfRule>
  </conditionalFormatting>
  <conditionalFormatting sqref="J11:L11">
    <cfRule type="cellIs" priority="102" operator="equal" dxfId="3">
      <formula>"SR"</formula>
    </cfRule>
    <cfRule type="cellIs" priority="103" operator="equal" dxfId="7">
      <formula>"SG"</formula>
    </cfRule>
    <cfRule type="containsText" priority="104" operator="containsText" dxfId="9" text="AL">
      <formula>NOT(ISERROR(SEARCH("AL",J11)))</formula>
    </cfRule>
  </conditionalFormatting>
  <conditionalFormatting sqref="J6:AF7">
    <cfRule type="expression" priority="62" dxfId="157">
      <formula>(WEEKDAY($I1048524,5)&gt;1)</formula>
    </cfRule>
    <cfRule type="expression" priority="63" dxfId="37">
      <formula>LEFT(#REF!,1)="H"</formula>
    </cfRule>
    <cfRule type="expression" priority="64" dxfId="37">
      <formula>WEEKDAY(J$6,2)&gt;6</formula>
    </cfRule>
  </conditionalFormatting>
  <conditionalFormatting sqref="I21 I22:AF30 J20:AF20 K21:AF21 AJ20:AM30">
    <cfRule type="cellIs" priority="298" operator="equal" dxfId="8">
      <formula>"CL"</formula>
    </cfRule>
    <cfRule type="cellIs" priority="299" operator="equal" dxfId="7">
      <formula>"GS"</formula>
    </cfRule>
    <cfRule type="containsText" priority="300" operator="containsText" dxfId="6" text="SL">
      <formula>NOT(ISERROR(SEARCH("SL",I20)))</formula>
    </cfRule>
    <cfRule type="containsText" priority="301" operator="containsText" dxfId="5" text="NP">
      <formula>NOT(ISERROR(SEARCH("NP",I20)))</formula>
    </cfRule>
    <cfRule type="containsText" priority="302" operator="containsText" dxfId="4" text="SH">
      <formula>NOT(ISERROR(SEARCH("SH",I20)))</formula>
    </cfRule>
    <cfRule type="containsText" priority="303" operator="containsText" dxfId="3" text="RD">
      <formula>NOT(ISERROR(SEARCH("RD",I20)))</formula>
    </cfRule>
    <cfRule type="cellIs" priority="304" operator="equal" dxfId="3">
      <formula>"SR"</formula>
    </cfRule>
    <cfRule type="cellIs" priority="305" operator="equal" dxfId="7">
      <formula>"SG"</formula>
    </cfRule>
    <cfRule type="containsText" priority="306" operator="containsText" dxfId="9" text="AL">
      <formula>NOT(ISERROR(SEARCH("AL",I20)))</formula>
    </cfRule>
  </conditionalFormatting>
  <conditionalFormatting sqref="K11:V11">
    <cfRule type="cellIs" priority="82" operator="equal" dxfId="8">
      <formula>"CL"</formula>
    </cfRule>
    <cfRule type="cellIs" priority="83" operator="equal" dxfId="7">
      <formula>"GS"</formula>
    </cfRule>
  </conditionalFormatting>
  <conditionalFormatting sqref="L11">
    <cfRule type="containsText" priority="98" operator="containsText" dxfId="6" text="SL">
      <formula>NOT(ISERROR(SEARCH("SL",L11)))</formula>
    </cfRule>
    <cfRule type="containsText" priority="99" operator="containsText" dxfId="5" text="NP">
      <formula>NOT(ISERROR(SEARCH("NP",L11)))</formula>
    </cfRule>
    <cfRule type="containsText" priority="100" operator="containsText" dxfId="4" text="SH">
      <formula>NOT(ISERROR(SEARCH("SH",L11)))</formula>
    </cfRule>
    <cfRule type="containsText" priority="101" operator="containsText" dxfId="3" text="RD">
      <formula>NOT(ISERROR(SEARCH("RD",L11)))</formula>
    </cfRule>
    <cfRule type="containsText" priority="106" operator="containsText" dxfId="6" text="SL">
      <formula>NOT(ISERROR(SEARCH("SL",L11)))</formula>
    </cfRule>
    <cfRule type="containsText" priority="107" operator="containsText" dxfId="5" text="NP">
      <formula>NOT(ISERROR(SEARCH("NP",L11)))</formula>
    </cfRule>
    <cfRule type="containsText" priority="108" operator="containsText" dxfId="4" text="SH">
      <formula>NOT(ISERROR(SEARCH("SH",L11)))</formula>
    </cfRule>
    <cfRule type="containsText" priority="109" operator="containsText" dxfId="3" text="RD">
      <formula>NOT(ISERROR(SEARCH("RD",L11)))</formula>
    </cfRule>
  </conditionalFormatting>
  <conditionalFormatting sqref="M11:S11">
    <cfRule type="cellIs" priority="266" operator="equal" dxfId="3">
      <formula>"SR"</formula>
    </cfRule>
    <cfRule type="cellIs" priority="267" operator="equal" dxfId="7">
      <formula>"SG"</formula>
    </cfRule>
    <cfRule type="containsText" priority="268" operator="containsText" dxfId="9" text="AL">
      <formula>NOT(ISERROR(SEARCH("AL",M11)))</formula>
    </cfRule>
  </conditionalFormatting>
  <conditionalFormatting sqref="Q11">
    <cfRule type="containsText" priority="246" operator="containsText" dxfId="6" text="SL">
      <formula>NOT(ISERROR(SEARCH("SL",Q11)))</formula>
    </cfRule>
    <cfRule type="containsText" priority="247" operator="containsText" dxfId="5" text="NP">
      <formula>NOT(ISERROR(SEARCH("NP",Q11)))</formula>
    </cfRule>
    <cfRule type="containsText" priority="248" operator="containsText" dxfId="4" text="SH">
      <formula>NOT(ISERROR(SEARCH("SH",Q11)))</formula>
    </cfRule>
    <cfRule type="containsText" priority="249" operator="containsText" dxfId="3" text="RD">
      <formula>NOT(ISERROR(SEARCH("RD",Q11)))</formula>
    </cfRule>
    <cfRule type="cellIs" priority="250" operator="equal" dxfId="3">
      <formula>"SR"</formula>
    </cfRule>
    <cfRule type="cellIs" priority="251" operator="equal" dxfId="7">
      <formula>"SG"</formula>
    </cfRule>
    <cfRule type="containsText" priority="252" operator="containsText" dxfId="9" text="AL">
      <formula>NOT(ISERROR(SEARCH("AL",Q11)))</formula>
    </cfRule>
  </conditionalFormatting>
  <conditionalFormatting sqref="Q11:T11">
    <cfRule type="containsText" priority="254" operator="containsText" dxfId="6" text="SL">
      <formula>NOT(ISERROR(SEARCH("SL",Q11)))</formula>
    </cfRule>
    <cfRule type="containsText" priority="255" operator="containsText" dxfId="5" text="NP">
      <formula>NOT(ISERROR(SEARCH("NP",Q11)))</formula>
    </cfRule>
    <cfRule type="containsText" priority="256" operator="containsText" dxfId="4" text="SH">
      <formula>NOT(ISERROR(SEARCH("SH",Q11)))</formula>
    </cfRule>
    <cfRule type="containsText" priority="257" operator="containsText" dxfId="3" text="RD">
      <formula>NOT(ISERROR(SEARCH("RD",Q11)))</formula>
    </cfRule>
  </conditionalFormatting>
  <conditionalFormatting sqref="U11">
    <cfRule type="containsText" priority="84" operator="containsText" dxfId="6" text="SL">
      <formula>NOT(ISERROR(SEARCH("SL",U11)))</formula>
    </cfRule>
    <cfRule type="containsText" priority="85" operator="containsText" dxfId="5" text="NP">
      <formula>NOT(ISERROR(SEARCH("NP",U11)))</formula>
    </cfRule>
    <cfRule type="containsText" priority="86" operator="containsText" dxfId="4" text="SH">
      <formula>NOT(ISERROR(SEARCH("SH",U11)))</formula>
    </cfRule>
    <cfRule type="containsText" priority="87" operator="containsText" dxfId="3" text="RD">
      <formula>NOT(ISERROR(SEARCH("RD",U11)))</formula>
    </cfRule>
    <cfRule type="cellIs" priority="88" operator="equal" dxfId="3">
      <formula>"SR"</formula>
    </cfRule>
    <cfRule type="cellIs" priority="89" operator="equal" dxfId="7">
      <formula>"SG"</formula>
    </cfRule>
    <cfRule type="containsText" priority="90" operator="containsText" dxfId="9" text="AL">
      <formula>NOT(ISERROR(SEARCH("AL",U11)))</formula>
    </cfRule>
    <cfRule type="containsText" priority="92" operator="containsText" dxfId="6" text="SL">
      <formula>NOT(ISERROR(SEARCH("SL",U11)))</formula>
    </cfRule>
    <cfRule type="containsText" priority="93" operator="containsText" dxfId="5" text="NP">
      <formula>NOT(ISERROR(SEARCH("NP",U11)))</formula>
    </cfRule>
    <cfRule type="containsText" priority="94" operator="containsText" dxfId="4" text="SH">
      <formula>NOT(ISERROR(SEARCH("SH",U11)))</formula>
    </cfRule>
    <cfRule type="containsText" priority="95" operator="containsText" dxfId="3" text="RD">
      <formula>NOT(ISERROR(SEARCH("RD",U11)))</formula>
    </cfRule>
  </conditionalFormatting>
  <conditionalFormatting sqref="V11:Z11">
    <cfRule type="containsText" priority="122" operator="containsText" dxfId="6" text="SL">
      <formula>NOT(ISERROR(SEARCH("SL",V11)))</formula>
    </cfRule>
    <cfRule type="containsText" priority="123" operator="containsText" dxfId="5" text="NP">
      <formula>NOT(ISERROR(SEARCH("NP",V11)))</formula>
    </cfRule>
    <cfRule type="containsText" priority="124" operator="containsText" dxfId="4" text="SH">
      <formula>NOT(ISERROR(SEARCH("SH",V11)))</formula>
    </cfRule>
    <cfRule type="containsText" priority="125" operator="containsText" dxfId="3" text="RD">
      <formula>NOT(ISERROR(SEARCH("RD",V11)))</formula>
    </cfRule>
  </conditionalFormatting>
  <conditionalFormatting sqref="W11:Z11">
    <cfRule type="cellIs" priority="118" operator="equal" dxfId="3">
      <formula>"SR"</formula>
    </cfRule>
    <cfRule type="cellIs" priority="119" operator="equal" dxfId="7">
      <formula>"SG"</formula>
    </cfRule>
    <cfRule type="containsText" priority="120" operator="containsText" dxfId="9" text="AL">
      <formula>NOT(ISERROR(SEARCH("AL",W11)))</formula>
    </cfRule>
  </conditionalFormatting>
  <conditionalFormatting sqref="AA11:AB11 AJ11:AM11">
    <cfRule type="cellIs" priority="202" operator="equal" dxfId="8">
      <formula>"CL"</formula>
    </cfRule>
    <cfRule type="cellIs" priority="203" operator="equal" dxfId="7">
      <formula>"GS"</formula>
    </cfRule>
  </conditionalFormatting>
  <conditionalFormatting sqref="AA11:AB11">
    <cfRule type="containsText" priority="240" operator="containsText" dxfId="6" text="SL">
      <formula>NOT(ISERROR(SEARCH("SL",AA11)))</formula>
    </cfRule>
    <cfRule type="containsText" priority="241" operator="containsText" dxfId="5" text="NP">
      <formula>NOT(ISERROR(SEARCH("NP",AA11)))</formula>
    </cfRule>
    <cfRule type="containsText" priority="242" operator="containsText" dxfId="4" text="SH">
      <formula>NOT(ISERROR(SEARCH("SH",AA11)))</formula>
    </cfRule>
    <cfRule type="containsText" priority="243" operator="containsText" dxfId="3" text="RD">
      <formula>NOT(ISERROR(SEARCH("RD",AA11)))</formula>
    </cfRule>
  </conditionalFormatting>
  <conditionalFormatting sqref="AC11 AE11:AF11">
    <cfRule type="containsText" priority="114" operator="containsText" dxfId="6" text="SL">
      <formula>NOT(ISERROR(SEARCH("SL",AC11)))</formula>
    </cfRule>
    <cfRule type="containsText" priority="115" operator="containsText" dxfId="5" text="NP">
      <formula>NOT(ISERROR(SEARCH("NP",AC11)))</formula>
    </cfRule>
    <cfRule type="containsText" priority="116" operator="containsText" dxfId="4" text="SH">
      <formula>NOT(ISERROR(SEARCH("SH",AC11)))</formula>
    </cfRule>
    <cfRule type="containsText" priority="117" operator="containsText" dxfId="3" text="RD">
      <formula>NOT(ISERROR(SEARCH("RD",AC11)))</formula>
    </cfRule>
  </conditionalFormatting>
  <conditionalFormatting sqref="AC11:AF11">
    <cfRule type="cellIs" priority="74" operator="equal" dxfId="3">
      <formula>"SR"</formula>
    </cfRule>
    <cfRule type="cellIs" priority="75" operator="equal" dxfId="7">
      <formula>"SG"</formula>
    </cfRule>
    <cfRule type="containsText" priority="76" operator="containsText" dxfId="9" text="AL">
      <formula>NOT(ISERROR(SEARCH("AL",AC11)))</formula>
    </cfRule>
  </conditionalFormatting>
  <conditionalFormatting sqref="AD11">
    <cfRule type="cellIs" priority="68" operator="equal" dxfId="8">
      <formula>"CL"</formula>
    </cfRule>
    <cfRule type="cellIs" priority="69" operator="equal" dxfId="7">
      <formula>"GS"</formula>
    </cfRule>
    <cfRule type="containsText" priority="70" operator="containsText" dxfId="6" text="SL">
      <formula>NOT(ISERROR(SEARCH("SL",AD11)))</formula>
    </cfRule>
    <cfRule type="containsText" priority="71" operator="containsText" dxfId="5" text="NP">
      <formula>NOT(ISERROR(SEARCH("NP",AD11)))</formula>
    </cfRule>
    <cfRule type="containsText" priority="72" operator="containsText" dxfId="4" text="SH">
      <formula>NOT(ISERROR(SEARCH("SH",AD11)))</formula>
    </cfRule>
    <cfRule type="containsText" priority="73" operator="containsText" dxfId="3" text="RD">
      <formula>NOT(ISERROR(SEARCH("RD",AD11)))</formula>
    </cfRule>
    <cfRule type="containsText" priority="78" operator="containsText" dxfId="6" text="SL">
      <formula>NOT(ISERROR(SEARCH("SL",AD11)))</formula>
    </cfRule>
    <cfRule type="containsText" priority="79" operator="containsText" dxfId="5" text="NP">
      <formula>NOT(ISERROR(SEARCH("NP",AD11)))</formula>
    </cfRule>
    <cfRule type="containsText" priority="80" operator="containsText" dxfId="4" text="SH">
      <formula>NOT(ISERROR(SEARCH("SH",AD11)))</formula>
    </cfRule>
    <cfRule type="containsText" priority="81" operator="containsText" dxfId="3" text="RD">
      <formula>NOT(ISERROR(SEARCH("RD",AD11)))</formula>
    </cfRule>
  </conditionalFormatting>
  <conditionalFormatting sqref="AG44">
    <cfRule type="cellIs" priority="143" operator="equal" dxfId="8">
      <formula>"CL"</formula>
    </cfRule>
    <cfRule type="cellIs" priority="144" operator="equal" dxfId="7">
      <formula>"GS"</formula>
    </cfRule>
    <cfRule type="containsText" priority="145" operator="containsText" dxfId="6" text="SL">
      <formula>NOT(ISERROR(SEARCH("SL",AG44)))</formula>
    </cfRule>
    <cfRule type="containsText" priority="146" operator="containsText" dxfId="5" text="NP">
      <formula>NOT(ISERROR(SEARCH("NP",AG44)))</formula>
    </cfRule>
    <cfRule type="containsText" priority="147" operator="containsText" dxfId="4" text="SH">
      <formula>NOT(ISERROR(SEARCH("SH",AG44)))</formula>
    </cfRule>
    <cfRule type="containsText" priority="148" operator="containsText" dxfId="3" text="RD">
      <formula>NOT(ISERROR(SEARCH("RD",AG44)))</formula>
    </cfRule>
    <cfRule type="cellIs" priority="149" operator="equal" dxfId="74">
      <formula>"OTN"</formula>
    </cfRule>
    <cfRule type="cellIs" priority="150" operator="equal" dxfId="3">
      <formula>"SR"</formula>
    </cfRule>
    <cfRule type="cellIs" priority="151" operator="equal" dxfId="7">
      <formula>"SG"</formula>
    </cfRule>
    <cfRule type="containsText" priority="152" operator="containsText" dxfId="9" text="AL">
      <formula>NOT(ISERROR(SEARCH("AL",AG44)))</formula>
    </cfRule>
    <cfRule type="containsText" priority="154" operator="containsText" dxfId="6" text="SL">
      <formula>NOT(ISERROR(SEARCH("SL",AG44)))</formula>
    </cfRule>
    <cfRule type="containsText" priority="155" operator="containsText" dxfId="5" text="NP">
      <formula>NOT(ISERROR(SEARCH("NP",AG44)))</formula>
    </cfRule>
    <cfRule type="containsText" priority="156" operator="containsText" dxfId="4" text="SH">
      <formula>NOT(ISERROR(SEARCH("SH",AG44)))</formula>
    </cfRule>
    <cfRule type="containsText" priority="157" operator="containsText" dxfId="3" text="RD">
      <formula>NOT(ISERROR(SEARCH("RD",AG44)))</formula>
    </cfRule>
  </conditionalFormatting>
  <conditionalFormatting sqref="AJ11:AM11">
    <cfRule type="containsText" priority="226" operator="containsText" dxfId="6" text="SL">
      <formula>NOT(ISERROR(SEARCH("SL",AJ11)))</formula>
    </cfRule>
    <cfRule type="containsText" priority="227" operator="containsText" dxfId="5" text="NP">
      <formula>NOT(ISERROR(SEARCH("NP",AJ11)))</formula>
    </cfRule>
    <cfRule type="containsText" priority="228" operator="containsText" dxfId="4" text="SH">
      <formula>NOT(ISERROR(SEARCH("SH",AJ11)))</formula>
    </cfRule>
    <cfRule type="containsText" priority="229" operator="containsText" dxfId="3" text="RD">
      <formula>NOT(ISERROR(SEARCH("RD",AJ11)))</formula>
    </cfRule>
  </conditionalFormatting>
  <conditionalFormatting sqref="AV9:BB11">
    <cfRule type="cellIs" priority="54" operator="equal" dxfId="59">
      <formula>0</formula>
    </cfRule>
  </conditionalFormatting>
  <conditionalFormatting sqref="AV20:BB30">
    <cfRule type="cellIs" priority="53" operator="equal" dxfId="59">
      <formula>0</formula>
    </cfRule>
  </conditionalFormatting>
  <conditionalFormatting sqref="AV6:BC8">
    <cfRule type="cellIs" priority="55" operator="equal" dxfId="59">
      <formula>0</formula>
    </cfRule>
  </conditionalFormatting>
  <conditionalFormatting sqref="AY8">
    <cfRule type="cellIs" priority="56" operator="equal" dxfId="59">
      <formula>0</formula>
    </cfRule>
  </conditionalFormatting>
  <conditionalFormatting sqref="AG11:AI11">
    <cfRule type="containsText" priority="44" operator="containsText" dxfId="9" text="AL">
      <formula>NOT(ISERROR(SEARCH("AL",AG11)))</formula>
    </cfRule>
    <cfRule type="cellIs" priority="42" operator="equal" dxfId="3">
      <formula>"SR"</formula>
    </cfRule>
    <cfRule type="cellIs" priority="43" operator="equal" dxfId="7">
      <formula>"SG"</formula>
    </cfRule>
    <cfRule type="cellIs" priority="11" operator="equal" dxfId="8">
      <formula>"CL"</formula>
    </cfRule>
    <cfRule type="cellIs" priority="12" operator="equal" dxfId="7">
      <formula>"GS"</formula>
    </cfRule>
    <cfRule type="containsText" priority="13" operator="containsText" dxfId="6" text="SL">
      <formula>NOT(ISERROR(SEARCH("SL",AG11)))</formula>
    </cfRule>
    <cfRule type="containsText" priority="14" operator="containsText" dxfId="5" text="NP">
      <formula>NOT(ISERROR(SEARCH("NP",AG11)))</formula>
    </cfRule>
    <cfRule type="containsText" priority="15" operator="containsText" dxfId="4" text="SH">
      <formula>NOT(ISERROR(SEARCH("SH",AG11)))</formula>
    </cfRule>
    <cfRule type="containsText" priority="16" operator="containsText" dxfId="3" text="RD">
      <formula>NOT(ISERROR(SEARCH("RD",AG11)))</formula>
    </cfRule>
  </conditionalFormatting>
  <conditionalFormatting sqref="AG21:AI30">
    <cfRule type="containsText" priority="30" operator="containsText" dxfId="6" text="SL">
      <formula>NOT(ISERROR(SEARCH("SL",AG21)))</formula>
    </cfRule>
    <cfRule type="containsText" priority="31" operator="containsText" dxfId="5" text="NP">
      <formula>NOT(ISERROR(SEARCH("NP",AG21)))</formula>
    </cfRule>
    <cfRule type="containsText" priority="32" operator="containsText" dxfId="4" text="SH">
      <formula>NOT(ISERROR(SEARCH("SH",AG21)))</formula>
    </cfRule>
    <cfRule type="containsText" priority="33" operator="containsText" dxfId="3" text="RD">
      <formula>NOT(ISERROR(SEARCH("RD",AG21)))</formula>
    </cfRule>
  </conditionalFormatting>
  <conditionalFormatting sqref="AG6:AI8">
    <cfRule type="expression" priority="1" dxfId="37">
      <formula>LEFT(AG$7,1)="H"</formula>
    </cfRule>
    <cfRule type="expression" priority="2" dxfId="37">
      <formula>WEEKDAY(AG$7,2)&gt;6</formula>
    </cfRule>
  </conditionalFormatting>
  <conditionalFormatting sqref="AG9:AI10">
    <cfRule type="cellIs" priority="34" operator="equal" dxfId="3">
      <formula>"SR"</formula>
    </cfRule>
    <cfRule type="cellIs" priority="35" operator="equal" dxfId="7">
      <formula>"SG"</formula>
    </cfRule>
    <cfRule type="containsText" priority="36" operator="containsText" dxfId="9" text="AL">
      <formula>NOT(ISERROR(SEARCH("AL",AG9)))</formula>
    </cfRule>
    <cfRule type="containsText" priority="38" operator="containsText" dxfId="6" text="SL">
      <formula>NOT(ISERROR(SEARCH("SL",AG9)))</formula>
    </cfRule>
    <cfRule type="containsText" priority="39" operator="containsText" dxfId="5" text="NP">
      <formula>NOT(ISERROR(SEARCH("NP",AG9)))</formula>
    </cfRule>
    <cfRule type="containsText" priority="40" operator="containsText" dxfId="4" text="SH">
      <formula>NOT(ISERROR(SEARCH("SH",AG9)))</formula>
    </cfRule>
    <cfRule type="containsText" priority="41" operator="containsText" dxfId="3" text="RD">
      <formula>NOT(ISERROR(SEARCH("RD",AG9)))</formula>
    </cfRule>
  </conditionalFormatting>
  <conditionalFormatting sqref="AG12:AI13 AG19:AI19">
    <cfRule type="containsText" priority="49" operator="containsText" dxfId="6" text="SL">
      <formula>NOT(ISERROR(SEARCH("SL",AG12)))</formula>
    </cfRule>
    <cfRule type="containsText" priority="50" operator="containsText" dxfId="5" text="NP">
      <formula>NOT(ISERROR(SEARCH("NP",AG12)))</formula>
    </cfRule>
    <cfRule type="containsText" priority="51" operator="containsText" dxfId="4" text="SH">
      <formula>NOT(ISERROR(SEARCH("SH",AG12)))</formula>
    </cfRule>
    <cfRule type="containsText" priority="52" operator="containsText" dxfId="3" text="RD">
      <formula>NOT(ISERROR(SEARCH("RD",AG12)))</formula>
    </cfRule>
  </conditionalFormatting>
  <conditionalFormatting sqref="AG12:AI19">
    <cfRule type="cellIs" priority="45" operator="equal" dxfId="3">
      <formula>"SR"</formula>
    </cfRule>
    <cfRule type="cellIs" priority="46" operator="equal" dxfId="7">
      <formula>"SG"</formula>
    </cfRule>
    <cfRule type="containsText" priority="47" operator="containsText" dxfId="23" text="AL">
      <formula>NOT(ISERROR(SEARCH("AL",AG12)))</formula>
    </cfRule>
  </conditionalFormatting>
  <conditionalFormatting sqref="AG34:AI34">
    <cfRule type="cellIs" priority="17" operator="greaterThan" dxfId="22">
      <formula>8</formula>
    </cfRule>
  </conditionalFormatting>
  <conditionalFormatting sqref="AG34:AI39">
    <cfRule type="cellIs" priority="18" operator="equal" dxfId="7">
      <formula>"GS"</formula>
    </cfRule>
    <cfRule type="cellIs" priority="19" operator="equal" dxfId="7">
      <formula>"SG"</formula>
    </cfRule>
  </conditionalFormatting>
  <conditionalFormatting sqref="AG41:AI41">
    <cfRule type="cellIs" priority="9" operator="equal" dxfId="7">
      <formula>"GS"</formula>
    </cfRule>
    <cfRule type="cellIs" priority="10" operator="equal" dxfId="7">
      <formula>"SG"</formula>
    </cfRule>
  </conditionalFormatting>
  <conditionalFormatting sqref="AG20:AI30">
    <cfRule type="cellIs" priority="20" operator="equal" dxfId="8">
      <formula>"CL"</formula>
    </cfRule>
    <cfRule type="cellIs" priority="21" operator="equal" dxfId="7">
      <formula>"GS"</formula>
    </cfRule>
    <cfRule type="containsText" priority="22" operator="containsText" dxfId="6" text="SL">
      <formula>NOT(ISERROR(SEARCH("SL",AG20)))</formula>
    </cfRule>
    <cfRule type="containsText" priority="23" operator="containsText" dxfId="5" text="NP">
      <formula>NOT(ISERROR(SEARCH("NP",AG20)))</formula>
    </cfRule>
    <cfRule type="containsText" priority="24" operator="containsText" dxfId="4" text="SH">
      <formula>NOT(ISERROR(SEARCH("SH",AG20)))</formula>
    </cfRule>
    <cfRule type="containsText" priority="25" operator="containsText" dxfId="3" text="RD">
      <formula>NOT(ISERROR(SEARCH("RD",AG20)))</formula>
    </cfRule>
    <cfRule type="cellIs" priority="26" operator="equal" dxfId="3">
      <formula>"SR"</formula>
    </cfRule>
    <cfRule type="cellIs" priority="27" operator="equal" dxfId="7">
      <formula>"SG"</formula>
    </cfRule>
    <cfRule type="containsText" priority="28" operator="containsText" dxfId="9" text="AL">
      <formula>NOT(ISERROR(SEARCH("AL",AG20)))</formula>
    </cfRule>
  </conditionalFormatting>
  <printOptions horizontalCentered="1"/>
  <pageMargins left="0.2362204724409449" right="0.2362204724409449" top="0.7480314960629921" bottom="0.5511811023622047" header="0.3149606299212598" footer="0.3149606299212598"/>
  <pageSetup orientation="landscape" paperSize="9" scale="4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Olivia Hui Ying</dc:creator>
  <dcterms:created xmlns:dcterms="http://purl.org/dc/terms/" xmlns:xsi="http://www.w3.org/2001/XMLSchema-instance" xsi:type="dcterms:W3CDTF">2024-11-15T04:23:11Z</dcterms:created>
  <dcterms:modified xmlns:dcterms="http://purl.org/dc/terms/" xmlns:xsi="http://www.w3.org/2001/XMLSchema-instance" xsi:type="dcterms:W3CDTF">2026-06-05T10:54:57Z</dcterms:modified>
  <cp:lastModifiedBy>Qing</cp:lastModifiedBy>
  <cp:lastPrinted>2026-05-15T08:41:14Z</cp:lastPrinted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0x0101007D90BA5729C5A34EA4FE80FBA33162CB</vt:lpwstr>
  </property>
  <property name="_ExtendedDescription" fmtid="{D5CDD505-2E9C-101B-9397-08002B2CF9AE}" pid="4">
    <vt:lpwstr xmlns:vt="http://schemas.openxmlformats.org/officeDocument/2006/docPropsVTypes"/>
  </property>
</Properties>
</file>