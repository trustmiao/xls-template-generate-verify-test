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xmlns:r="http://schemas.openxmlformats.org/officeDocument/2006/relationships" name="早" sheetId="1" state="visible" r:id="rId1"/>
    <sheet xmlns:r="http://schemas.openxmlformats.org/officeDocument/2006/relationships" name="中" sheetId="2" state="visible" r:id="rId2"/>
    <sheet xmlns:r="http://schemas.openxmlformats.org/officeDocument/2006/relationships" name="夜" sheetId="3" state="visible" r:id="rId3"/>
  </sheets>
  <definedNames>
    <definedName name="_xlnm.Print_Titles" localSheetId="0">'早'!$1:$7</definedName>
    <definedName name="_xlnm.Print_Area" localSheetId="0">'早'!$A$1:$AL$73</definedName>
    <definedName name="_xlnm.Print_Titles" localSheetId="1">'中'!$1:$7</definedName>
    <definedName name="_xlnm.Print_Area" localSheetId="1">'中'!$B$1:$AN$74</definedName>
    <definedName name="_xlnm.Print_Titles" localSheetId="2">'夜'!$1:$7</definedName>
    <definedName name="_xlnm.Print_Area" localSheetId="2">'夜'!$B$1:$AO$63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_ ;[Red]\-0\ "/>
    <numFmt numFmtId="165" formatCode="0_);[Red]\(0\)"/>
    <numFmt numFmtId="166" formatCode="d"/>
    <numFmt numFmtId="167" formatCode="yyyy-mm-dd"/>
  </numFmts>
  <fonts count="32">
    <font>
      <name val="新細明體"/>
      <charset val="136"/>
      <color indexed="8"/>
      <sz val="12"/>
    </font>
    <font>
      <name val="Microsoft JhengHei UI"/>
      <charset val="136"/>
      <family val="2"/>
      <color indexed="8"/>
      <sz val="11"/>
    </font>
    <font>
      <name val="Microsoft JhengHei UI"/>
      <charset val="136"/>
      <family val="2"/>
      <sz val="11"/>
    </font>
    <font>
      <name val="Microsoft JhengHei UI"/>
      <charset val="136"/>
      <family val="2"/>
      <b val="1"/>
      <sz val="11"/>
    </font>
    <font>
      <name val="Microsoft JhengHei UI"/>
      <charset val="136"/>
      <family val="2"/>
      <color indexed="8"/>
      <sz val="12"/>
    </font>
    <font>
      <name val="Microsoft JhengHei UI"/>
      <charset val="136"/>
      <family val="2"/>
      <sz val="10"/>
    </font>
    <font>
      <name val="Microsoft JhengHei UI"/>
      <charset val="136"/>
      <family val="2"/>
      <color indexed="10"/>
      <sz val="11"/>
    </font>
    <font>
      <name val="Microsoft JhengHei UI"/>
      <charset val="136"/>
      <family val="2"/>
      <b val="1"/>
      <sz val="18"/>
    </font>
    <font>
      <name val="Microsoft JhengHei UI"/>
      <charset val="136"/>
      <family val="2"/>
      <b val="1"/>
      <color indexed="8"/>
      <sz val="18"/>
    </font>
    <font>
      <name val="Microsoft JhengHei UI"/>
      <charset val="136"/>
      <family val="2"/>
      <color indexed="8"/>
      <sz val="16"/>
    </font>
    <font>
      <name val="Microsoft YaHei"/>
      <family val="2"/>
      <sz val="11"/>
    </font>
    <font>
      <name val="Microsoft JhengHei UI"/>
      <charset val="136"/>
      <family val="2"/>
      <sz val="12"/>
    </font>
    <font>
      <name val="Microsoft YaHei"/>
      <family val="2"/>
      <color indexed="10"/>
      <sz val="11"/>
    </font>
    <font>
      <name val="Microsoft JhengHei UI"/>
      <charset val="136"/>
      <family val="2"/>
      <color indexed="8"/>
      <sz val="10"/>
    </font>
    <font>
      <name val="微軟正黑體"/>
      <charset val="136"/>
      <family val="2"/>
      <color indexed="10"/>
      <sz val="11"/>
    </font>
    <font>
      <name val="Microsoft JhengHei UI"/>
      <charset val="136"/>
      <family val="2"/>
      <color indexed="10"/>
      <sz val="12"/>
    </font>
    <font>
      <name val="Microsoft JhengHei UI"/>
      <charset val="136"/>
      <family val="2"/>
      <sz val="16"/>
    </font>
    <font>
      <name val="Calibri"/>
      <family val="2"/>
      <sz val="12"/>
    </font>
    <font>
      <name val="Calibri"/>
      <family val="2"/>
      <sz val="11"/>
    </font>
    <font>
      <name val="新細明體"/>
      <charset val="136"/>
      <family val="1"/>
      <sz val="12"/>
    </font>
    <font>
      <name val="新細明體"/>
      <charset val="136"/>
      <family val="1"/>
      <color indexed="8"/>
      <sz val="11"/>
    </font>
    <font>
      <name val="新細明體"/>
      <charset val="136"/>
      <family val="1"/>
      <i val="1"/>
      <color indexed="23"/>
      <sz val="12"/>
    </font>
    <font>
      <name val="新細明體"/>
      <charset val="136"/>
      <family val="1"/>
      <sz val="9"/>
    </font>
    <font>
      <name val="Microsoft JhengHei UI"/>
      <charset val="136"/>
      <family val="2"/>
      <color theme="1"/>
      <sz val="11"/>
    </font>
    <font>
      <name val="Microsoft JhengHei UI"/>
      <charset val="136"/>
      <family val="2"/>
      <b val="1"/>
      <sz val="11"/>
    </font>
    <font>
      <name val="Microsoft JhengHei UI"/>
      <charset val="136"/>
      <family val="2"/>
      <b val="1"/>
      <color indexed="8"/>
      <sz val="12"/>
    </font>
    <font>
      <name val="Microsoft JhengHei UI"/>
      <charset val="136"/>
      <family val="2"/>
      <b val="1"/>
      <sz val="12"/>
    </font>
    <font>
      <name val="Microsoft JhengHei UI"/>
      <charset val="136"/>
      <family val="2"/>
      <b val="1"/>
      <color theme="1"/>
      <sz val="12"/>
    </font>
    <font>
      <name val="Microsoft YaHei"/>
      <family val="2"/>
      <sz val="12"/>
    </font>
    <font>
      <name val="Microsoft JhengHei UI"/>
      <family val="2"/>
      <color indexed="8"/>
      <sz val="12"/>
    </font>
    <font>
      <name val="Microsoft JhengHei UI"/>
      <charset val="136"/>
      <family val="2"/>
      <color rgb="FFFF0000"/>
      <sz val="12"/>
    </font>
    <font>
      <name val="Microsoft YaHei"/>
      <family val="2"/>
      <color indexed="8"/>
      <sz val="12"/>
    </font>
  </fonts>
  <fills count="20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0.5999938962981048"/>
        <bgColor indexed="64"/>
      </patternFill>
    </fill>
  </fills>
  <borders count="10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8"/>
      </bottom>
      <diagonal/>
    </border>
    <border>
      <left/>
      <right/>
      <top style="thin">
        <color indexed="64"/>
      </top>
      <bottom style="medium">
        <color indexed="8"/>
      </bottom>
      <diagonal/>
    </border>
    <border>
      <left/>
      <right style="medium">
        <color indexed="64"/>
      </right>
      <top style="thin">
        <color indexed="64"/>
      </top>
      <bottom style="medium">
        <color indexed="8"/>
      </bottom>
      <diagonal/>
    </border>
    <border>
      <left style="medium">
        <color indexed="64"/>
      </left>
      <right/>
      <top style="medium">
        <color indexed="8"/>
      </top>
      <bottom style="thin">
        <color indexed="64"/>
      </bottom>
      <diagonal/>
    </border>
    <border>
      <left/>
      <right/>
      <top style="medium">
        <color indexed="8"/>
      </top>
      <bottom style="thin">
        <color indexed="64"/>
      </bottom>
      <diagonal/>
    </border>
    <border>
      <left/>
      <right style="medium">
        <color indexed="64"/>
      </right>
      <top style="medium">
        <color indexed="8"/>
      </top>
      <bottom style="thin">
        <color indexed="64"/>
      </bottom>
      <diagonal/>
    </border>
    <border>
      <left/>
      <right style="thin">
        <color indexed="64"/>
      </right>
      <top style="medium">
        <color indexed="8"/>
      </top>
      <bottom style="thin">
        <color indexed="64"/>
      </bottom>
      <diagonal/>
    </border>
    <border>
      <left style="thin">
        <color indexed="64"/>
      </left>
      <right/>
      <top style="medium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 style="medium">
        <color indexed="8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 style="thin">
        <color indexed="64"/>
      </bottom>
      <diagonal/>
    </border>
    <border>
      <left/>
      <right/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 applyAlignment="1">
      <alignment vertical="center"/>
    </xf>
    <xf numFmtId="0" fontId="20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21" fillId="0" borderId="0" applyAlignment="1">
      <alignment vertical="center"/>
    </xf>
  </cellStyleXfs>
  <cellXfs count="583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0" fontId="2" fillId="2" borderId="18" applyAlignment="1" pivotButton="0" quotePrefix="0" xfId="0">
      <alignment vertical="center"/>
    </xf>
    <xf numFmtId="0" fontId="2" fillId="2" borderId="32" applyAlignment="1" pivotButton="0" quotePrefix="0" xfId="0">
      <alignment vertical="center"/>
    </xf>
    <xf numFmtId="0" fontId="2" fillId="2" borderId="20" applyAlignment="1" pivotButton="0" quotePrefix="0" xfId="0">
      <alignment vertical="center"/>
    </xf>
    <xf numFmtId="0" fontId="2" fillId="2" borderId="9" applyAlignment="1" pivotButton="0" quotePrefix="0" xfId="0">
      <alignment horizontal="center" vertical="center"/>
    </xf>
    <xf numFmtId="0" fontId="2" fillId="4" borderId="29" applyAlignment="1" pivotButton="0" quotePrefix="0" xfId="0">
      <alignment vertical="center"/>
    </xf>
    <xf numFmtId="0" fontId="2" fillId="4" borderId="33" applyAlignment="1" pivotButton="0" quotePrefix="0" xfId="0">
      <alignment vertical="center"/>
    </xf>
    <xf numFmtId="0" fontId="2" fillId="4" borderId="31" applyAlignment="1" pivotButton="0" quotePrefix="0" xfId="0">
      <alignment vertical="center"/>
    </xf>
    <xf numFmtId="0" fontId="2" fillId="4" borderId="11" applyAlignment="1" pivotButton="0" quotePrefix="0" xfId="0">
      <alignment horizontal="center" vertical="center"/>
    </xf>
    <xf numFmtId="0" fontId="3" fillId="2" borderId="2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3" fillId="2" borderId="23" applyAlignment="1" pivotButton="0" quotePrefix="0" xfId="0">
      <alignment vertical="center"/>
    </xf>
    <xf numFmtId="0" fontId="3" fillId="2" borderId="16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37" applyAlignment="1" pivotButton="0" quotePrefix="0" xfId="0">
      <alignment horizontal="center" vertical="center"/>
    </xf>
    <xf numFmtId="0" fontId="3" fillId="2" borderId="44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3" fillId="2" borderId="26" applyAlignment="1" pivotButton="0" quotePrefix="0" xfId="0">
      <alignment vertical="center"/>
    </xf>
    <xf numFmtId="0" fontId="3" fillId="2" borderId="28" applyAlignment="1" pivotButton="0" quotePrefix="0" xfId="0">
      <alignment horizontal="center" vertical="center"/>
    </xf>
    <xf numFmtId="0" fontId="2" fillId="2" borderId="47" applyAlignment="1" pivotButton="0" quotePrefix="0" xfId="0">
      <alignment vertical="center"/>
    </xf>
    <xf numFmtId="0" fontId="2" fillId="2" borderId="49" applyAlignment="1" pivotButton="0" quotePrefix="0" xfId="0">
      <alignment vertical="center"/>
    </xf>
    <xf numFmtId="0" fontId="2" fillId="2" borderId="50" applyAlignment="1" pivotButton="0" quotePrefix="0" xfId="0">
      <alignment horizontal="center" vertical="center"/>
    </xf>
    <xf numFmtId="0" fontId="3" fillId="2" borderId="51" applyAlignment="1" pivotButton="0" quotePrefix="0" xfId="0">
      <alignment vertical="center"/>
    </xf>
    <xf numFmtId="0" fontId="3" fillId="2" borderId="52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 wrapText="1"/>
    </xf>
    <xf numFmtId="0" fontId="2" fillId="0" borderId="0" applyAlignment="1" pivotButton="0" quotePrefix="0" xfId="3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164" fontId="3" fillId="2" borderId="13" applyAlignment="1" pivotButton="0" quotePrefix="0" xfId="0">
      <alignment horizontal="center" vertical="center"/>
    </xf>
    <xf numFmtId="164" fontId="3" fillId="2" borderId="15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3" fillId="2" borderId="16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 wrapText="1"/>
    </xf>
    <xf numFmtId="164" fontId="3" fillId="0" borderId="15" applyAlignment="1" pivotButton="0" quotePrefix="0" xfId="0">
      <alignment horizontal="center" vertical="center"/>
    </xf>
    <xf numFmtId="0" fontId="2" fillId="6" borderId="8" applyAlignment="1" pivotButton="0" quotePrefix="0" xfId="3">
      <alignment horizontal="center" vertical="center"/>
    </xf>
    <xf numFmtId="2" fontId="2" fillId="7" borderId="8" applyAlignment="1" pivotButton="0" quotePrefix="0" xfId="0">
      <alignment horizontal="center" vertical="center" wrapText="1"/>
    </xf>
    <xf numFmtId="2" fontId="2" fillId="8" borderId="8" applyAlignment="1" pivotButton="0" quotePrefix="0" xfId="0">
      <alignment horizontal="center" vertical="center" wrapText="1"/>
    </xf>
    <xf numFmtId="0" fontId="1" fillId="0" borderId="55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56" applyAlignment="1" pivotButton="0" quotePrefix="0" xfId="0">
      <alignment horizontal="center" vertical="center"/>
    </xf>
    <xf numFmtId="0" fontId="2" fillId="2" borderId="1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164" fontId="3" fillId="2" borderId="22" applyAlignment="1" pivotButton="0" quotePrefix="0" xfId="0">
      <alignment horizontal="center" vertical="center"/>
    </xf>
    <xf numFmtId="0" fontId="2" fillId="2" borderId="40" applyAlignment="1" pivotButton="0" quotePrefix="0" xfId="0">
      <alignment horizontal="center" vertical="center"/>
    </xf>
    <xf numFmtId="0" fontId="2" fillId="4" borderId="41" applyAlignment="1" pivotButton="0" quotePrefix="0" xfId="0">
      <alignment horizontal="center" vertical="center"/>
    </xf>
    <xf numFmtId="164" fontId="3" fillId="2" borderId="42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1" fillId="0" borderId="5" applyAlignment="1" pivotButton="0" quotePrefix="0" xfId="0">
      <alignment horizontal="center" vertical="center" wrapText="1"/>
    </xf>
    <xf numFmtId="0" fontId="11" fillId="0" borderId="5" applyAlignment="1" pivotButton="0" quotePrefix="0" xfId="4">
      <alignment horizontal="center" vertical="center" shrinkToFit="1"/>
    </xf>
    <xf numFmtId="0" fontId="2" fillId="0" borderId="15" applyAlignment="1" pivotButton="0" quotePrefix="0" xfId="0">
      <alignment horizontal="center" vertical="center" wrapText="1"/>
    </xf>
    <xf numFmtId="0" fontId="11" fillId="0" borderId="15" applyAlignment="1" pivotButton="0" quotePrefix="0" xfId="4">
      <alignment horizontal="center" vertical="center" shrinkToFit="1"/>
    </xf>
    <xf numFmtId="0" fontId="11" fillId="0" borderId="5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/>
    </xf>
    <xf numFmtId="0" fontId="1" fillId="0" borderId="57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4">
      <alignment horizontal="center" vertical="center" shrinkToFit="1"/>
    </xf>
    <xf numFmtId="0" fontId="5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2" fillId="2" borderId="0" applyAlignment="1" pivotButton="0" quotePrefix="0" xfId="4">
      <alignment horizontal="center" vertical="center" shrinkToFit="1"/>
    </xf>
    <xf numFmtId="0" fontId="11" fillId="2" borderId="5" applyAlignment="1" pivotButton="0" quotePrefix="0" xfId="4">
      <alignment horizontal="center" vertical="center" shrinkToFit="1"/>
    </xf>
    <xf numFmtId="0" fontId="11" fillId="0" borderId="10" applyAlignment="1" pivotButton="0" quotePrefix="0" xfId="4">
      <alignment horizontal="center" vertical="center" shrinkToFit="1"/>
    </xf>
    <xf numFmtId="0" fontId="11" fillId="2" borderId="15" applyAlignment="1" pivotButton="0" quotePrefix="0" xfId="4">
      <alignment horizontal="center" vertical="center" shrinkToFit="1"/>
    </xf>
    <xf numFmtId="0" fontId="11" fillId="0" borderId="17" applyAlignment="1" pivotButton="0" quotePrefix="0" xfId="4">
      <alignment horizontal="center" vertical="center" shrinkToFit="1"/>
    </xf>
    <xf numFmtId="0" fontId="11" fillId="2" borderId="0" applyAlignment="1" pivotButton="0" quotePrefix="0" xfId="4">
      <alignment horizontal="center" vertical="center" shrinkToFit="1"/>
    </xf>
    <xf numFmtId="0" fontId="11" fillId="0" borderId="0" applyAlignment="1" pivotButton="0" quotePrefix="0" xfId="0">
      <alignment horizontal="center" vertical="center"/>
    </xf>
    <xf numFmtId="0" fontId="11" fillId="9" borderId="10" applyAlignment="1" pivotButton="0" quotePrefix="0" xfId="0">
      <alignment horizontal="center" vertical="center"/>
    </xf>
    <xf numFmtId="0" fontId="11" fillId="9" borderId="1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2" fontId="13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1" fillId="0" borderId="0" applyAlignment="1" pivotButton="0" quotePrefix="0" xfId="3">
      <alignment horizontal="center" vertical="center"/>
    </xf>
    <xf numFmtId="0" fontId="3" fillId="2" borderId="22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2" fillId="2" borderId="2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0" borderId="56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4">
      <alignment horizontal="center" vertical="center" shrinkToFit="1"/>
    </xf>
    <xf numFmtId="0" fontId="11" fillId="0" borderId="4" applyAlignment="1" pivotButton="0" quotePrefix="0" xfId="0">
      <alignment horizontal="center" vertical="center"/>
    </xf>
    <xf numFmtId="0" fontId="11" fillId="0" borderId="20" applyAlignment="1" pivotButton="0" quotePrefix="0" xfId="4">
      <alignment horizontal="center" vertical="center" shrinkToFit="1"/>
    </xf>
    <xf numFmtId="0" fontId="2" fillId="0" borderId="0" applyAlignment="1" pivotButton="0" quotePrefix="0" xfId="0">
      <alignment horizontal="center" vertical="center" wrapText="1"/>
    </xf>
    <xf numFmtId="0" fontId="11" fillId="9" borderId="19" applyAlignment="1" pivotButton="0" quotePrefix="0" xfId="0">
      <alignment horizontal="center" vertical="center"/>
    </xf>
    <xf numFmtId="0" fontId="11" fillId="9" borderId="30" applyAlignment="1" pivotButton="0" quotePrefix="0" xfId="0">
      <alignment horizontal="center" vertical="center"/>
    </xf>
    <xf numFmtId="164" fontId="3" fillId="2" borderId="23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4" fillId="0" borderId="3" applyAlignment="1" pivotButton="0" quotePrefix="0" xfId="0">
      <alignment horizontal="left" vertical="center"/>
    </xf>
    <xf numFmtId="0" fontId="16" fillId="0" borderId="0" applyAlignment="1" pivotButton="0" quotePrefix="0" xfId="0">
      <alignment vertical="center"/>
    </xf>
    <xf numFmtId="0" fontId="2" fillId="2" borderId="10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0" borderId="0" applyAlignment="1" pivotButton="0" quotePrefix="0" xfId="4">
      <alignment horizontal="center" vertical="center" shrinkToFit="1"/>
    </xf>
    <xf numFmtId="0" fontId="5" fillId="0" borderId="0" applyAlignment="1" pivotButton="0" quotePrefix="0" xfId="4">
      <alignment horizontal="center" vertical="center" shrinkToFit="1"/>
    </xf>
    <xf numFmtId="0" fontId="5" fillId="2" borderId="0" applyAlignment="1" pivotButton="0" quotePrefix="0" xfId="4">
      <alignment horizontal="center" vertical="center" shrinkToFit="1"/>
    </xf>
    <xf numFmtId="0" fontId="18" fillId="0" borderId="0" applyAlignment="1" pivotButton="0" quotePrefix="0" xfId="0">
      <alignment horizontal="right" vertical="center"/>
    </xf>
    <xf numFmtId="0" fontId="12" fillId="2" borderId="0" applyAlignment="1" pivotButton="0" quotePrefix="0" xfId="0">
      <alignment vertical="center"/>
    </xf>
    <xf numFmtId="0" fontId="6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right" vertical="center"/>
    </xf>
    <xf numFmtId="0" fontId="2" fillId="10" borderId="8" applyAlignment="1" pivotButton="0" quotePrefix="0" xfId="0">
      <alignment horizontal="center" vertical="center"/>
    </xf>
    <xf numFmtId="0" fontId="1" fillId="0" borderId="73" applyAlignment="1" pivotButton="0" quotePrefix="0" xfId="0">
      <alignment vertical="center"/>
    </xf>
    <xf numFmtId="0" fontId="2" fillId="6" borderId="5" applyAlignment="1" pivotButton="0" quotePrefix="0" xfId="3">
      <alignment horizontal="center" vertical="center"/>
    </xf>
    <xf numFmtId="0" fontId="2" fillId="0" borderId="8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3" fillId="12" borderId="11" applyAlignment="1" pivotButton="0" quotePrefix="0" xfId="0">
      <alignment vertical="center"/>
    </xf>
    <xf numFmtId="0" fontId="24" fillId="12" borderId="33" pivotButton="0" quotePrefix="0" xfId="0"/>
    <xf numFmtId="0" fontId="24" fillId="12" borderId="31" pivotButton="0" quotePrefix="0" xfId="0"/>
    <xf numFmtId="164" fontId="3" fillId="2" borderId="17" applyAlignment="1" pivotButton="0" quotePrefix="0" xfId="0">
      <alignment horizontal="center" vertical="center"/>
    </xf>
    <xf numFmtId="0" fontId="11" fillId="0" borderId="30" applyAlignment="1" pivotButton="0" quotePrefix="0" xfId="0">
      <alignment horizontal="center" vertical="center"/>
    </xf>
    <xf numFmtId="0" fontId="2" fillId="13" borderId="8" applyAlignment="1" pivotButton="0" quotePrefix="0" xfId="0">
      <alignment horizontal="center" vertical="center"/>
    </xf>
    <xf numFmtId="0" fontId="11" fillId="0" borderId="19" applyAlignment="1" pivotButton="0" quotePrefix="0" xfId="0">
      <alignment vertical="center"/>
    </xf>
    <xf numFmtId="0" fontId="11" fillId="0" borderId="20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/>
    </xf>
    <xf numFmtId="166" fontId="25" fillId="2" borderId="5" applyAlignment="1" pivotButton="0" quotePrefix="0" xfId="0">
      <alignment horizontal="center" vertical="center" wrapText="1"/>
    </xf>
    <xf numFmtId="166" fontId="25" fillId="2" borderId="10" applyAlignment="1" pivotButton="0" quotePrefix="0" xfId="0">
      <alignment horizontal="center" vertical="center" wrapText="1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15" applyAlignment="1" pivotButton="0" quotePrefix="0" xfId="0">
      <alignment horizontal="center" vertical="center"/>
    </xf>
    <xf numFmtId="0" fontId="11" fillId="0" borderId="16" applyAlignment="1" pivotButton="0" quotePrefix="0" xfId="0">
      <alignment horizontal="center" vertical="center"/>
    </xf>
    <xf numFmtId="0" fontId="11" fillId="0" borderId="62" applyAlignment="1" pivotButton="0" quotePrefix="0" xfId="0">
      <alignment horizontal="center" vertical="center"/>
    </xf>
    <xf numFmtId="0" fontId="11" fillId="0" borderId="63" applyAlignment="1" pivotButton="0" quotePrefix="0" xfId="0">
      <alignment horizontal="center" vertical="center"/>
    </xf>
    <xf numFmtId="0" fontId="11" fillId="0" borderId="72" applyAlignment="1" pivotButton="0" quotePrefix="0" xfId="0">
      <alignment horizontal="center" vertical="center"/>
    </xf>
    <xf numFmtId="0" fontId="11" fillId="0" borderId="65" applyAlignment="1" pivotButton="0" quotePrefix="0" xfId="0">
      <alignment horizontal="center" vertical="center"/>
    </xf>
    <xf numFmtId="0" fontId="11" fillId="0" borderId="66" applyAlignment="1" pivotButton="0" quotePrefix="0" xfId="0">
      <alignment horizontal="center" vertical="center"/>
    </xf>
    <xf numFmtId="0" fontId="11" fillId="0" borderId="68" applyAlignment="1" pivotButton="0" quotePrefix="0" xfId="0">
      <alignment horizontal="center" vertical="center"/>
    </xf>
    <xf numFmtId="0" fontId="11" fillId="0" borderId="69" applyAlignment="1" pivotButton="0" quotePrefix="0" xfId="0">
      <alignment horizontal="center" vertical="center"/>
    </xf>
    <xf numFmtId="0" fontId="11" fillId="0" borderId="34" applyAlignment="1" pivotButton="0" quotePrefix="0" xfId="0">
      <alignment horizontal="center" vertical="center"/>
    </xf>
    <xf numFmtId="0" fontId="4" fillId="0" borderId="55" applyAlignment="1" pivotButton="0" quotePrefix="0" xfId="0">
      <alignment horizontal="center" vertical="center"/>
    </xf>
    <xf numFmtId="0" fontId="4" fillId="0" borderId="56" applyAlignment="1" pivotButton="0" quotePrefix="0" xfId="0">
      <alignment horizontal="center" vertical="center"/>
    </xf>
    <xf numFmtId="0" fontId="11" fillId="0" borderId="56" applyAlignment="1" pivotButton="0" quotePrefix="0" xfId="0">
      <alignment horizontal="center" vertical="center"/>
    </xf>
    <xf numFmtId="0" fontId="11" fillId="0" borderId="57" applyAlignment="1" pivotButton="0" quotePrefix="0" xfId="0">
      <alignment horizontal="center" vertical="center"/>
    </xf>
    <xf numFmtId="0" fontId="11" fillId="2" borderId="40" applyAlignment="1" pivotButton="0" quotePrefix="0" xfId="0">
      <alignment horizontal="center" vertical="center"/>
    </xf>
    <xf numFmtId="0" fontId="11" fillId="2" borderId="32" applyAlignment="1" pivotButton="0" quotePrefix="0" xfId="0">
      <alignment vertical="center"/>
    </xf>
    <xf numFmtId="0" fontId="11" fillId="2" borderId="19" applyAlignment="1" pivotButton="0" quotePrefix="0" xfId="0">
      <alignment horizontal="center" vertical="center"/>
    </xf>
    <xf numFmtId="0" fontId="11" fillId="2" borderId="20" applyAlignment="1" pivotButton="0" quotePrefix="0" xfId="0">
      <alignment horizontal="center" vertical="center"/>
    </xf>
    <xf numFmtId="1" fontId="11" fillId="2" borderId="19" applyAlignment="1" pivotButton="0" quotePrefix="0" xfId="0">
      <alignment horizontal="center" vertical="center"/>
    </xf>
    <xf numFmtId="0" fontId="11" fillId="4" borderId="41" applyAlignment="1" pivotButton="0" quotePrefix="0" xfId="0">
      <alignment horizontal="center" vertical="center"/>
    </xf>
    <xf numFmtId="0" fontId="11" fillId="4" borderId="33" applyAlignment="1" pivotButton="0" quotePrefix="0" xfId="0">
      <alignment vertical="center"/>
    </xf>
    <xf numFmtId="0" fontId="11" fillId="4" borderId="30" applyAlignment="1" pivotButton="0" quotePrefix="0" xfId="0">
      <alignment horizontal="center" vertical="center"/>
    </xf>
    <xf numFmtId="0" fontId="11" fillId="4" borderId="31" applyAlignment="1" pivotButton="0" quotePrefix="0" xfId="0">
      <alignment horizontal="center" vertical="center"/>
    </xf>
    <xf numFmtId="0" fontId="11" fillId="4" borderId="8" applyAlignment="1" pivotButton="0" quotePrefix="0" xfId="0">
      <alignment horizontal="center" vertical="center"/>
    </xf>
    <xf numFmtId="0" fontId="11" fillId="4" borderId="12" applyAlignment="1" pivotButton="0" quotePrefix="0" xfId="0">
      <alignment horizontal="center" vertical="center"/>
    </xf>
    <xf numFmtId="1" fontId="11" fillId="4" borderId="30" applyAlignment="1" pivotButton="0" quotePrefix="0" xfId="0">
      <alignment horizontal="center" vertical="center"/>
    </xf>
    <xf numFmtId="0" fontId="26" fillId="2" borderId="2" applyAlignment="1" pivotButton="0" quotePrefix="0" xfId="0">
      <alignment vertical="center"/>
    </xf>
    <xf numFmtId="0" fontId="26" fillId="2" borderId="22" applyAlignment="1" pivotButton="0" quotePrefix="0" xfId="0">
      <alignment horizontal="center" vertical="center"/>
    </xf>
    <xf numFmtId="164" fontId="26" fillId="2" borderId="23" applyAlignment="1" pivotButton="0" quotePrefix="0" xfId="0">
      <alignment horizontal="center" vertical="center"/>
    </xf>
    <xf numFmtId="1" fontId="4" fillId="2" borderId="22" applyAlignment="1" pivotButton="0" quotePrefix="0" xfId="0">
      <alignment horizontal="center" vertical="center"/>
    </xf>
    <xf numFmtId="164" fontId="25" fillId="2" borderId="42" applyAlignment="1" pivotButton="0" quotePrefix="0" xfId="0">
      <alignment horizontal="center" vertical="center"/>
    </xf>
    <xf numFmtId="0" fontId="26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center" vertical="center"/>
    </xf>
    <xf numFmtId="164" fontId="26" fillId="0" borderId="0" applyAlignment="1" pivotButton="0" quotePrefix="0" xfId="0">
      <alignment horizontal="center" vertical="center"/>
    </xf>
    <xf numFmtId="1" fontId="4" fillId="0" borderId="0" applyAlignment="1" pivotButton="0" quotePrefix="0" xfId="0">
      <alignment horizontal="center" vertical="center"/>
    </xf>
    <xf numFmtId="164" fontId="25" fillId="0" borderId="0" applyAlignment="1" pivotButton="0" quotePrefix="0" xfId="0">
      <alignment horizontal="center" vertical="center"/>
    </xf>
    <xf numFmtId="0" fontId="11" fillId="0" borderId="40" applyAlignment="1" pivotButton="0" quotePrefix="0" xfId="0">
      <alignment horizontal="center" vertical="center"/>
    </xf>
    <xf numFmtId="0" fontId="11" fillId="0" borderId="70" applyAlignment="1" pivotButton="0" quotePrefix="0" xfId="0">
      <alignment horizontal="center" vertical="center"/>
    </xf>
    <xf numFmtId="0" fontId="11" fillId="0" borderId="71" applyAlignment="1" pivotButton="0" quotePrefix="0" xfId="0">
      <alignment horizontal="center" vertical="center"/>
    </xf>
    <xf numFmtId="0" fontId="11" fillId="0" borderId="41" applyAlignment="1" pivotButton="0" quotePrefix="0" xfId="0">
      <alignment horizontal="center" vertical="center"/>
    </xf>
    <xf numFmtId="0" fontId="11" fillId="2" borderId="6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2" borderId="11" applyAlignment="1" pivotButton="0" quotePrefix="0" xfId="0">
      <alignment horizontal="center" vertical="center"/>
    </xf>
    <xf numFmtId="0" fontId="11" fillId="2" borderId="41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11" fillId="11" borderId="8" applyAlignment="1" pivotButton="0" quotePrefix="0" xfId="0">
      <alignment horizontal="center" vertical="center"/>
    </xf>
    <xf numFmtId="0" fontId="11" fillId="11" borderId="11" applyAlignment="1" pivotButton="0" quotePrefix="0" xfId="0">
      <alignment horizontal="center" vertical="center"/>
    </xf>
    <xf numFmtId="0" fontId="11" fillId="11" borderId="41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11" borderId="14" applyAlignment="1" pivotButton="0" quotePrefix="0" xfId="0">
      <alignment horizontal="center" vertical="center"/>
    </xf>
    <xf numFmtId="0" fontId="11" fillId="11" borderId="36" applyAlignment="1" pivotButton="0" quotePrefix="0" xfId="0">
      <alignment horizontal="center" vertical="center"/>
    </xf>
    <xf numFmtId="0" fontId="4" fillId="0" borderId="59" applyAlignment="1" pivotButton="0" quotePrefix="0" xfId="0">
      <alignment horizontal="center" vertical="center"/>
    </xf>
    <xf numFmtId="0" fontId="11" fillId="0" borderId="0" applyAlignment="1" pivotButton="0" quotePrefix="0" xfId="3">
      <alignment horizontal="left" vertical="center"/>
    </xf>
    <xf numFmtId="0" fontId="11" fillId="0" borderId="0" applyAlignment="1" pivotButton="0" quotePrefix="0" xfId="0">
      <alignment vertical="center"/>
    </xf>
    <xf numFmtId="0" fontId="11" fillId="0" borderId="55" applyAlignment="1" pivotButton="0" quotePrefix="0" xfId="0">
      <alignment horizontal="center" vertical="center"/>
    </xf>
    <xf numFmtId="1" fontId="11" fillId="2" borderId="75" applyAlignment="1" pivotButton="0" quotePrefix="0" xfId="0">
      <alignment horizontal="center" vertical="center"/>
    </xf>
    <xf numFmtId="0" fontId="11" fillId="2" borderId="34" applyAlignment="1" pivotButton="0" quotePrefix="0" xfId="0">
      <alignment horizontal="center" vertical="center"/>
    </xf>
    <xf numFmtId="1" fontId="11" fillId="4" borderId="29" applyAlignment="1" pivotButton="0" quotePrefix="0" xfId="0">
      <alignment horizontal="center" vertical="center"/>
    </xf>
    <xf numFmtId="164" fontId="26" fillId="2" borderId="15" applyAlignment="1" pivotButton="0" quotePrefix="0" xfId="0">
      <alignment horizontal="center" vertical="center"/>
    </xf>
    <xf numFmtId="1" fontId="25" fillId="2" borderId="21" applyAlignment="1" pivotButton="0" quotePrefix="0" xfId="0">
      <alignment horizontal="center" vertical="center"/>
    </xf>
    <xf numFmtId="164" fontId="25" fillId="2" borderId="22" applyAlignment="1" pivotButton="0" quotePrefix="0" xfId="0">
      <alignment horizontal="center" vertical="center"/>
    </xf>
    <xf numFmtId="0" fontId="11" fillId="2" borderId="73" applyAlignment="1" pivotButton="0" quotePrefix="0" xfId="0">
      <alignment vertical="center"/>
    </xf>
    <xf numFmtId="0" fontId="11" fillId="2" borderId="53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26" fillId="2" borderId="1" applyAlignment="1" pivotButton="0" quotePrefix="0" xfId="0">
      <alignment vertical="center"/>
    </xf>
    <xf numFmtId="164" fontId="26" fillId="2" borderId="27" applyAlignment="1" pivotButton="0" quotePrefix="0" xfId="0">
      <alignment horizontal="center" vertical="center"/>
    </xf>
    <xf numFmtId="164" fontId="27" fillId="2" borderId="24" applyAlignment="1" pivotButton="0" quotePrefix="0" xfId="0">
      <alignment horizontal="center" vertical="center"/>
    </xf>
    <xf numFmtId="164" fontId="11" fillId="2" borderId="5" applyAlignment="1" pivotButton="0" quotePrefix="0" xfId="0">
      <alignment horizontal="center" vertical="center"/>
    </xf>
    <xf numFmtId="164" fontId="26" fillId="2" borderId="22" applyAlignment="1" pivotButton="0" quotePrefix="0" xfId="0">
      <alignment horizontal="center" vertical="center"/>
    </xf>
    <xf numFmtId="1" fontId="11" fillId="2" borderId="18" applyAlignment="1" pivotButton="0" quotePrefix="0" xfId="0">
      <alignment horizontal="center" vertical="center"/>
    </xf>
    <xf numFmtId="164" fontId="26" fillId="2" borderId="25" applyAlignment="1" pivotButton="0" quotePrefix="0" xfId="0">
      <alignment horizontal="center" vertical="center"/>
    </xf>
    <xf numFmtId="1" fontId="11" fillId="2" borderId="54" applyAlignment="1" pivotButton="0" quotePrefix="0" xfId="0">
      <alignment horizontal="center" vertical="center"/>
    </xf>
    <xf numFmtId="164" fontId="26" fillId="2" borderId="21" applyAlignment="1" pivotButton="0" quotePrefix="0" xfId="0">
      <alignment horizontal="center" vertical="center"/>
    </xf>
    <xf numFmtId="166" fontId="25" fillId="11" borderId="5" applyAlignment="1" pivotButton="0" quotePrefix="0" xfId="0">
      <alignment horizontal="center" vertical="center" wrapText="1"/>
    </xf>
    <xf numFmtId="0" fontId="11" fillId="0" borderId="76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13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3" applyAlignment="1" pivotButton="0" quotePrefix="0" xfId="0">
      <alignment horizontal="center" vertical="center"/>
    </xf>
    <xf numFmtId="0" fontId="11" fillId="0" borderId="8" applyAlignment="1" pivotButton="0" quotePrefix="0" xfId="4">
      <alignment horizontal="center" vertical="center" shrinkToFit="1"/>
    </xf>
    <xf numFmtId="0" fontId="11" fillId="2" borderId="8" applyAlignment="1" pivotButton="0" quotePrefix="0" xfId="4">
      <alignment horizontal="center" vertical="center" shrinkToFit="1"/>
    </xf>
    <xf numFmtId="0" fontId="11" fillId="0" borderId="61" applyAlignment="1" pivotButton="0" quotePrefix="0" xfId="0">
      <alignment horizontal="center" vertical="center"/>
    </xf>
    <xf numFmtId="0" fontId="11" fillId="0" borderId="64" applyAlignment="1" pivotButton="0" quotePrefix="0" xfId="0">
      <alignment horizontal="center" vertical="center"/>
    </xf>
    <xf numFmtId="0" fontId="11" fillId="0" borderId="67" applyAlignment="1" pivotButton="0" quotePrefix="0" xfId="0">
      <alignment horizontal="center" vertical="center"/>
    </xf>
    <xf numFmtId="0" fontId="11" fillId="2" borderId="10" applyAlignment="1" pivotButton="0" quotePrefix="0" xfId="4">
      <alignment horizontal="center" vertical="center" shrinkToFit="1"/>
    </xf>
    <xf numFmtId="0" fontId="11" fillId="0" borderId="12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11" fillId="11" borderId="8" applyAlignment="1" pivotButton="0" quotePrefix="0" xfId="4">
      <alignment horizontal="center" vertical="center" shrinkToFit="1"/>
    </xf>
    <xf numFmtId="0" fontId="28" fillId="2" borderId="0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166" fontId="26" fillId="2" borderId="5" applyAlignment="1" pivotButton="0" quotePrefix="0" xfId="0">
      <alignment horizontal="center" vertical="center" wrapText="1"/>
    </xf>
    <xf numFmtId="166" fontId="26" fillId="2" borderId="10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 wrapText="1"/>
    </xf>
    <xf numFmtId="0" fontId="11" fillId="0" borderId="17" applyAlignment="1" pivotButton="0" quotePrefix="0" xfId="0">
      <alignment horizontal="center" vertical="center" wrapText="1"/>
    </xf>
    <xf numFmtId="0" fontId="4" fillId="2" borderId="40" applyAlignment="1" pivotButton="0" quotePrefix="0" xfId="0">
      <alignment horizontal="center" vertical="center"/>
    </xf>
    <xf numFmtId="0" fontId="4" fillId="2" borderId="19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/>
    </xf>
    <xf numFmtId="0" fontId="4" fillId="0" borderId="29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2" borderId="23" applyAlignment="1" pivotButton="0" quotePrefix="0" xfId="0">
      <alignment horizontal="center" vertical="center"/>
    </xf>
    <xf numFmtId="0" fontId="4" fillId="0" borderId="30" applyAlignment="1" pivotButton="0" quotePrefix="1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26" fillId="2" borderId="27" applyAlignment="1" pivotButton="0" quotePrefix="0" xfId="0">
      <alignment horizontal="center" vertical="center"/>
    </xf>
    <xf numFmtId="0" fontId="26" fillId="2" borderId="78" applyAlignment="1" pivotButton="0" quotePrefix="0" xfId="0">
      <alignment horizontal="center" vertical="center"/>
    </xf>
    <xf numFmtId="0" fontId="4" fillId="15" borderId="22" applyAlignment="1" pivotButton="0" quotePrefix="1" xfId="0">
      <alignment horizontal="center" vertical="center"/>
    </xf>
    <xf numFmtId="0" fontId="4" fillId="2" borderId="41" applyAlignment="1" pivotButton="0" quotePrefix="0" xfId="0">
      <alignment horizontal="center" vertical="center"/>
    </xf>
    <xf numFmtId="0" fontId="4" fillId="11" borderId="19" applyAlignment="1" pivotButton="0" quotePrefix="1" xfId="0">
      <alignment horizontal="center" vertical="center"/>
    </xf>
    <xf numFmtId="166" fontId="26" fillId="11" borderId="5" applyAlignment="1" pivotButton="0" quotePrefix="0" xfId="0">
      <alignment horizontal="center" vertical="center" wrapText="1"/>
    </xf>
    <xf numFmtId="0" fontId="26" fillId="11" borderId="27" applyAlignment="1" pivotButton="0" quotePrefix="0" xfId="0">
      <alignment horizontal="center" vertical="center"/>
    </xf>
    <xf numFmtId="166" fontId="26" fillId="14" borderId="4" applyAlignment="1" pivotButton="0" quotePrefix="0" xfId="0">
      <alignment horizontal="center" vertical="center" wrapText="1"/>
    </xf>
    <xf numFmtId="166" fontId="26" fillId="14" borderId="58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 wrapText="1"/>
    </xf>
    <xf numFmtId="0" fontId="2" fillId="6" borderId="4" applyAlignment="1" pivotButton="0" quotePrefix="0" xfId="3">
      <alignment horizontal="center" vertical="center"/>
    </xf>
    <xf numFmtId="0" fontId="11" fillId="2" borderId="5" applyAlignment="1" pivotButton="0" quotePrefix="0" xfId="0">
      <alignment horizontal="center" vertical="center" wrapText="1"/>
    </xf>
    <xf numFmtId="0" fontId="11" fillId="2" borderId="10" applyAlignment="1" pivotButton="0" quotePrefix="0" xfId="0">
      <alignment horizontal="center" vertical="center" wrapText="1"/>
    </xf>
    <xf numFmtId="0" fontId="2" fillId="6" borderId="6" applyAlignment="1" pivotButton="0" quotePrefix="0" xfId="3">
      <alignment horizontal="center" vertical="center"/>
    </xf>
    <xf numFmtId="0" fontId="11" fillId="2" borderId="12" applyAlignment="1" pivotButton="0" quotePrefix="0" xfId="0">
      <alignment horizontal="center" vertical="center" wrapText="1"/>
    </xf>
    <xf numFmtId="0" fontId="11" fillId="2" borderId="6" applyAlignment="1" pivotButton="0" quotePrefix="0" xfId="0">
      <alignment horizontal="center" vertical="center" wrapText="1"/>
    </xf>
    <xf numFmtId="0" fontId="11" fillId="2" borderId="13" applyAlignment="1" pivotButton="0" quotePrefix="0" xfId="0">
      <alignment horizontal="center" vertical="center" wrapText="1"/>
    </xf>
    <xf numFmtId="0" fontId="11" fillId="2" borderId="15" applyAlignment="1" pivotButton="0" quotePrefix="0" xfId="0">
      <alignment horizontal="center" vertical="center" wrapText="1"/>
    </xf>
    <xf numFmtId="0" fontId="2" fillId="6" borderId="15" applyAlignment="1" pivotButton="0" quotePrefix="0" xfId="3">
      <alignment horizontal="center" vertical="center"/>
    </xf>
    <xf numFmtId="0" fontId="29" fillId="0" borderId="0" applyAlignment="1" pivotButton="0" quotePrefix="0" xfId="0">
      <alignment vertical="center"/>
    </xf>
    <xf numFmtId="0" fontId="4" fillId="0" borderId="19" applyAlignment="1" pivotButton="0" quotePrefix="0" xfId="0">
      <alignment horizontal="center" vertical="center"/>
    </xf>
    <xf numFmtId="0" fontId="11" fillId="2" borderId="12" applyAlignment="1" pivotButton="0" quotePrefix="0" xfId="4">
      <alignment horizontal="center" vertical="center" shrinkToFit="1"/>
    </xf>
    <xf numFmtId="0" fontId="11" fillId="2" borderId="8" applyAlignment="1" pivotButton="0" quotePrefix="0" xfId="3">
      <alignment horizontal="center" vertical="center"/>
    </xf>
    <xf numFmtId="0" fontId="4" fillId="2" borderId="30" applyAlignment="1" pivotButton="0" quotePrefix="0" xfId="0">
      <alignment horizontal="center" vertical="center"/>
    </xf>
    <xf numFmtId="0" fontId="4" fillId="2" borderId="30" applyAlignment="1" pivotButton="0" quotePrefix="1" xfId="0">
      <alignment horizontal="center" vertical="center"/>
    </xf>
    <xf numFmtId="0" fontId="11" fillId="2" borderId="17" applyAlignment="1" pivotButton="0" quotePrefix="0" xfId="4">
      <alignment horizontal="center" vertical="center" shrinkToFit="1"/>
    </xf>
    <xf numFmtId="0" fontId="4" fillId="0" borderId="22" applyAlignment="1" pivotButton="0" quotePrefix="1" xfId="0">
      <alignment horizontal="center" vertical="center"/>
    </xf>
    <xf numFmtId="0" fontId="4" fillId="2" borderId="22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2" fillId="2" borderId="1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3" fillId="2" borderId="21" applyAlignment="1" pivotButton="0" quotePrefix="0" xfId="0">
      <alignment horizontal="center" vertical="center"/>
    </xf>
    <xf numFmtId="0" fontId="11" fillId="2" borderId="15" applyAlignment="1" pivotButton="0" quotePrefix="0" xfId="3">
      <alignment horizontal="center" vertical="center"/>
    </xf>
    <xf numFmtId="0" fontId="4" fillId="15" borderId="30" applyAlignment="1" pivotButton="0" quotePrefix="1" xfId="0">
      <alignment horizontal="center" vertical="center"/>
    </xf>
    <xf numFmtId="0" fontId="30" fillId="0" borderId="0" applyAlignment="1" pivotButton="0" quotePrefix="0" xfId="0">
      <alignment horizontal="left" vertical="center"/>
    </xf>
    <xf numFmtId="0" fontId="4" fillId="2" borderId="29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11" fillId="2" borderId="5" applyAlignment="1" pivotButton="0" quotePrefix="0" xfId="3">
      <alignment horizontal="center" vertical="center"/>
    </xf>
    <xf numFmtId="0" fontId="11" fillId="0" borderId="31" applyAlignment="1" pivotButton="0" quotePrefix="0" xfId="0">
      <alignment horizontal="center" vertical="center"/>
    </xf>
    <xf numFmtId="0" fontId="11" fillId="2" borderId="31" applyAlignment="1" pivotButton="0" quotePrefix="0" xfId="0">
      <alignment horizontal="center" vertical="center"/>
    </xf>
    <xf numFmtId="0" fontId="4" fillId="0" borderId="18" applyAlignment="1" pivotButton="0" quotePrefix="0" xfId="0">
      <alignment vertical="center"/>
    </xf>
    <xf numFmtId="0" fontId="4" fillId="0" borderId="9" applyAlignment="1" pivotButton="0" quotePrefix="0" xfId="0">
      <alignment vertical="center"/>
    </xf>
    <xf numFmtId="166" fontId="26" fillId="0" borderId="5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center" vertical="center"/>
    </xf>
    <xf numFmtId="0" fontId="4" fillId="0" borderId="78" applyAlignment="1" pivotButton="0" quotePrefix="0" xfId="0">
      <alignment horizontal="center" vertical="center"/>
    </xf>
    <xf numFmtId="0" fontId="11" fillId="0" borderId="15" applyAlignment="1" pivotButton="0" quotePrefix="0" xfId="0">
      <alignment horizontal="center" vertical="center" wrapText="1"/>
    </xf>
    <xf numFmtId="0" fontId="4" fillId="0" borderId="54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 wrapText="1"/>
    </xf>
    <xf numFmtId="0" fontId="26" fillId="0" borderId="27" applyAlignment="1" pivotButton="0" quotePrefix="0" xfId="0">
      <alignment horizontal="center" vertical="center"/>
    </xf>
    <xf numFmtId="1" fontId="4" fillId="0" borderId="32" applyAlignment="1" pivotButton="0" quotePrefix="0" xfId="0">
      <alignment horizontal="center" vertical="center"/>
    </xf>
    <xf numFmtId="1" fontId="4" fillId="0" borderId="33" applyAlignment="1" pivotButton="0" quotePrefix="0" xfId="0">
      <alignment horizontal="center" vertical="center"/>
    </xf>
    <xf numFmtId="1" fontId="4" fillId="0" borderId="2" applyAlignment="1" pivotButton="0" quotePrefix="0" xfId="0">
      <alignment horizontal="center" vertical="center"/>
    </xf>
    <xf numFmtId="0" fontId="4" fillId="0" borderId="19" applyAlignment="1" pivotButton="0" quotePrefix="1" xfId="0">
      <alignment horizontal="center" vertical="center"/>
    </xf>
    <xf numFmtId="1" fontId="4" fillId="2" borderId="40" applyAlignment="1" pivotButton="0" quotePrefix="0" xfId="0">
      <alignment horizontal="center" vertical="center"/>
    </xf>
    <xf numFmtId="1" fontId="4" fillId="2" borderId="41" applyAlignment="1" pivotButton="0" quotePrefix="0" xfId="0">
      <alignment horizontal="center" vertical="center"/>
    </xf>
    <xf numFmtId="0" fontId="4" fillId="2" borderId="31" applyAlignment="1" pivotButton="0" quotePrefix="0" xfId="0">
      <alignment horizontal="center" vertical="center"/>
    </xf>
    <xf numFmtId="1" fontId="4" fillId="0" borderId="41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4" fillId="11" borderId="30" applyAlignment="1" pivotButton="0" quotePrefix="1" xfId="0">
      <alignment horizontal="center" vertical="center"/>
    </xf>
    <xf numFmtId="0" fontId="4" fillId="11" borderId="31" applyAlignment="1" pivotButton="0" quotePrefix="0" xfId="0">
      <alignment horizontal="center" vertical="center"/>
    </xf>
    <xf numFmtId="0" fontId="4" fillId="11" borderId="8" applyAlignment="1" pivotButton="0" quotePrefix="0" xfId="0">
      <alignment horizontal="center" vertical="center"/>
    </xf>
    <xf numFmtId="0" fontId="4" fillId="11" borderId="11" applyAlignment="1" pivotButton="0" quotePrefix="0" xfId="0">
      <alignment horizontal="center" vertical="center"/>
    </xf>
    <xf numFmtId="0" fontId="11" fillId="0" borderId="35" applyAlignment="1" pivotButton="0" quotePrefix="0" xfId="0">
      <alignment horizontal="center" vertical="center"/>
    </xf>
    <xf numFmtId="0" fontId="4" fillId="11" borderId="29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1" fillId="0" borderId="42" applyAlignment="1" pivotButton="0" quotePrefix="0" xfId="0">
      <alignment horizontal="center" vertical="center"/>
    </xf>
    <xf numFmtId="0" fontId="2" fillId="6" borderId="17" applyAlignment="1" pivotButton="0" quotePrefix="0" xfId="3">
      <alignment horizontal="center" vertical="center"/>
    </xf>
    <xf numFmtId="0" fontId="2" fillId="11" borderId="8" applyAlignment="1" pivotButton="0" quotePrefix="0" xfId="3">
      <alignment horizontal="center" vertical="center"/>
    </xf>
    <xf numFmtId="166" fontId="26" fillId="16" borderId="5" applyAlignment="1" pivotButton="0" quotePrefix="0" xfId="0">
      <alignment horizontal="center" vertical="center" wrapText="1"/>
    </xf>
    <xf numFmtId="166" fontId="26" fillId="16" borderId="4" applyAlignment="1" pivotButton="0" quotePrefix="0" xfId="0">
      <alignment horizontal="center" vertical="center" wrapText="1"/>
    </xf>
    <xf numFmtId="0" fontId="11" fillId="0" borderId="19" applyAlignment="1" pivotButton="0" quotePrefix="0" xfId="0">
      <alignment horizontal="center" vertical="center"/>
    </xf>
    <xf numFmtId="0" fontId="11" fillId="0" borderId="80" applyAlignment="1" pivotButton="0" quotePrefix="0" xfId="0">
      <alignment horizontal="center" vertical="center"/>
    </xf>
    <xf numFmtId="0" fontId="11" fillId="11" borderId="31" applyAlignment="1" pivotButton="0" quotePrefix="0" xfId="0">
      <alignment horizontal="center" vertical="center"/>
    </xf>
    <xf numFmtId="0" fontId="11" fillId="11" borderId="35" applyAlignment="1" pivotButton="0" quotePrefix="0" xfId="0">
      <alignment horizontal="center" vertical="center"/>
    </xf>
    <xf numFmtId="0" fontId="11" fillId="15" borderId="30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/>
    </xf>
    <xf numFmtId="0" fontId="4" fillId="15" borderId="19" applyAlignment="1" pivotButton="0" quotePrefix="0" xfId="0">
      <alignment horizontal="center" vertical="center"/>
    </xf>
    <xf numFmtId="0" fontId="4" fillId="15" borderId="30" applyAlignment="1" pivotButton="0" quotePrefix="0" xfId="0">
      <alignment horizontal="center" vertical="center"/>
    </xf>
    <xf numFmtId="0" fontId="4" fillId="11" borderId="30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 wrapText="1"/>
    </xf>
    <xf numFmtId="0" fontId="2" fillId="6" borderId="12" applyAlignment="1" pivotButton="0" quotePrefix="0" xfId="3">
      <alignment horizontal="center" vertical="center"/>
    </xf>
    <xf numFmtId="0" fontId="11" fillId="2" borderId="6" applyAlignment="1" pivotButton="0" quotePrefix="0" xfId="3">
      <alignment horizontal="center" vertical="center"/>
    </xf>
    <xf numFmtId="0" fontId="11" fillId="2" borderId="12" applyAlignment="1" pivotButton="0" quotePrefix="0" xfId="3">
      <alignment horizontal="center" vertical="center"/>
    </xf>
    <xf numFmtId="0" fontId="11" fillId="2" borderId="13" applyAlignment="1" pivotButton="0" quotePrefix="0" xfId="3">
      <alignment horizontal="center" vertical="center"/>
    </xf>
    <xf numFmtId="0" fontId="11" fillId="2" borderId="17" applyAlignment="1" pivotButton="0" quotePrefix="0" xfId="3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4" fillId="2" borderId="33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0" fontId="11" fillId="2" borderId="39" applyAlignment="1" pivotButton="0" quotePrefix="0" xfId="0">
      <alignment horizontal="center" vertical="center"/>
    </xf>
    <xf numFmtId="0" fontId="11" fillId="9" borderId="40" applyAlignment="1" pivotButton="0" quotePrefix="0" xfId="0">
      <alignment horizontal="center" vertical="center"/>
    </xf>
    <xf numFmtId="0" fontId="11" fillId="9" borderId="79" applyAlignment="1" pivotButton="0" quotePrefix="0" xfId="0">
      <alignment horizontal="center" vertical="center"/>
    </xf>
    <xf numFmtId="0" fontId="11" fillId="9" borderId="81" applyAlignment="1" pivotButton="0" quotePrefix="0" xfId="0">
      <alignment horizontal="center" vertical="center"/>
    </xf>
    <xf numFmtId="0" fontId="11" fillId="0" borderId="25" applyAlignment="1" pivotButton="0" quotePrefix="0" xfId="0">
      <alignment horizontal="center" vertical="center" wrapText="1"/>
    </xf>
    <xf numFmtId="0" fontId="11" fillId="0" borderId="27" applyAlignment="1" pivotButton="0" quotePrefix="0" xfId="4">
      <alignment horizontal="center" vertical="center" shrinkToFit="1"/>
    </xf>
    <xf numFmtId="0" fontId="11" fillId="2" borderId="27" applyAlignment="1" pivotButton="0" quotePrefix="0" xfId="4">
      <alignment horizontal="center" vertical="center" shrinkToFit="1"/>
    </xf>
    <xf numFmtId="0" fontId="11" fillId="0" borderId="26" applyAlignment="1" pivotButton="0" quotePrefix="0" xfId="4">
      <alignment horizontal="center" vertical="center" shrinkToFit="1"/>
    </xf>
    <xf numFmtId="0" fontId="11" fillId="0" borderId="78" applyAlignment="1" pivotButton="0" quotePrefix="0" xfId="4">
      <alignment horizontal="center" vertical="center" shrinkToFit="1"/>
    </xf>
    <xf numFmtId="0" fontId="11" fillId="0" borderId="25" applyAlignment="1" pivotButton="0" quotePrefix="0" xfId="0">
      <alignment horizontal="center" vertical="center"/>
    </xf>
    <xf numFmtId="0" fontId="17" fillId="9" borderId="10" applyAlignment="1" pivotButton="0" quotePrefix="0" xfId="0">
      <alignment horizontal="center" vertical="center"/>
    </xf>
    <xf numFmtId="0" fontId="17" fillId="0" borderId="12" applyAlignment="1" pivotButton="0" quotePrefix="0" xfId="0">
      <alignment horizontal="center" vertical="center"/>
    </xf>
    <xf numFmtId="0" fontId="17" fillId="9" borderId="12" applyAlignment="1" pivotButton="0" quotePrefix="0" xfId="0">
      <alignment horizontal="center" vertical="center"/>
    </xf>
    <xf numFmtId="0" fontId="11" fillId="0" borderId="15" applyAlignment="1" pivotButton="0" quotePrefix="0" xfId="4">
      <alignment horizontal="center" vertical="center" shrinkToFit="1"/>
    </xf>
    <xf numFmtId="0" fontId="17" fillId="9" borderId="17" applyAlignment="1" pivotButton="0" quotePrefix="0" xfId="0">
      <alignment horizontal="center" vertical="center"/>
    </xf>
    <xf numFmtId="0" fontId="17" fillId="11" borderId="12" applyAlignment="1" pivotButton="0" quotePrefix="0" xfId="0">
      <alignment horizontal="center" vertical="center"/>
    </xf>
    <xf numFmtId="2" fontId="2" fillId="17" borderId="8" applyAlignment="1" pivotButton="0" quotePrefix="0" xfId="0">
      <alignment horizontal="center" vertical="center" wrapText="1"/>
    </xf>
    <xf numFmtId="1" fontId="4" fillId="0" borderId="37" applyAlignment="1" pivotButton="0" quotePrefix="0" xfId="0">
      <alignment horizontal="center" vertical="center"/>
    </xf>
    <xf numFmtId="1" fontId="11" fillId="0" borderId="41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2" borderId="22" applyAlignment="1" pivotButton="0" quotePrefix="1" xfId="0">
      <alignment horizontal="center" vertical="center"/>
    </xf>
    <xf numFmtId="0" fontId="4" fillId="15" borderId="22" applyAlignment="1" pivotButton="0" quotePrefix="0" xfId="0">
      <alignment horizontal="center" vertical="center"/>
    </xf>
    <xf numFmtId="0" fontId="1" fillId="0" borderId="60" applyAlignment="1" pivotButton="0" quotePrefix="0" xfId="0">
      <alignment horizontal="center" vertical="center"/>
    </xf>
    <xf numFmtId="0" fontId="1" fillId="0" borderId="83" applyAlignment="1" pivotButton="0" quotePrefix="0" xfId="0">
      <alignment horizontal="center" vertical="center"/>
    </xf>
    <xf numFmtId="1" fontId="2" fillId="2" borderId="19" applyAlignment="1" pivotButton="0" quotePrefix="0" xfId="0">
      <alignment horizontal="center" vertical="center"/>
    </xf>
    <xf numFmtId="0" fontId="11" fillId="2" borderId="38" applyAlignment="1" pivotButton="0" quotePrefix="0" xfId="0">
      <alignment horizontal="center" vertical="center"/>
    </xf>
    <xf numFmtId="164" fontId="26" fillId="2" borderId="26" applyAlignment="1" pivotButton="0" quotePrefix="0" xfId="0">
      <alignment horizontal="center" vertical="center"/>
    </xf>
    <xf numFmtId="164" fontId="11" fillId="2" borderId="20" applyAlignment="1" pivotButton="0" quotePrefix="0" xfId="0">
      <alignment horizontal="center" vertical="center"/>
    </xf>
    <xf numFmtId="0" fontId="26" fillId="2" borderId="24" applyAlignment="1" pivotButton="0" quotePrefix="0" xfId="0">
      <alignment horizontal="center" vertical="center"/>
    </xf>
    <xf numFmtId="0" fontId="11" fillId="0" borderId="84" applyAlignment="1" pivotButton="0" quotePrefix="0" xfId="0">
      <alignment horizontal="center" vertical="center"/>
    </xf>
    <xf numFmtId="0" fontId="11" fillId="11" borderId="85" applyAlignment="1" pivotButton="0" quotePrefix="0" xfId="0">
      <alignment horizontal="center" vertical="center"/>
    </xf>
    <xf numFmtId="0" fontId="11" fillId="15" borderId="22" applyAlignment="1" pivotButton="0" quotePrefix="0" xfId="0">
      <alignment horizontal="center" vertical="center"/>
    </xf>
    <xf numFmtId="0" fontId="11" fillId="0" borderId="84" applyAlignment="1" pivotButton="0" quotePrefix="1" xfId="0">
      <alignment horizontal="center" vertical="center"/>
    </xf>
    <xf numFmtId="0" fontId="11" fillId="0" borderId="85" applyAlignment="1" pivotButton="0" quotePrefix="1" xfId="0">
      <alignment horizontal="center" vertical="center"/>
    </xf>
    <xf numFmtId="0" fontId="11" fillId="15" borderId="30" applyAlignment="1" pivotButton="0" quotePrefix="1" xfId="0">
      <alignment horizontal="center" vertical="center"/>
    </xf>
    <xf numFmtId="0" fontId="11" fillId="15" borderId="22" applyAlignment="1" pivotButton="0" quotePrefix="1" xfId="0">
      <alignment horizontal="center" vertical="center"/>
    </xf>
    <xf numFmtId="0" fontId="11" fillId="0" borderId="86" applyAlignment="1" pivotButton="0" quotePrefix="0" xfId="0">
      <alignment horizontal="center" vertical="center"/>
    </xf>
    <xf numFmtId="0" fontId="11" fillId="0" borderId="87" applyAlignment="1" pivotButton="0" quotePrefix="0" xfId="0">
      <alignment horizontal="center" vertical="center"/>
    </xf>
    <xf numFmtId="0" fontId="11" fillId="0" borderId="88" applyAlignment="1" pivotButton="0" quotePrefix="0" xfId="0">
      <alignment horizontal="center" vertical="center"/>
    </xf>
    <xf numFmtId="166" fontId="25" fillId="14" borderId="4" applyAlignment="1" pivotButton="0" quotePrefix="0" xfId="0">
      <alignment horizontal="center" vertical="center" wrapText="1"/>
    </xf>
    <xf numFmtId="0" fontId="25" fillId="14" borderId="13" applyAlignment="1" pivotButton="0" quotePrefix="0" xfId="0">
      <alignment horizontal="center" vertical="center"/>
    </xf>
    <xf numFmtId="0" fontId="25" fillId="2" borderId="15" applyAlignment="1" pivotButton="0" quotePrefix="0" xfId="0">
      <alignment horizontal="center" vertical="center"/>
    </xf>
    <xf numFmtId="0" fontId="25" fillId="11" borderId="15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0" fontId="11" fillId="11" borderId="72" applyAlignment="1" pivotButton="0" quotePrefix="0" xfId="0">
      <alignment horizontal="center" vertical="center"/>
    </xf>
    <xf numFmtId="0" fontId="11" fillId="15" borderId="19" applyAlignment="1" pivotButton="0" quotePrefix="1" xfId="0">
      <alignment horizontal="center" vertical="center"/>
    </xf>
    <xf numFmtId="0" fontId="11" fillId="0" borderId="30" applyAlignment="1" pivotButton="0" quotePrefix="1" xfId="0">
      <alignment horizontal="center" vertical="center"/>
    </xf>
    <xf numFmtId="0" fontId="11" fillId="11" borderId="30" applyAlignment="1" pivotButton="0" quotePrefix="1" xfId="0">
      <alignment horizontal="center" vertical="center"/>
    </xf>
    <xf numFmtId="0" fontId="11" fillId="2" borderId="30" applyAlignment="1" pivotButton="0" quotePrefix="1" xfId="0">
      <alignment horizontal="center" vertical="center"/>
    </xf>
    <xf numFmtId="0" fontId="11" fillId="0" borderId="22" applyAlignment="1" pivotButton="0" quotePrefix="1" xfId="0">
      <alignment horizontal="center" vertical="center"/>
    </xf>
    <xf numFmtId="0" fontId="4" fillId="15" borderId="32" applyAlignment="1" pivotButton="0" quotePrefix="0" xfId="0">
      <alignment horizontal="center" vertical="center"/>
    </xf>
    <xf numFmtId="0" fontId="4" fillId="15" borderId="33" applyAlignment="1" pivotButton="0" quotePrefix="0" xfId="0">
      <alignment horizontal="center" vertical="center"/>
    </xf>
    <xf numFmtId="0" fontId="4" fillId="11" borderId="33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166" fontId="26" fillId="16" borderId="13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16" borderId="15" applyAlignment="1" pivotButton="0" quotePrefix="0" xfId="0">
      <alignment horizontal="center" vertical="center"/>
    </xf>
    <xf numFmtId="0" fontId="26" fillId="11" borderId="15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4" fillId="11" borderId="1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4" fillId="15" borderId="19" applyAlignment="1" pivotButton="0" quotePrefix="1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4" fillId="0" borderId="19" applyAlignment="1" pivotButton="0" quotePrefix="0" xfId="0">
      <alignment vertical="center"/>
    </xf>
    <xf numFmtId="0" fontId="4" fillId="2" borderId="24" applyAlignment="1" pivotButton="0" quotePrefix="0" xfId="0">
      <alignment horizontal="center" vertical="center"/>
    </xf>
    <xf numFmtId="1" fontId="1" fillId="0" borderId="37" applyAlignment="1" pivotButton="0" quotePrefix="0" xfId="0">
      <alignment horizontal="center" vertical="center"/>
    </xf>
    <xf numFmtId="1" fontId="4" fillId="0" borderId="42" applyAlignment="1" pivotButton="0" quotePrefix="0" xfId="0">
      <alignment horizontal="center" vertical="center"/>
    </xf>
    <xf numFmtId="0" fontId="11" fillId="19" borderId="19" applyAlignment="1" pivotButton="0" quotePrefix="0" xfId="0">
      <alignment horizontal="center" vertical="center"/>
    </xf>
    <xf numFmtId="0" fontId="11" fillId="19" borderId="30" applyAlignment="1" pivotButton="0" quotePrefix="0" xfId="0">
      <alignment horizontal="center" vertical="center"/>
    </xf>
    <xf numFmtId="0" fontId="11" fillId="2" borderId="17" applyAlignment="1" pivotButton="0" quotePrefix="0" xfId="0">
      <alignment horizontal="center" vertical="center" wrapText="1"/>
    </xf>
    <xf numFmtId="1" fontId="1" fillId="0" borderId="59" applyAlignment="1" pivotButton="0" quotePrefix="0" xfId="0">
      <alignment horizontal="center" vertical="center"/>
    </xf>
    <xf numFmtId="0" fontId="11" fillId="0" borderId="91" applyAlignment="1" pivotButton="0" quotePrefix="0" xfId="0">
      <alignment horizontal="center" vertical="center"/>
    </xf>
    <xf numFmtId="0" fontId="11" fillId="0" borderId="54" applyAlignment="1" pivotButton="0" quotePrefix="0" xfId="0">
      <alignment horizontal="center" vertical="center"/>
    </xf>
    <xf numFmtId="0" fontId="11" fillId="2" borderId="30" applyAlignment="1" pivotButton="0" quotePrefix="0" xfId="0">
      <alignment horizontal="center" vertical="center"/>
    </xf>
    <xf numFmtId="0" fontId="11" fillId="11" borderId="30" applyAlignment="1" pivotButton="0" quotePrefix="0" xfId="0">
      <alignment horizontal="center" vertical="center"/>
    </xf>
    <xf numFmtId="0" fontId="2" fillId="2" borderId="22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4" fillId="2" borderId="25" applyAlignment="1" pivotButton="0" quotePrefix="0" xfId="0">
      <alignment horizontal="center" vertical="center"/>
    </xf>
    <xf numFmtId="0" fontId="23" fillId="12" borderId="11" applyAlignment="1" pivotButton="0" quotePrefix="0" xfId="0">
      <alignment horizontal="center" vertical="center"/>
    </xf>
    <xf numFmtId="0" fontId="23" fillId="12" borderId="33" applyAlignment="1" pivotButton="0" quotePrefix="0" xfId="0">
      <alignment horizontal="center" vertical="center"/>
    </xf>
    <xf numFmtId="0" fontId="23" fillId="12" borderId="31" applyAlignment="1" pivotButton="0" quotePrefix="0" xfId="0">
      <alignment horizontal="center" vertical="center"/>
    </xf>
    <xf numFmtId="0" fontId="2" fillId="18" borderId="8" applyAlignment="1" pivotButton="0" quotePrefix="0" xfId="3">
      <alignment horizontal="center" vertical="center"/>
    </xf>
    <xf numFmtId="0" fontId="11" fillId="9" borderId="60" applyAlignment="1" pivotButton="0" quotePrefix="0" xfId="0">
      <alignment horizontal="center" vertical="center" wrapText="1"/>
    </xf>
    <xf numFmtId="0" fontId="11" fillId="9" borderId="82" applyAlignment="1" pivotButton="0" quotePrefix="0" xfId="0">
      <alignment horizontal="center" vertical="center" wrapText="1"/>
    </xf>
    <xf numFmtId="0" fontId="11" fillId="2" borderId="18" applyAlignment="1" pivotButton="0" quotePrefix="0" xfId="0">
      <alignment vertical="center"/>
    </xf>
    <xf numFmtId="0" fontId="11" fillId="2" borderId="32" applyAlignment="1" pivotButton="0" quotePrefix="0" xfId="0">
      <alignment vertical="center"/>
    </xf>
    <xf numFmtId="0" fontId="11" fillId="2" borderId="40" applyAlignment="1" pivotButton="0" quotePrefix="0" xfId="0">
      <alignment vertical="center"/>
    </xf>
    <xf numFmtId="0" fontId="11" fillId="4" borderId="29" applyAlignment="1" pivotButton="0" quotePrefix="0" xfId="0">
      <alignment vertical="center"/>
    </xf>
    <xf numFmtId="0" fontId="11" fillId="4" borderId="33" applyAlignment="1" pivotButton="0" quotePrefix="0" xfId="0">
      <alignment vertical="center"/>
    </xf>
    <xf numFmtId="0" fontId="11" fillId="4" borderId="41" applyAlignment="1" pivotButton="0" quotePrefix="0" xfId="0">
      <alignment vertical="center"/>
    </xf>
    <xf numFmtId="0" fontId="26" fillId="2" borderId="21" applyAlignment="1" pivotButton="0" quotePrefix="0" xfId="0">
      <alignment vertical="center"/>
    </xf>
    <xf numFmtId="0" fontId="26" fillId="2" borderId="2" applyAlignment="1" pivotButton="0" quotePrefix="0" xfId="0">
      <alignment vertical="center"/>
    </xf>
    <xf numFmtId="0" fontId="26" fillId="2" borderId="42" applyAlignment="1" pivotButton="0" quotePrefix="0" xfId="0">
      <alignment vertical="center"/>
    </xf>
    <xf numFmtId="166" fontId="11" fillId="0" borderId="89" applyAlignment="1" pivotButton="0" quotePrefix="0" xfId="0">
      <alignment horizontal="center" vertical="center" wrapText="1"/>
    </xf>
    <xf numFmtId="166" fontId="11" fillId="0" borderId="90" applyAlignment="1" pivotButton="0" quotePrefix="0" xfId="0">
      <alignment horizontal="center" vertical="center" wrapText="1"/>
    </xf>
    <xf numFmtId="0" fontId="11" fillId="0" borderId="19" applyAlignment="1" pivotButton="0" quotePrefix="0" xfId="0">
      <alignment horizontal="center" vertical="center" wrapText="1"/>
    </xf>
    <xf numFmtId="0" fontId="11" fillId="0" borderId="22" applyAlignment="1" pivotButton="0" quotePrefix="0" xfId="0">
      <alignment horizontal="center" vertical="center" wrapText="1"/>
    </xf>
    <xf numFmtId="0" fontId="11" fillId="4" borderId="29" applyAlignment="1" pivotButton="0" quotePrefix="0" xfId="0">
      <alignment horizontal="left" vertical="center"/>
    </xf>
    <xf numFmtId="0" fontId="11" fillId="4" borderId="33" applyAlignment="1" pivotButton="0" quotePrefix="0" xfId="0">
      <alignment horizontal="left" vertical="center"/>
    </xf>
    <xf numFmtId="0" fontId="11" fillId="4" borderId="41" applyAlignment="1" pivotButton="0" quotePrefix="0" xfId="0">
      <alignment horizontal="left" vertical="center"/>
    </xf>
    <xf numFmtId="0" fontId="26" fillId="2" borderId="21" applyAlignment="1" pivotButton="0" quotePrefix="0" xfId="0">
      <alignment horizontal="left" vertical="center"/>
    </xf>
    <xf numFmtId="0" fontId="26" fillId="2" borderId="2" applyAlignment="1" pivotButton="0" quotePrefix="0" xfId="0">
      <alignment horizontal="left" vertical="center"/>
    </xf>
    <xf numFmtId="0" fontId="26" fillId="2" borderId="42" applyAlignment="1" pivotButton="0" quotePrefix="0" xfId="0">
      <alignment horizontal="left" vertical="center"/>
    </xf>
    <xf numFmtId="0" fontId="11" fillId="5" borderId="74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3" borderId="7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1" fillId="2" borderId="18" applyAlignment="1" pivotButton="0" quotePrefix="0" xfId="0">
      <alignment horizontal="left" vertical="center"/>
    </xf>
    <xf numFmtId="0" fontId="11" fillId="2" borderId="32" applyAlignment="1" pivotButton="0" quotePrefix="0" xfId="0">
      <alignment horizontal="left" vertical="center"/>
    </xf>
    <xf numFmtId="0" fontId="11" fillId="2" borderId="4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11" fillId="0" borderId="60" applyAlignment="1" pivotButton="0" quotePrefix="0" xfId="0">
      <alignment horizontal="center" vertical="center" wrapText="1"/>
    </xf>
    <xf numFmtId="0" fontId="11" fillId="0" borderId="37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2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3" fillId="2" borderId="42" applyAlignment="1" pivotButton="0" quotePrefix="0" xfId="0">
      <alignment vertical="center"/>
    </xf>
    <xf numFmtId="0" fontId="2" fillId="2" borderId="18" applyAlignment="1" pivotButton="0" quotePrefix="0" xfId="0">
      <alignment vertical="center"/>
    </xf>
    <xf numFmtId="0" fontId="2" fillId="2" borderId="32" applyAlignment="1" pivotButton="0" quotePrefix="0" xfId="0">
      <alignment vertical="center"/>
    </xf>
    <xf numFmtId="0" fontId="2" fillId="2" borderId="40" applyAlignment="1" pivotButton="0" quotePrefix="0" xfId="0">
      <alignment vertical="center"/>
    </xf>
    <xf numFmtId="0" fontId="2" fillId="4" borderId="29" applyAlignment="1" pivotButton="0" quotePrefix="0" xfId="0">
      <alignment vertical="center"/>
    </xf>
    <xf numFmtId="0" fontId="2" fillId="4" borderId="33" applyAlignment="1" pivotButton="0" quotePrefix="0" xfId="0">
      <alignment vertical="center"/>
    </xf>
    <xf numFmtId="0" fontId="2" fillId="4" borderId="41" applyAlignment="1" pivotButton="0" quotePrefix="0" xfId="0">
      <alignment vertic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166" fontId="4" fillId="0" borderId="19" applyAlignment="1" pivotButton="0" quotePrefix="0" xfId="0">
      <alignment horizontal="center" vertical="center" wrapText="1"/>
    </xf>
    <xf numFmtId="166" fontId="4" fillId="0" borderId="22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/>
    </xf>
    <xf numFmtId="0" fontId="11" fillId="8" borderId="5" applyAlignment="1" pivotButton="0" quotePrefix="0" xfId="0">
      <alignment horizontal="center" vertical="center" wrapText="1"/>
    </xf>
    <xf numFmtId="0" fontId="11" fillId="8" borderId="15" applyAlignment="1" pivotButton="0" quotePrefix="0" xfId="0">
      <alignment horizontal="center" vertical="center" wrapText="1"/>
    </xf>
    <xf numFmtId="0" fontId="3" fillId="2" borderId="43" applyAlignment="1" pivotButton="0" quotePrefix="0" xfId="0">
      <alignment vertical="center"/>
    </xf>
    <xf numFmtId="0" fontId="3" fillId="2" borderId="44" applyAlignment="1" pivotButton="0" quotePrefix="0" xfId="0">
      <alignment vertical="center"/>
    </xf>
    <xf numFmtId="0" fontId="3" fillId="2" borderId="45" applyAlignment="1" pivotButton="0" quotePrefix="0" xfId="0">
      <alignment vertical="center"/>
    </xf>
    <xf numFmtId="0" fontId="2" fillId="2" borderId="46" applyAlignment="1" pivotButton="0" quotePrefix="0" xfId="0">
      <alignment vertical="center"/>
    </xf>
    <xf numFmtId="0" fontId="2" fillId="2" borderId="47" applyAlignment="1" pivotButton="0" quotePrefix="0" xfId="0">
      <alignment vertical="center"/>
    </xf>
    <xf numFmtId="0" fontId="2" fillId="2" borderId="48" applyAlignment="1" pivotButton="0" quotePrefix="0" xfId="0">
      <alignment vertical="center"/>
    </xf>
    <xf numFmtId="0" fontId="6" fillId="2" borderId="0" applyAlignment="1" pivotButton="0" quotePrefix="0" xfId="0">
      <alignment horizontal="left" vertical="center"/>
    </xf>
    <xf numFmtId="0" fontId="3" fillId="2" borderId="21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3" fillId="2" borderId="42" applyAlignment="1" pivotButton="0" quotePrefix="0" xfId="0">
      <alignment horizontal="left" vertical="center"/>
    </xf>
    <xf numFmtId="0" fontId="2" fillId="4" borderId="29" applyAlignment="1" pivotButton="0" quotePrefix="0" xfId="0">
      <alignment horizontal="left" vertical="center"/>
    </xf>
    <xf numFmtId="0" fontId="2" fillId="4" borderId="33" applyAlignment="1" pivotButton="0" quotePrefix="0" xfId="0">
      <alignment horizontal="left" vertical="center"/>
    </xf>
    <xf numFmtId="0" fontId="2" fillId="4" borderId="41" applyAlignment="1" pivotButton="0" quotePrefix="0" xfId="0">
      <alignment horizontal="left" vertical="center"/>
    </xf>
    <xf numFmtId="0" fontId="2" fillId="2" borderId="18" applyAlignment="1" pivotButton="0" quotePrefix="0" xfId="0">
      <alignment horizontal="left" vertical="center"/>
    </xf>
    <xf numFmtId="0" fontId="2" fillId="2" borderId="32" applyAlignment="1" pivotButton="0" quotePrefix="0" xfId="0">
      <alignment horizontal="left" vertical="center"/>
    </xf>
    <xf numFmtId="0" fontId="2" fillId="2" borderId="4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66" fontId="4" fillId="0" borderId="32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center" vertical="center" wrapText="1"/>
    </xf>
    <xf numFmtId="0" fontId="0" fillId="0" borderId="0" pivotButton="0" quotePrefix="0" xfId="0"/>
    <xf numFmtId="167" fontId="11" fillId="0" borderId="19" applyAlignment="1" pivotButton="0" quotePrefix="0" xfId="0">
      <alignment horizontal="center" vertical="center"/>
    </xf>
    <xf numFmtId="166" fontId="25" fillId="14" borderId="4" applyAlignment="1" pivotButton="0" quotePrefix="0" xfId="0">
      <alignment horizontal="center" vertical="center" wrapText="1"/>
    </xf>
    <xf numFmtId="166" fontId="25" fillId="2" borderId="5" applyAlignment="1" pivotButton="0" quotePrefix="0" xfId="0">
      <alignment horizontal="center" vertical="center" wrapText="1"/>
    </xf>
    <xf numFmtId="166" fontId="25" fillId="11" borderId="5" applyAlignment="1" pivotButton="0" quotePrefix="0" xfId="0">
      <alignment horizontal="center" vertical="center" wrapText="1"/>
    </xf>
    <xf numFmtId="166" fontId="25" fillId="2" borderId="10" applyAlignment="1" pivotButton="0" quotePrefix="0" xfId="0">
      <alignment horizontal="center" vertical="center" wrapText="1"/>
    </xf>
    <xf numFmtId="166" fontId="11" fillId="0" borderId="8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91" pivotButton="0" quotePrefix="0" xfId="0"/>
    <xf numFmtId="0" fontId="0" fillId="0" borderId="34" pivotButton="0" quotePrefix="0" xfId="0"/>
    <xf numFmtId="0" fontId="0" fillId="0" borderId="38" pivotButton="0" quotePrefix="0" xfId="0"/>
    <xf numFmtId="0" fontId="0" fillId="0" borderId="82" pivotButton="0" quotePrefix="0" xfId="0"/>
    <xf numFmtId="0" fontId="11" fillId="2" borderId="19" applyAlignment="1" pivotButton="0" quotePrefix="0" xfId="0">
      <alignment horizontal="left" vertical="center"/>
    </xf>
    <xf numFmtId="0" fontId="0" fillId="0" borderId="32" pivotButton="0" quotePrefix="0" xfId="0"/>
    <xf numFmtId="0" fontId="0" fillId="0" borderId="40" pivotButton="0" quotePrefix="0" xfId="0"/>
    <xf numFmtId="0" fontId="11" fillId="4" borderId="30" applyAlignment="1" pivotButton="0" quotePrefix="0" xfId="0">
      <alignment horizontal="left" vertical="center"/>
    </xf>
    <xf numFmtId="0" fontId="0" fillId="0" borderId="33" pivotButton="0" quotePrefix="0" xfId="0"/>
    <xf numFmtId="0" fontId="0" fillId="0" borderId="41" pivotButton="0" quotePrefix="0" xfId="0"/>
    <xf numFmtId="0" fontId="26" fillId="2" borderId="22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42" pivotButton="0" quotePrefix="0" xfId="0"/>
    <xf numFmtId="164" fontId="26" fillId="2" borderId="23" applyAlignment="1" pivotButton="0" quotePrefix="0" xfId="0">
      <alignment horizontal="center" vertical="center"/>
    </xf>
    <xf numFmtId="164" fontId="25" fillId="2" borderId="42" applyAlignment="1" pivotButton="0" quotePrefix="0" xfId="0">
      <alignment horizontal="center" vertical="center"/>
    </xf>
    <xf numFmtId="164" fontId="26" fillId="0" borderId="0" applyAlignment="1" pivotButton="0" quotePrefix="0" xfId="0">
      <alignment horizontal="center" vertical="center"/>
    </xf>
    <xf numFmtId="164" fontId="25" fillId="0" borderId="0" applyAlignment="1" pivotButton="0" quotePrefix="0" xfId="0">
      <alignment horizontal="center" vertical="center"/>
    </xf>
    <xf numFmtId="0" fontId="0" fillId="0" borderId="74" pivotButton="0" quotePrefix="0" xfId="0"/>
    <xf numFmtId="0" fontId="11" fillId="2" borderId="19" applyAlignment="1" pivotButton="0" quotePrefix="0" xfId="0">
      <alignment vertical="center"/>
    </xf>
    <xf numFmtId="0" fontId="11" fillId="4" borderId="30" applyAlignment="1" pivotButton="0" quotePrefix="0" xfId="0">
      <alignment vertical="center"/>
    </xf>
    <xf numFmtId="0" fontId="26" fillId="2" borderId="22" applyAlignment="1" pivotButton="0" quotePrefix="0" xfId="0">
      <alignment vertical="center"/>
    </xf>
    <xf numFmtId="164" fontId="26" fillId="2" borderId="15" applyAlignment="1" pivotButton="0" quotePrefix="0" xfId="0">
      <alignment horizontal="center" vertical="center"/>
    </xf>
    <xf numFmtId="164" fontId="25" fillId="2" borderId="22" applyAlignment="1" pivotButton="0" quotePrefix="0" xfId="0">
      <alignment horizontal="center" vertical="center"/>
    </xf>
    <xf numFmtId="164" fontId="26" fillId="2" borderId="26" applyAlignment="1" pivotButton="0" quotePrefix="0" xfId="0">
      <alignment horizontal="center" vertical="center"/>
    </xf>
    <xf numFmtId="164" fontId="26" fillId="2" borderId="27" applyAlignment="1" pivotButton="0" quotePrefix="0" xfId="0">
      <alignment horizontal="center" vertical="center"/>
    </xf>
    <xf numFmtId="164" fontId="26" fillId="2" borderId="25" applyAlignment="1" pivotButton="0" quotePrefix="0" xfId="0">
      <alignment horizontal="center" vertical="center"/>
    </xf>
    <xf numFmtId="164" fontId="27" fillId="2" borderId="24" applyAlignment="1" pivotButton="0" quotePrefix="0" xfId="0">
      <alignment horizontal="center" vertical="center"/>
    </xf>
    <xf numFmtId="164" fontId="11" fillId="2" borderId="20" applyAlignment="1" pivotButton="0" quotePrefix="0" xfId="0">
      <alignment horizontal="center" vertical="center"/>
    </xf>
    <xf numFmtId="164" fontId="11" fillId="2" borderId="5" applyAlignment="1" pivotButton="0" quotePrefix="0" xfId="0">
      <alignment horizontal="center" vertical="center"/>
    </xf>
    <xf numFmtId="164" fontId="26" fillId="2" borderId="21" applyAlignment="1" pivotButton="0" quotePrefix="0" xfId="0">
      <alignment horizontal="center" vertical="center"/>
    </xf>
    <xf numFmtId="164" fontId="26" fillId="2" borderId="22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 wrapText="1"/>
    </xf>
    <xf numFmtId="0" fontId="0" fillId="0" borderId="31" pivotButton="0" quotePrefix="0" xfId="0"/>
    <xf numFmtId="0" fontId="23" fillId="12" borderId="8" applyAlignment="1" pivotButton="0" quotePrefix="0" xfId="0">
      <alignment horizontal="center" vertical="center"/>
    </xf>
    <xf numFmtId="166" fontId="26" fillId="16" borderId="4" applyAlignment="1" pivotButton="0" quotePrefix="0" xfId="0">
      <alignment horizontal="center" vertical="center" wrapText="1"/>
    </xf>
    <xf numFmtId="166" fontId="26" fillId="2" borderId="5" applyAlignment="1" pivotButton="0" quotePrefix="0" xfId="0">
      <alignment horizontal="center" vertical="center" wrapText="1"/>
    </xf>
    <xf numFmtId="166" fontId="26" fillId="16" borderId="5" applyAlignment="1" pivotButton="0" quotePrefix="0" xfId="0">
      <alignment horizontal="center" vertical="center" wrapText="1"/>
    </xf>
    <xf numFmtId="166" fontId="26" fillId="11" borderId="5" applyAlignment="1" pivotButton="0" quotePrefix="0" xfId="0">
      <alignment horizontal="center" vertical="center" wrapText="1"/>
    </xf>
    <xf numFmtId="166" fontId="26" fillId="2" borderId="10" applyAlignment="1" pivotButton="0" quotePrefix="0" xfId="0">
      <alignment horizontal="center" vertical="center" wrapText="1"/>
    </xf>
    <xf numFmtId="166" fontId="4" fillId="0" borderId="19" applyAlignment="1" pivotButton="0" quotePrefix="0" xfId="0">
      <alignment horizontal="center" vertical="center" wrapText="1"/>
    </xf>
    <xf numFmtId="0" fontId="11" fillId="0" borderId="56" applyAlignment="1" pivotButton="0" quotePrefix="0" xfId="0">
      <alignment horizontal="center" vertical="center" wrapText="1"/>
    </xf>
    <xf numFmtId="166" fontId="26" fillId="16" borderId="13" applyAlignment="1" pivotButton="0" quotePrefix="0" xfId="0">
      <alignment horizontal="center" vertical="center"/>
    </xf>
    <xf numFmtId="0" fontId="0" fillId="0" borderId="37" pivotButton="0" quotePrefix="0" xfId="0"/>
    <xf numFmtId="164" fontId="3" fillId="2" borderId="13" applyAlignment="1" pivotButton="0" quotePrefix="0" xfId="0">
      <alignment horizontal="center" vertical="center"/>
    </xf>
    <xf numFmtId="164" fontId="3" fillId="2" borderId="15" applyAlignment="1" pivotButton="0" quotePrefix="0" xfId="0">
      <alignment horizontal="center" vertical="center"/>
    </xf>
    <xf numFmtId="164" fontId="3" fillId="2" borderId="17" applyAlignment="1" pivotButton="0" quotePrefix="0" xfId="0">
      <alignment horizontal="center" vertical="center"/>
    </xf>
    <xf numFmtId="164" fontId="3" fillId="2" borderId="22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2" fillId="2" borderId="19" applyAlignment="1" pivotButton="0" quotePrefix="0" xfId="0">
      <alignment vertical="center"/>
    </xf>
    <xf numFmtId="0" fontId="2" fillId="4" borderId="30" applyAlignment="1" pivotButton="0" quotePrefix="0" xfId="0">
      <alignment vertical="center"/>
    </xf>
    <xf numFmtId="0" fontId="3" fillId="2" borderId="22" applyAlignment="1" pivotButton="0" quotePrefix="0" xfId="0">
      <alignment vertical="center"/>
    </xf>
    <xf numFmtId="164" fontId="3" fillId="2" borderId="23" applyAlignment="1" pivotButton="0" quotePrefix="0" xfId="0">
      <alignment horizontal="center" vertical="center"/>
    </xf>
    <xf numFmtId="166" fontId="26" fillId="14" borderId="4" applyAlignment="1" pivotButton="0" quotePrefix="0" xfId="0">
      <alignment horizontal="center" vertical="center" wrapText="1"/>
    </xf>
    <xf numFmtId="166" fontId="26" fillId="0" borderId="5" applyAlignment="1" pivotButton="0" quotePrefix="0" xfId="0">
      <alignment horizontal="center" vertical="center" wrapText="1"/>
    </xf>
    <xf numFmtId="166" fontId="4" fillId="0" borderId="32" applyAlignment="1" pivotButton="0" quotePrefix="0" xfId="0">
      <alignment horizontal="center" vertical="center" wrapText="1"/>
    </xf>
    <xf numFmtId="166" fontId="26" fillId="14" borderId="58" applyAlignment="1" pivotButton="0" quotePrefix="0" xfId="0">
      <alignment horizontal="center" vertical="center"/>
    </xf>
    <xf numFmtId="0" fontId="0" fillId="0" borderId="73" pivotButton="0" quotePrefix="0" xfId="0"/>
    <xf numFmtId="0" fontId="2" fillId="2" borderId="19" applyAlignment="1" pivotButton="0" quotePrefix="0" xfId="0">
      <alignment horizontal="left" vertical="center"/>
    </xf>
    <xf numFmtId="0" fontId="2" fillId="4" borderId="30" applyAlignment="1" pivotButton="0" quotePrefix="0" xfId="0">
      <alignment horizontal="left" vertical="center"/>
    </xf>
    <xf numFmtId="0" fontId="3" fillId="2" borderId="22" applyAlignment="1" pivotButton="0" quotePrefix="0" xfId="0">
      <alignment horizontal="left" vertical="center"/>
    </xf>
    <xf numFmtId="164" fontId="3" fillId="2" borderId="16" applyAlignment="1" pivotButton="0" quotePrefix="0" xfId="0">
      <alignment horizontal="center" vertical="center"/>
    </xf>
    <xf numFmtId="164" fontId="3" fillId="2" borderId="42" applyAlignment="1" pivotButton="0" quotePrefix="0" xfId="0">
      <alignment horizontal="center" vertical="center"/>
    </xf>
    <xf numFmtId="0" fontId="3" fillId="2" borderId="95" applyAlignment="1" pivotButton="0" quotePrefix="0" xfId="0">
      <alignment vertical="center"/>
    </xf>
    <xf numFmtId="0" fontId="0" fillId="0" borderId="44" pivotButton="0" quotePrefix="0" xfId="0"/>
    <xf numFmtId="0" fontId="0" fillId="0" borderId="45" pivotButton="0" quotePrefix="0" xfId="0"/>
    <xf numFmtId="164" fontId="3" fillId="0" borderId="15" applyAlignment="1" pivotButton="0" quotePrefix="0" xfId="0">
      <alignment horizontal="center" vertical="center"/>
    </xf>
    <xf numFmtId="0" fontId="2" fillId="2" borderId="96" applyAlignment="1" pivotButton="0" quotePrefix="0" xfId="0">
      <alignment vertical="center"/>
    </xf>
    <xf numFmtId="0" fontId="0" fillId="0" borderId="47" pivotButton="0" quotePrefix="0" xfId="0"/>
    <xf numFmtId="0" fontId="0" fillId="0" borderId="48" pivotButton="0" quotePrefix="0" xfId="0"/>
  </cellXfs>
  <cellStyles count="5">
    <cellStyle name="常规" xfId="0" builtinId="0"/>
    <cellStyle name="一般 5" xfId="1"/>
    <cellStyle name="一般 10" xfId="2"/>
    <cellStyle name="Normal 2 2" xfId="3"/>
    <cellStyle name="說明文字" xfId="4"/>
  </cellStyles>
  <dxfs count="2497">
    <dxf>
      <font>
        <color indexed="22"/>
      </font>
    </dxf>
    <dxf>
      <font>
        <color indexed="22"/>
      </font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theme="0" tint="-0.149967955565050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theme="0" tint="-0.149967955565050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rgb="FFCCCCFF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9" tint="0.5999633777886288"/>
        </patternFill>
      </fill>
    </dxf>
    <dxf>
      <fill>
        <patternFill>
          <bgColor theme="6" tint="0.3999450666829432"/>
        </patternFill>
      </fill>
    </dxf>
    <dxf>
      <fill>
        <patternFill>
          <fgColor indexed="10"/>
          <bgColor indexed="29"/>
        </patternFill>
      </fill>
    </dxf>
    <dxf>
      <fill>
        <patternFill>
          <fgColor indexed="10"/>
          <bgColor indexed="29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fgColor indexed="10"/>
          <bgColor indexed="31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fgColor indexed="10"/>
          <bgColor indexed="51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rgb="FFCCCCFF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bgColor rgb="FFCCCCFF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bgColor theme="6" tint="0.3999450666829432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1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ill>
        <patternFill>
          <fgColor indexed="10"/>
          <bgColor indexed="9"/>
        </patternFill>
      </fill>
    </dxf>
    <dxf>
      <fill>
        <patternFill>
          <bgColor theme="7" tint="0.5999633777886288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4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rgb="FF66FFFF"/>
        </patternFill>
      </fill>
    </dxf>
    <dxf>
      <fill>
        <patternFill>
          <bgColor theme="4" tint="0.7999816888943144"/>
        </patternFill>
      </fill>
    </dxf>
    <dxf>
      <fill>
        <patternFill>
          <bgColor rgb="FF66FFFF"/>
        </patternFill>
      </fill>
    </dxf>
    <dxf>
      <fill>
        <patternFill>
          <bgColor theme="4" tint="0.7999816888943144"/>
        </patternFill>
      </fill>
    </dxf>
    <dxf>
      <fill>
        <patternFill>
          <bgColor theme="9" tint="0.5999633777886288"/>
        </patternFill>
      </fill>
    </dxf>
    <dxf>
      <fill>
        <patternFill>
          <bgColor theme="0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0" tint="-0.1499679555650502"/>
        </patternFill>
      </fill>
    </dxf>
    <dxf>
      <font>
        <color indexed="22"/>
      </font>
    </dxf>
    <dxf>
      <font>
        <color indexed="22"/>
      </font>
    </dxf>
    <dxf>
      <fill>
        <patternFill>
          <fgColor indexed="10"/>
          <bgColor indexed="9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bgColor theme="3" tint="0.5999633777886288"/>
        </patternFill>
      </fill>
    </dxf>
    <dxf>
      <fill>
        <patternFill>
          <bgColor theme="3" tint="0.5999633777886288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bgColor theme="3" tint="0.5999633777886288"/>
        </patternFill>
      </fill>
    </dxf>
    <dxf>
      <fill>
        <patternFill>
          <bgColor theme="3" tint="0.5999633777886288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bgColor theme="3" tint="0.5999633777886288"/>
        </patternFill>
      </fill>
    </dxf>
    <dxf>
      <fill>
        <patternFill>
          <bgColor theme="0" tint="-0.1499679555650502"/>
        </patternFill>
      </fill>
    </dxf>
    <dxf>
      <fill>
        <patternFill>
          <bgColor theme="3" tint="0.5999633777886288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bgColor theme="3" tint="0.5999633777886288"/>
        </patternFill>
      </fill>
    </dxf>
    <dxf>
      <fill>
        <patternFill>
          <bgColor theme="3" tint="0.5999633777886288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51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7"/>
        </patternFill>
      </fill>
    </dxf>
    <dxf>
      <fill>
        <patternFill>
          <fgColor indexed="10"/>
          <bgColor indexed="1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7"/>
        </patternFill>
      </fill>
    </dxf>
    <dxf>
      <fill>
        <patternFill>
          <bgColor rgb="FFFFFF99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6" tint="0.3999450666829432"/>
        </patternFill>
      </fill>
    </dxf>
    <dxf>
      <fill>
        <patternFill>
          <fgColor indexed="10"/>
          <bgColor indexed="51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rgb="FFCCCCFF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bgColor rgb="FFCCCCFF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29"/>
        </patternFill>
      </fill>
    </dxf>
    <dxf>
      <fill>
        <patternFill>
          <fgColor indexed="10"/>
          <bgColor indexed="29"/>
        </patternFill>
      </fill>
    </dxf>
    <dxf>
      <fill>
        <patternFill>
          <fgColor indexed="10"/>
          <bgColor indexed="29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1"/>
        </patternFill>
      </fill>
    </dxf>
    <dxf>
      <fill>
        <patternFill>
          <fgColor indexed="10"/>
          <bgColor indexed="47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6" tint="0.3999450666829432"/>
        </patternFill>
      </fill>
    </dxf>
    <dxf>
      <fill>
        <patternFill>
          <fgColor indexed="10"/>
          <bgColor indexed="51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ill>
        <patternFill>
          <fgColor indexed="10"/>
          <bgColor indexed="9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429985</colOff>
      <row>0</row>
      <rowOff>190500</rowOff>
    </from>
    <to>
      <col>3</col>
      <colOff>1441</colOff>
      <row>2</row>
      <rowOff>173038</rowOff>
    </to>
    <pic>
      <nvPicPr>
        <cNvPr id="2051" name="圖片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52449" y="190500"/>
          <a:ext cx="1439636" cy="74453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642937</colOff>
      <row>0</row>
      <rowOff>47626</rowOff>
    </from>
    <to>
      <col>3</col>
      <colOff>198437</colOff>
      <row>2</row>
      <rowOff>80964</rowOff>
    </to>
    <pic>
      <nvPicPr>
        <cNvPr id="2" name="圖片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62000" y="47626"/>
          <a:ext cx="1443037" cy="7477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1</col>
      <colOff>616324</colOff>
      <row>0</row>
      <rowOff>112058</rowOff>
    </from>
    <to>
      <col>2</col>
      <colOff>1378977</colOff>
      <row>3</row>
      <rowOff>19330</rowOff>
    </to>
    <pic>
      <nvPicPr>
        <cNvPr id="4" name="圖片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39589" y="112058"/>
          <a:ext cx="1443037" cy="7477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Z83"/>
  <sheetViews>
    <sheetView view="pageBreakPreview" zoomScale="80" zoomScaleNormal="80" zoomScaleSheetLayoutView="80" workbookViewId="0">
      <selection activeCell="AN61" sqref="AN61:AO70"/>
    </sheetView>
  </sheetViews>
  <sheetFormatPr baseColWidth="8" defaultColWidth="9" defaultRowHeight="15"/>
  <cols>
    <col width="1.625" customWidth="1" style="3" min="1" max="1"/>
    <col width="9" customWidth="1" style="3" min="2" max="2"/>
    <col width="15.625" customWidth="1" style="40" min="3" max="4"/>
    <col hidden="1" outlineLevel="1" width="6.625" customWidth="1" style="40" min="5" max="7"/>
    <col collapsed="1" width="6.625" customWidth="1" style="3" min="8" max="8"/>
    <col width="6.625" customWidth="1" style="3" min="9" max="17"/>
    <col width="6.625" customWidth="1" style="85" min="18" max="18"/>
    <col width="6.625" customWidth="1" style="3" min="19" max="31"/>
    <col width="6.625" customWidth="1" style="107" min="32" max="32"/>
    <col width="6.625" customWidth="1" style="3" min="33" max="34"/>
    <col width="7" customWidth="1" style="3" min="35" max="35"/>
    <col width="6.625" customWidth="1" style="3" min="36" max="39"/>
    <col width="9.625" customWidth="1" style="40" min="40" max="40"/>
    <col width="14" customWidth="1" style="40" min="41" max="41"/>
    <col outlineLevel="1" width="9" customWidth="1" style="40" min="42" max="42"/>
    <col outlineLevel="1" width="7.5" customWidth="1" style="40" min="43" max="44"/>
    <col outlineLevel="1" width="9" customWidth="1" style="40" min="45" max="46"/>
    <col width="6.125" customWidth="1" style="40" min="47" max="47"/>
    <col width="5.5" customWidth="1" style="40" min="48" max="48"/>
    <col width="5.25" customWidth="1" style="78" min="49" max="49"/>
    <col width="3.625" customWidth="1" style="40" min="50" max="50"/>
    <col width="3.625" customWidth="1" style="3" min="51" max="54"/>
    <col outlineLevel="1" width="5.75" customWidth="1" style="40" min="55" max="55"/>
    <col width="6.625" customWidth="1" style="3" min="56" max="56"/>
    <col width="9" customWidth="1" style="3" min="57" max="16384"/>
  </cols>
  <sheetData>
    <row r="1" ht="30" customHeight="1" s="506">
      <c r="B1" s="460" t="inlineStr">
        <is>
          <t>泓 建 物 業 管 理 有 限 公 司</t>
        </is>
      </c>
      <c r="AM1" s="56" t="n"/>
      <c r="AN1" s="56" t="n"/>
      <c r="AO1" s="56" t="n"/>
      <c r="AP1" s="56" t="n"/>
      <c r="AQ1" s="56" t="n"/>
    </row>
    <row r="2" ht="30" customHeight="1" s="506">
      <c r="B2" s="460" t="inlineStr">
        <is>
          <t>Pacific Extend Properties Management Limited</t>
        </is>
      </c>
      <c r="AM2" s="56" t="n"/>
      <c r="AN2" s="56" t="n"/>
      <c r="AO2" s="56" t="n"/>
      <c r="AP2" s="56" t="n"/>
      <c r="AQ2" s="56" t="n"/>
    </row>
    <row r="3" ht="30" customHeight="1" s="506">
      <c r="B3" s="460">
        <f>YEAR(I6)&amp;"年"&amp;MONTH(I6)&amp;"月保安出勤及休假記錄  (早更 07:00 - 15:00)"</f>
        <v/>
      </c>
      <c r="AM3" s="56" t="n"/>
      <c r="AN3" s="56" t="n"/>
      <c r="AO3" s="56" t="n"/>
      <c r="AP3" s="56" t="n"/>
      <c r="AQ3" s="56" t="n"/>
    </row>
    <row r="4" ht="30" customHeight="1" s="506">
      <c r="B4" s="464" t="inlineStr">
        <is>
          <t>大 元 邨</t>
        </is>
      </c>
      <c r="AM4" s="57" t="n"/>
      <c r="AN4" s="57" t="n"/>
      <c r="AO4" s="57" t="n"/>
      <c r="AP4" s="57" t="n"/>
      <c r="AQ4" s="57" t="n"/>
    </row>
    <row r="5" ht="30" customHeight="1" s="506" thickBot="1">
      <c r="B5" s="6" t="inlineStr">
        <is>
          <t>1. 保安主管出勤時數</t>
        </is>
      </c>
      <c r="I5" s="109" t="n"/>
      <c r="J5" s="109" t="n"/>
      <c r="K5" s="109" t="n"/>
      <c r="L5" s="109" t="n"/>
      <c r="M5" s="109" t="n"/>
      <c r="N5" s="109" t="n"/>
      <c r="O5" s="109" t="n"/>
      <c r="P5" s="109" t="n"/>
      <c r="Q5" s="109" t="n"/>
      <c r="R5" s="109" t="n"/>
      <c r="S5" s="109" t="n"/>
      <c r="T5" s="109" t="n"/>
      <c r="U5" s="109" t="n"/>
      <c r="V5" s="109" t="n"/>
      <c r="W5" s="109" t="n"/>
      <c r="X5" s="109" t="n"/>
      <c r="Y5" s="109" t="n"/>
      <c r="Z5" s="109" t="n"/>
      <c r="AA5" s="109" t="n"/>
      <c r="AB5" s="109" t="n"/>
      <c r="AC5" s="109" t="n"/>
      <c r="AD5" s="109" t="n"/>
      <c r="AE5" s="109" t="n"/>
      <c r="AF5" s="109" t="n"/>
      <c r="AG5" s="109" t="n"/>
      <c r="AH5" s="109" t="n"/>
      <c r="AI5" s="109" t="n"/>
      <c r="AJ5" s="109" t="n"/>
    </row>
    <row r="6" ht="36.75" customFormat="1" customHeight="1" s="192">
      <c r="B6" s="130" t="n"/>
      <c r="C6" s="330" t="n"/>
      <c r="D6" s="507" t="n">
        <v>46054</v>
      </c>
      <c r="E6" s="131" t="n"/>
      <c r="F6" s="62" t="n"/>
      <c r="G6" s="132" t="n"/>
      <c r="H6" s="130" t="n"/>
      <c r="I6" s="508" t="n">
        <v>46082</v>
      </c>
      <c r="J6" s="509">
        <f>I6+1</f>
        <v/>
      </c>
      <c r="K6" s="509">
        <f>J6+1</f>
        <v/>
      </c>
      <c r="L6" s="510">
        <f>K6+1</f>
        <v/>
      </c>
      <c r="M6" s="509">
        <f>L6+1</f>
        <v/>
      </c>
      <c r="N6" s="509">
        <f>M6+1</f>
        <v/>
      </c>
      <c r="O6" s="509">
        <f>N6+1</f>
        <v/>
      </c>
      <c r="P6" s="509">
        <f>O6+1</f>
        <v/>
      </c>
      <c r="Q6" s="509">
        <f>P6+1</f>
        <v/>
      </c>
      <c r="R6" s="509">
        <f>Q6+1</f>
        <v/>
      </c>
      <c r="S6" s="510">
        <f>R6+1</f>
        <v/>
      </c>
      <c r="T6" s="509">
        <f>S6+1</f>
        <v/>
      </c>
      <c r="U6" s="509">
        <f>T6+1</f>
        <v/>
      </c>
      <c r="V6" s="509">
        <f>U6+1</f>
        <v/>
      </c>
      <c r="W6" s="509">
        <f>V6+1</f>
        <v/>
      </c>
      <c r="X6" s="509">
        <f>W6+1</f>
        <v/>
      </c>
      <c r="Y6" s="509">
        <f>X6+1</f>
        <v/>
      </c>
      <c r="Z6" s="510">
        <f>Y6+1</f>
        <v/>
      </c>
      <c r="AA6" s="509">
        <f>Z6+1</f>
        <v/>
      </c>
      <c r="AB6" s="509">
        <f>AA6+1</f>
        <v/>
      </c>
      <c r="AC6" s="509">
        <f>AB6+1</f>
        <v/>
      </c>
      <c r="AD6" s="509">
        <f>AC6+1</f>
        <v/>
      </c>
      <c r="AE6" s="509">
        <f>AD6+1</f>
        <v/>
      </c>
      <c r="AF6" s="509">
        <f>AH6+1</f>
        <v/>
      </c>
      <c r="AG6" s="509">
        <f>AF6+1</f>
        <v/>
      </c>
      <c r="AH6" s="509">
        <f>AG6+1</f>
        <v/>
      </c>
      <c r="AI6" s="509">
        <f>AH6+1</f>
        <v/>
      </c>
      <c r="AJ6" s="511">
        <f>AI6+1</f>
        <v/>
      </c>
      <c r="AK6" s="512" t="inlineStr">
        <is>
          <t>工作總
日數</t>
        </is>
      </c>
      <c r="AL6" s="448" t="inlineStr">
        <is>
          <t>工作總
時數</t>
        </is>
      </c>
      <c r="AM6" s="98" t="inlineStr">
        <is>
          <t>SH</t>
        </is>
      </c>
      <c r="AN6" s="62" t="inlineStr">
        <is>
          <t>RD</t>
        </is>
      </c>
      <c r="AO6" s="62" t="inlineStr">
        <is>
          <t>NP</t>
        </is>
      </c>
      <c r="AP6" s="62" t="inlineStr">
        <is>
          <t>SL</t>
        </is>
      </c>
      <c r="AQ6" s="213" t="inlineStr">
        <is>
          <t>AL</t>
        </is>
      </c>
      <c r="AR6" s="214" t="inlineStr">
        <is>
          <t>RD</t>
        </is>
      </c>
      <c r="AS6" s="59" t="inlineStr">
        <is>
          <t>RD</t>
        </is>
      </c>
      <c r="AT6" s="70" t="inlineStr">
        <is>
          <t>OT</t>
        </is>
      </c>
      <c r="AU6" s="59" t="inlineStr">
        <is>
          <t>SH</t>
        </is>
      </c>
      <c r="AV6" s="62" t="inlineStr">
        <is>
          <t>SL</t>
        </is>
      </c>
      <c r="AW6" s="99" t="inlineStr">
        <is>
          <t>NP</t>
        </is>
      </c>
      <c r="AX6" s="59" t="inlineStr">
        <is>
          <t>AL</t>
        </is>
      </c>
      <c r="AY6" s="71" t="inlineStr">
        <is>
          <t>NC</t>
        </is>
      </c>
      <c r="AZ6" s="435" t="inlineStr">
        <is>
          <t>已放年假</t>
        </is>
      </c>
    </row>
    <row r="7" ht="36.75" customFormat="1" customHeight="1" s="192" thickBot="1">
      <c r="B7" s="135" t="inlineStr">
        <is>
          <t>排位</t>
        </is>
      </c>
      <c r="C7" s="393" t="inlineStr">
        <is>
          <t>員工編號</t>
        </is>
      </c>
      <c r="D7" s="135" t="inlineStr">
        <is>
          <t>姓名</t>
        </is>
      </c>
      <c r="E7" s="136" t="inlineStr">
        <is>
          <t>Rank</t>
        </is>
      </c>
      <c r="F7" s="137" t="inlineStr">
        <is>
          <t>職銜</t>
        </is>
      </c>
      <c r="G7" s="138" t="inlineStr">
        <is>
          <t>工作時數</t>
        </is>
      </c>
      <c r="H7" s="135" t="inlineStr">
        <is>
          <t>更份</t>
        </is>
      </c>
      <c r="I7" s="389">
        <f>SUBSTITUTE(TEXT(I6,"aaa"),"週","")</f>
        <v/>
      </c>
      <c r="J7" s="390">
        <f>SUBSTITUTE(TEXT(J6,"aaa"),"週","")</f>
        <v/>
      </c>
      <c r="K7" s="390">
        <f>SUBSTITUTE(TEXT(K6,"aaa"),"週","")</f>
        <v/>
      </c>
      <c r="L7" s="391">
        <f>SUBSTITUTE(TEXT(L6,"aaa"),"週","")</f>
        <v/>
      </c>
      <c r="M7" s="390">
        <f>SUBSTITUTE(TEXT(M6,"aaa"),"週","")</f>
        <v/>
      </c>
      <c r="N7" s="390">
        <f>SUBSTITUTE(TEXT(N6,"aaa"),"週","")</f>
        <v/>
      </c>
      <c r="O7" s="390">
        <f>SUBSTITUTE(TEXT(O6,"aaa"),"週","")</f>
        <v/>
      </c>
      <c r="P7" s="390">
        <f>SUBSTITUTE(TEXT(P6,"aaa"),"週","")</f>
        <v/>
      </c>
      <c r="Q7" s="390">
        <f>SUBSTITUTE(TEXT(Q6,"aaa"),"週","")</f>
        <v/>
      </c>
      <c r="R7" s="390">
        <f>SUBSTITUTE(TEXT(R6,"aaa"),"週","")</f>
        <v/>
      </c>
      <c r="S7" s="391">
        <f>SUBSTITUTE(TEXT(S6,"aaa"),"週","")</f>
        <v/>
      </c>
      <c r="T7" s="390">
        <f>SUBSTITUTE(TEXT(T6,"aaa"),"週","")</f>
        <v/>
      </c>
      <c r="U7" s="390">
        <f>SUBSTITUTE(TEXT(U6,"aaa"),"週","")</f>
        <v/>
      </c>
      <c r="V7" s="390">
        <f>SUBSTITUTE(TEXT(V6,"aaa"),"週","")</f>
        <v/>
      </c>
      <c r="W7" s="390">
        <f>SUBSTITUTE(TEXT(W6,"aaa"),"週","")</f>
        <v/>
      </c>
      <c r="X7" s="390">
        <f>SUBSTITUTE(TEXT(X6,"aaa"),"週","")</f>
        <v/>
      </c>
      <c r="Y7" s="390">
        <f>SUBSTITUTE(TEXT(Y6,"aaa"),"週","")</f>
        <v/>
      </c>
      <c r="Z7" s="391">
        <f>SUBSTITUTE(TEXT(Z6,"aaa"),"週","")</f>
        <v/>
      </c>
      <c r="AA7" s="390">
        <f>SUBSTITUTE(TEXT(AA6,"aaa"),"週","")</f>
        <v/>
      </c>
      <c r="AB7" s="390">
        <f>SUBSTITUTE(TEXT(AB6,"aaa"),"週","")</f>
        <v/>
      </c>
      <c r="AC7" s="390">
        <f>SUBSTITUTE(TEXT(AC6,"aaa"),"週","")</f>
        <v/>
      </c>
      <c r="AD7" s="390">
        <f>SUBSTITUTE(TEXT(AD6,"aaa"),"週","")</f>
        <v/>
      </c>
      <c r="AE7" s="390">
        <f>SUBSTITUTE(TEXT(AE6,"aaa"),"週","")</f>
        <v/>
      </c>
      <c r="AF7" s="390">
        <f>SUBSTITUTE(TEXT(AF6,"aaa"),"週","")</f>
        <v/>
      </c>
      <c r="AG7" s="390">
        <f>SUBSTITUTE(TEXT(AG6,"aaa"),"週","")</f>
        <v/>
      </c>
      <c r="AH7" s="513" t="n"/>
      <c r="AI7" s="513" t="n"/>
      <c r="AJ7" s="392">
        <f>SUBSTITUTE(TEXT(AJ6,"aaa"),"週","")</f>
        <v/>
      </c>
      <c r="AK7" s="514" t="n"/>
      <c r="AL7" s="515" t="n"/>
      <c r="AM7" s="215" t="inlineStr">
        <is>
          <t>法定假期</t>
        </is>
      </c>
      <c r="AN7" s="137" t="inlineStr">
        <is>
          <t>例假</t>
        </is>
      </c>
      <c r="AO7" s="137" t="inlineStr">
        <is>
          <t>無薪假</t>
        </is>
      </c>
      <c r="AP7" s="137" t="inlineStr">
        <is>
          <t>病假</t>
        </is>
      </c>
      <c r="AQ7" s="216" t="inlineStr">
        <is>
          <t>年假</t>
        </is>
      </c>
      <c r="AR7" s="357" t="inlineStr">
        <is>
          <t>享有</t>
        </is>
      </c>
      <c r="AS7" s="353" t="inlineStr">
        <is>
          <t>已放</t>
        </is>
      </c>
      <c r="AT7" s="354" t="n"/>
      <c r="AU7" s="353" t="inlineStr">
        <is>
          <t>已放</t>
        </is>
      </c>
      <c r="AV7" s="353" t="inlineStr">
        <is>
          <t>已放</t>
        </is>
      </c>
      <c r="AW7" s="516" t="n"/>
      <c r="AX7" s="353" t="inlineStr">
        <is>
          <t>已放</t>
        </is>
      </c>
      <c r="AY7" s="356" t="inlineStr">
        <is>
          <t>已放</t>
        </is>
      </c>
      <c r="AZ7" s="517" t="n"/>
    </row>
    <row r="8" ht="25.5" customFormat="1" customHeight="1" s="75">
      <c r="B8" s="378" t="inlineStr">
        <is>
          <t>M01</t>
        </is>
      </c>
      <c r="C8" s="381" t="inlineStr">
        <is>
          <t>0004693</t>
        </is>
      </c>
      <c r="D8" s="378" t="inlineStr">
        <is>
          <t>黃碧卿</t>
        </is>
      </c>
      <c r="E8" s="223" t="inlineStr">
        <is>
          <t>GS</t>
        </is>
      </c>
      <c r="F8" s="142" t="inlineStr">
        <is>
          <t>SECU_SUPR</t>
        </is>
      </c>
      <c r="G8" s="143" t="n">
        <v>8</v>
      </c>
      <c r="H8" s="330" t="inlineStr">
        <is>
          <t>早</t>
        </is>
      </c>
      <c r="I8" s="214" t="n">
        <v>8</v>
      </c>
      <c r="J8" s="58" t="n">
        <v>8</v>
      </c>
      <c r="K8" s="58" t="n">
        <v>8</v>
      </c>
      <c r="L8" s="58" t="n">
        <v>8</v>
      </c>
      <c r="M8" s="58" t="inlineStr">
        <is>
          <t>RD</t>
        </is>
      </c>
      <c r="N8" s="58" t="n">
        <v>8</v>
      </c>
      <c r="O8" s="58" t="n">
        <v>8</v>
      </c>
      <c r="P8" s="58" t="n">
        <v>8</v>
      </c>
      <c r="Q8" s="58" t="n">
        <v>8</v>
      </c>
      <c r="R8" s="58" t="n">
        <v>8</v>
      </c>
      <c r="S8" s="58" t="n">
        <v>8</v>
      </c>
      <c r="T8" s="58" t="inlineStr">
        <is>
          <t>RD</t>
        </is>
      </c>
      <c r="U8" s="58" t="n">
        <v>8</v>
      </c>
      <c r="V8" s="58" t="n">
        <v>8</v>
      </c>
      <c r="W8" s="58" t="n">
        <v>8</v>
      </c>
      <c r="X8" s="58" t="inlineStr">
        <is>
          <t>RD</t>
        </is>
      </c>
      <c r="Y8" s="58" t="n">
        <v>8</v>
      </c>
      <c r="Z8" s="58" t="n">
        <v>8</v>
      </c>
      <c r="AA8" s="58" t="n">
        <v>8</v>
      </c>
      <c r="AB8" s="58" t="n">
        <v>8</v>
      </c>
      <c r="AC8" s="58" t="n">
        <v>8</v>
      </c>
      <c r="AD8" s="58" t="n">
        <v>8</v>
      </c>
      <c r="AE8" s="58" t="n">
        <v>8</v>
      </c>
      <c r="AF8" s="58" t="n">
        <v>8</v>
      </c>
      <c r="AG8" s="58" t="inlineStr">
        <is>
          <t>RD</t>
        </is>
      </c>
      <c r="AH8" s="58" t="n">
        <v>8</v>
      </c>
      <c r="AI8" s="58" t="n">
        <v>8</v>
      </c>
      <c r="AJ8" s="236" t="n">
        <v>8</v>
      </c>
      <c r="AK8" s="424">
        <f>COUNT(I8:AJ8)</f>
        <v/>
      </c>
      <c r="AL8" s="141">
        <f>SUM(I8:AJ8)</f>
        <v/>
      </c>
      <c r="AM8" s="201">
        <f>COUNTIFS($I8:$AJ8,$AM$6)</f>
        <v/>
      </c>
      <c r="AN8" s="217">
        <f>COUNTIFS($I8:$AJ8,$AN$6)</f>
        <v/>
      </c>
      <c r="AO8" s="217">
        <f>COUNTIFS($I8:$AJ8,$AO$6)</f>
        <v/>
      </c>
      <c r="AP8" s="217">
        <f>COUNTIFS($I8:$AJ8,$AP$6)</f>
        <v/>
      </c>
      <c r="AQ8" s="218">
        <f>COUNTIFS($I8:$AJ8,$AQ$6)</f>
        <v/>
      </c>
      <c r="AR8" s="98" t="n">
        <v>5</v>
      </c>
      <c r="AS8" s="70">
        <f>COUNTIF(I8:AJ8,"RD")</f>
        <v/>
      </c>
      <c r="AT8" s="70">
        <f>AR8-AS8</f>
        <v/>
      </c>
      <c r="AU8" s="70">
        <f>COUNTIF(H8:AJ8,"SH")</f>
        <v/>
      </c>
      <c r="AV8" s="70">
        <f>COUNTIF(I8:AJ8,"SL")</f>
        <v/>
      </c>
      <c r="AW8" s="70">
        <f>COUNTIF(I8:AJ8,"np")</f>
        <v/>
      </c>
      <c r="AX8" s="70">
        <f>COUNTIF(I8:AJ8,"AL*")</f>
        <v/>
      </c>
      <c r="AY8" s="70">
        <f>COUNTIF(I8:AJ8,"NC*")</f>
        <v/>
      </c>
      <c r="AZ8" s="358" t="n"/>
    </row>
    <row r="9" ht="25.5" customFormat="1" customHeight="1" s="75" thickBot="1">
      <c r="B9" s="385" t="inlineStr">
        <is>
          <t>M02</t>
        </is>
      </c>
      <c r="C9" s="382" t="inlineStr">
        <is>
          <t>0004697</t>
        </is>
      </c>
      <c r="D9" s="379" t="inlineStr">
        <is>
          <t>劉鑑香</t>
        </is>
      </c>
      <c r="E9" s="224" t="inlineStr">
        <is>
          <t>SG/G</t>
        </is>
      </c>
      <c r="F9" s="144" t="inlineStr">
        <is>
          <t>SECU_G(D)</t>
        </is>
      </c>
      <c r="G9" s="145" t="n">
        <v>8</v>
      </c>
      <c r="H9" s="128" t="inlineStr">
        <is>
          <t>早</t>
        </is>
      </c>
      <c r="I9" s="300" t="n">
        <v>8</v>
      </c>
      <c r="J9" s="301" t="n">
        <v>8</v>
      </c>
      <c r="K9" s="301" t="n">
        <v>8</v>
      </c>
      <c r="L9" s="301" t="inlineStr">
        <is>
          <t>RD</t>
        </is>
      </c>
      <c r="M9" s="301" t="n">
        <v>8</v>
      </c>
      <c r="N9" s="301" t="n">
        <v>8</v>
      </c>
      <c r="O9" s="301" t="n">
        <v>8</v>
      </c>
      <c r="P9" s="301" t="n">
        <v>8</v>
      </c>
      <c r="Q9" s="301" t="n">
        <v>8</v>
      </c>
      <c r="R9" s="301" t="n">
        <v>8</v>
      </c>
      <c r="S9" s="301" t="inlineStr">
        <is>
          <t>RD</t>
        </is>
      </c>
      <c r="T9" s="301" t="n">
        <v>8</v>
      </c>
      <c r="U9" s="301" t="n">
        <v>8</v>
      </c>
      <c r="V9" s="301" t="n">
        <v>8</v>
      </c>
      <c r="W9" s="301" t="n">
        <v>8</v>
      </c>
      <c r="X9" s="301" t="n">
        <v>8</v>
      </c>
      <c r="Y9" s="301" t="inlineStr">
        <is>
          <t>RD</t>
        </is>
      </c>
      <c r="Z9" s="301" t="n">
        <v>8</v>
      </c>
      <c r="AA9" s="301" t="n">
        <v>8</v>
      </c>
      <c r="AB9" s="301" t="n">
        <v>8</v>
      </c>
      <c r="AC9" s="301" t="n">
        <v>8</v>
      </c>
      <c r="AD9" s="301" t="n">
        <v>8</v>
      </c>
      <c r="AE9" s="301" t="n">
        <v>8</v>
      </c>
      <c r="AF9" s="301" t="n">
        <v>8</v>
      </c>
      <c r="AG9" s="301" t="n">
        <v>8</v>
      </c>
      <c r="AH9" s="301" t="n">
        <v>8</v>
      </c>
      <c r="AI9" s="301" t="n">
        <v>8</v>
      </c>
      <c r="AJ9" s="302" t="n">
        <v>8</v>
      </c>
      <c r="AK9" s="424">
        <f>COUNT(I9:AJ9)</f>
        <v/>
      </c>
      <c r="AL9" s="141">
        <f>SUM(I9:AJ9)</f>
        <v/>
      </c>
      <c r="AM9" s="219">
        <f>COUNTIFS($I9:$AJ9,$AM$6)</f>
        <v/>
      </c>
      <c r="AN9" s="217">
        <f>COUNTIFS($I9:$AJ9,$AN$6)</f>
        <v/>
      </c>
      <c r="AO9" s="63">
        <f>COUNTIFS($I9:$AJ9,$AO$6)</f>
        <v/>
      </c>
      <c r="AP9" s="63">
        <f>COUNTIFS($I9:$AJ9,$AP$6)</f>
        <v/>
      </c>
      <c r="AQ9" s="182">
        <f>COUNTIFS($I9:$AJ9,$AQ$6)</f>
        <v/>
      </c>
      <c r="AR9" s="181">
        <f>AR8</f>
        <v/>
      </c>
      <c r="AS9" s="220">
        <f>COUNTIF(I9:AJ9,"RD")</f>
        <v/>
      </c>
      <c r="AT9" s="221">
        <f>AR9-AS9</f>
        <v/>
      </c>
      <c r="AU9" s="220">
        <f>COUNTIF(H9:AJ9,"SH")</f>
        <v/>
      </c>
      <c r="AV9" s="220">
        <f>COUNTIF(I9:AJ9,"SL")</f>
        <v/>
      </c>
      <c r="AW9" s="220">
        <f>COUNTIF(I9:AJ9,"np")</f>
        <v/>
      </c>
      <c r="AX9" s="220">
        <f>COUNTIF(I9:AJ9,"AL*")</f>
        <v/>
      </c>
      <c r="AY9" s="220">
        <f>COUNTIF(I9:AJ9,"NC*")</f>
        <v/>
      </c>
      <c r="AZ9" s="359" t="n"/>
    </row>
    <row r="10" ht="25.5" customFormat="1" customHeight="1" s="75" thickBot="1">
      <c r="B10" s="386" t="inlineStr">
        <is>
          <t>M03</t>
        </is>
      </c>
      <c r="C10" s="383" t="inlineStr">
        <is>
          <t>0004688</t>
        </is>
      </c>
      <c r="D10" s="334" t="inlineStr">
        <is>
          <t>鍾芬</t>
        </is>
      </c>
      <c r="E10" s="222" t="inlineStr">
        <is>
          <t>GS</t>
        </is>
      </c>
      <c r="F10" s="139" t="inlineStr">
        <is>
          <t>SECU_SUPR</t>
        </is>
      </c>
      <c r="G10" s="140" t="n">
        <v>8</v>
      </c>
      <c r="H10" s="128" t="inlineStr">
        <is>
          <t>早</t>
        </is>
      </c>
      <c r="I10" s="300" t="inlineStr">
        <is>
          <t>RD</t>
        </is>
      </c>
      <c r="J10" s="301" t="inlineStr">
        <is>
          <t>G</t>
        </is>
      </c>
      <c r="K10" s="301" t="inlineStr">
        <is>
          <t>G</t>
        </is>
      </c>
      <c r="L10" s="301" t="n">
        <v>8</v>
      </c>
      <c r="M10" s="301" t="n">
        <v>8</v>
      </c>
      <c r="N10" s="301" t="inlineStr">
        <is>
          <t>G</t>
        </is>
      </c>
      <c r="O10" s="301" t="inlineStr">
        <is>
          <t>G</t>
        </is>
      </c>
      <c r="P10" s="301" t="inlineStr">
        <is>
          <t>RD</t>
        </is>
      </c>
      <c r="Q10" s="301" t="inlineStr">
        <is>
          <t>G</t>
        </is>
      </c>
      <c r="R10" s="301" t="inlineStr">
        <is>
          <t>G</t>
        </is>
      </c>
      <c r="S10" s="301" t="n">
        <v>8</v>
      </c>
      <c r="T10" s="301" t="n">
        <v>8</v>
      </c>
      <c r="U10" s="301" t="inlineStr">
        <is>
          <t>G</t>
        </is>
      </c>
      <c r="V10" s="301" t="inlineStr">
        <is>
          <t>G</t>
        </is>
      </c>
      <c r="W10" s="301" t="inlineStr">
        <is>
          <t>RD</t>
        </is>
      </c>
      <c r="X10" s="301" t="n">
        <v>8</v>
      </c>
      <c r="Y10" s="301" t="n">
        <v>8</v>
      </c>
      <c r="Z10" s="301" t="inlineStr">
        <is>
          <t>G</t>
        </is>
      </c>
      <c r="AA10" s="301" t="inlineStr">
        <is>
          <t>G</t>
        </is>
      </c>
      <c r="AB10" s="301" t="inlineStr">
        <is>
          <t>G</t>
        </is>
      </c>
      <c r="AC10" s="301" t="inlineStr">
        <is>
          <t>G</t>
        </is>
      </c>
      <c r="AD10" s="301" t="inlineStr">
        <is>
          <t>RD</t>
        </is>
      </c>
      <c r="AE10" s="301" t="inlineStr">
        <is>
          <t>G</t>
        </is>
      </c>
      <c r="AF10" s="301" t="inlineStr">
        <is>
          <t>G</t>
        </is>
      </c>
      <c r="AG10" s="301" t="n">
        <v>8</v>
      </c>
      <c r="AH10" s="301" t="inlineStr">
        <is>
          <t>RD</t>
        </is>
      </c>
      <c r="AI10" s="301" t="inlineStr">
        <is>
          <t>G</t>
        </is>
      </c>
      <c r="AJ10" s="302" t="inlineStr">
        <is>
          <t>G</t>
        </is>
      </c>
      <c r="AK10" s="425">
        <f>COUNT(I10:AJ10)</f>
        <v/>
      </c>
      <c r="AL10" s="146">
        <f>SUM(I10:AJ10)</f>
        <v/>
      </c>
      <c r="AM10" s="201">
        <f>COUNTIFS($I10:$AJ10,$AM$6)</f>
        <v/>
      </c>
      <c r="AN10" s="217">
        <f>COUNTIFS($I10:$AJ10,$AN$6)</f>
        <v/>
      </c>
      <c r="AO10" s="63">
        <f>COUNTIFS($I10:$AJ10,$AO$6)</f>
        <v/>
      </c>
      <c r="AP10" s="63">
        <f>COUNTIFS($I10:$AJ10,$AP$6)</f>
        <v/>
      </c>
      <c r="AQ10" s="182">
        <f>COUNTIFS($I10:$AJ10,$AQ$6)</f>
        <v/>
      </c>
      <c r="AR10" s="181">
        <f>AR9</f>
        <v/>
      </c>
      <c r="AS10" s="220">
        <f>COUNTIF(I10:AJ10,"RD")</f>
        <v/>
      </c>
      <c r="AT10" s="221">
        <f>AR10-AS10</f>
        <v/>
      </c>
      <c r="AU10" s="221">
        <f>COUNTIF(H10:AJ10,"SH")</f>
        <v/>
      </c>
      <c r="AV10" s="221">
        <f>COUNTIF(I10:AJ10,"SL")</f>
        <v/>
      </c>
      <c r="AW10" s="221">
        <f>COUNTIF(I10:AJ10,"np")</f>
        <v/>
      </c>
      <c r="AX10" s="221">
        <f>COUNTIF(I10:AJ10,"AL*")</f>
        <v/>
      </c>
      <c r="AY10" s="221">
        <f>COUNTIF(I10:AJ10,"NC*")</f>
        <v/>
      </c>
      <c r="AZ10" s="360" t="n"/>
    </row>
    <row r="11" ht="25.5" customFormat="1" customHeight="1" s="75" thickBot="1">
      <c r="B11" s="387" t="inlineStr">
        <is>
          <t>M04</t>
        </is>
      </c>
      <c r="C11" s="384" t="inlineStr">
        <is>
          <t>0004690</t>
        </is>
      </c>
      <c r="D11" s="380" t="inlineStr">
        <is>
          <t>陳鳳連</t>
        </is>
      </c>
      <c r="E11" s="222" t="inlineStr">
        <is>
          <t>GS</t>
        </is>
      </c>
      <c r="F11" s="139" t="inlineStr">
        <is>
          <t>SECU_SUPR</t>
        </is>
      </c>
      <c r="G11" s="140" t="n">
        <v>8</v>
      </c>
      <c r="H11" s="135" t="inlineStr">
        <is>
          <t>早</t>
        </is>
      </c>
      <c r="I11" s="306" t="inlineStr">
        <is>
          <t>G</t>
        </is>
      </c>
      <c r="J11" s="298" t="inlineStr">
        <is>
          <t>G</t>
        </is>
      </c>
      <c r="K11" s="298" t="inlineStr">
        <is>
          <t>G</t>
        </is>
      </c>
      <c r="L11" s="298" t="inlineStr">
        <is>
          <t>G</t>
        </is>
      </c>
      <c r="M11" s="298" t="inlineStr">
        <is>
          <t>G</t>
        </is>
      </c>
      <c r="N11" s="298" t="inlineStr">
        <is>
          <t>G</t>
        </is>
      </c>
      <c r="O11" s="298" t="inlineStr">
        <is>
          <t>RD</t>
        </is>
      </c>
      <c r="P11" s="298" t="inlineStr">
        <is>
          <t>G</t>
        </is>
      </c>
      <c r="Q11" s="298" t="inlineStr">
        <is>
          <t>G</t>
        </is>
      </c>
      <c r="R11" s="298" t="inlineStr">
        <is>
          <t>G</t>
        </is>
      </c>
      <c r="S11" s="298" t="inlineStr">
        <is>
          <t>G</t>
        </is>
      </c>
      <c r="T11" s="298" t="inlineStr">
        <is>
          <t>G</t>
        </is>
      </c>
      <c r="U11" s="298" t="inlineStr">
        <is>
          <t>RD</t>
        </is>
      </c>
      <c r="V11" s="298" t="inlineStr">
        <is>
          <t>G</t>
        </is>
      </c>
      <c r="W11" s="298" t="inlineStr">
        <is>
          <t>G</t>
        </is>
      </c>
      <c r="X11" s="298" t="inlineStr">
        <is>
          <t>G</t>
        </is>
      </c>
      <c r="Y11" s="298" t="inlineStr">
        <is>
          <t>G</t>
        </is>
      </c>
      <c r="Z11" s="298" t="inlineStr">
        <is>
          <t>RD</t>
        </is>
      </c>
      <c r="AA11" s="298" t="inlineStr">
        <is>
          <t>G</t>
        </is>
      </c>
      <c r="AB11" s="298" t="inlineStr">
        <is>
          <t>G</t>
        </is>
      </c>
      <c r="AC11" s="298" t="inlineStr">
        <is>
          <t>G</t>
        </is>
      </c>
      <c r="AD11" s="298" t="inlineStr">
        <is>
          <t>G</t>
        </is>
      </c>
      <c r="AE11" s="298" t="inlineStr">
        <is>
          <t>G</t>
        </is>
      </c>
      <c r="AF11" s="298" t="inlineStr">
        <is>
          <t>G</t>
        </is>
      </c>
      <c r="AG11" s="298" t="inlineStr">
        <is>
          <t>G</t>
        </is>
      </c>
      <c r="AH11" s="298" t="inlineStr">
        <is>
          <t>G</t>
        </is>
      </c>
      <c r="AI11" s="298" t="inlineStr">
        <is>
          <t>RD</t>
        </is>
      </c>
      <c r="AJ11" s="237" t="inlineStr">
        <is>
          <t>G</t>
        </is>
      </c>
      <c r="AK11" s="424">
        <f>COUNT(I11:AJ11)</f>
        <v/>
      </c>
      <c r="AL11" s="141">
        <f>SUM(I11:AJ11)</f>
        <v/>
      </c>
      <c r="AM11" s="201">
        <f>COUNTIFS($I11:$AJ11,$AM$6)</f>
        <v/>
      </c>
      <c r="AN11" s="217">
        <f>COUNTIFS($I11:$AJ11,$AN$6)</f>
        <v/>
      </c>
      <c r="AO11" s="217">
        <f>COUNTIFS($I11:$AJ11,$AO$6)</f>
        <v/>
      </c>
      <c r="AP11" s="217">
        <f>COUNTIFS($I11:$AJ11,$AP$6)</f>
        <v/>
      </c>
      <c r="AQ11" s="218">
        <f>COUNTIFS($I11:$AJ11,$AQ$6)</f>
        <v/>
      </c>
      <c r="AR11" s="215">
        <f>AR10</f>
        <v/>
      </c>
      <c r="AS11" s="361">
        <f>COUNTIF(I11:AJ11,"RD")</f>
        <v/>
      </c>
      <c r="AT11" s="72">
        <f>AR11-AS11</f>
        <v/>
      </c>
      <c r="AU11" s="72">
        <f>COUNTIF(H11:AJ11,"SH")</f>
        <v/>
      </c>
      <c r="AV11" s="72">
        <f>COUNTIF(I11:AJ11,"SL")</f>
        <v/>
      </c>
      <c r="AW11" s="72">
        <f>COUNTIF(I11:AJ11,"np")</f>
        <v/>
      </c>
      <c r="AX11" s="72">
        <f>COUNTIF(I11:AJ11,"AL*")</f>
        <v/>
      </c>
      <c r="AY11" s="72">
        <f>COUNTIF(I11:AJ11,"NC*")</f>
        <v/>
      </c>
      <c r="AZ11" s="362" t="n"/>
    </row>
    <row r="12" ht="25.5" customFormat="1" customHeight="1" s="40" thickBot="1">
      <c r="B12" s="75" t="n"/>
      <c r="C12" s="75" t="n"/>
      <c r="D12" s="75" t="n"/>
      <c r="E12" s="75" t="n"/>
      <c r="F12" s="75" t="n"/>
      <c r="G12" s="75" t="n"/>
      <c r="H12" s="75" t="n"/>
      <c r="I12" s="88" t="n"/>
      <c r="J12" s="88" t="n"/>
      <c r="K12" s="88" t="n"/>
      <c r="L12" s="88" t="n"/>
      <c r="M12" s="88" t="n"/>
      <c r="N12" s="88" t="n"/>
      <c r="O12" s="88" t="n"/>
      <c r="P12" s="88" t="n"/>
      <c r="Q12" s="88" t="n"/>
      <c r="R12" s="88" t="n"/>
      <c r="S12" s="88" t="n"/>
      <c r="T12" s="88" t="n"/>
      <c r="U12" s="88" t="n"/>
      <c r="V12" s="88" t="n"/>
      <c r="W12" s="88" t="n"/>
      <c r="X12" s="88" t="n"/>
      <c r="Y12" s="88" t="n"/>
      <c r="Z12" s="75" t="n"/>
      <c r="AA12" s="88" t="n"/>
      <c r="AB12" s="88" t="n"/>
      <c r="AC12" s="88" t="n"/>
      <c r="AD12" s="88" t="n"/>
      <c r="AE12" s="88" t="n"/>
      <c r="AF12" s="88" t="n"/>
      <c r="AG12" s="88" t="n"/>
      <c r="AH12" s="88" t="n"/>
      <c r="AI12" s="88" t="n"/>
      <c r="AJ12" s="88" t="n"/>
      <c r="AK12" s="147">
        <f>SUM(AK8:AK11)</f>
        <v/>
      </c>
      <c r="AL12" s="148">
        <f>SUM(AL8:AL11)</f>
        <v/>
      </c>
      <c r="AT12" s="78" t="n"/>
      <c r="AZ12" s="75" t="n"/>
    </row>
    <row r="13" ht="25.5" customFormat="1" customHeight="1" s="40" thickBot="1">
      <c r="B13" s="75" t="n"/>
      <c r="C13" s="75" t="n"/>
      <c r="D13" s="75" t="n"/>
      <c r="E13" s="75" t="n"/>
      <c r="F13" s="75" t="n"/>
      <c r="G13" s="75" t="n"/>
      <c r="H13" s="75" t="n"/>
      <c r="I13" s="88" t="n"/>
      <c r="J13" s="88" t="n"/>
      <c r="K13" s="88" t="n"/>
      <c r="L13" s="88" t="n"/>
      <c r="M13" s="88" t="n"/>
      <c r="N13" s="88" t="n"/>
      <c r="O13" s="88" t="n"/>
      <c r="P13" s="88" t="n"/>
      <c r="Q13" s="88" t="n"/>
      <c r="R13" s="88" t="n"/>
      <c r="S13" s="88" t="n"/>
      <c r="T13" s="88" t="n"/>
      <c r="U13" s="88" t="n"/>
      <c r="V13" s="88" t="n"/>
      <c r="W13" s="88" t="n"/>
      <c r="X13" s="88" t="n"/>
      <c r="Y13" s="88" t="n"/>
      <c r="Z13" s="75" t="n"/>
      <c r="AA13" s="88" t="n"/>
      <c r="AB13" s="88" t="n"/>
      <c r="AC13" s="88" t="n"/>
      <c r="AD13" s="88" t="n"/>
      <c r="AE13" s="88" t="n"/>
      <c r="AF13" s="88" t="n"/>
      <c r="AG13" s="88" t="n"/>
      <c r="AH13" s="88" t="n"/>
      <c r="AI13" s="88" t="n"/>
      <c r="AJ13" s="88" t="n"/>
      <c r="AK13" s="75" t="n"/>
      <c r="AL13" s="75" t="n"/>
      <c r="AT13" s="78" t="n"/>
      <c r="AZ13" s="75" t="n"/>
    </row>
    <row r="14" ht="23.25" customFormat="1" customHeight="1" s="40" thickBot="1">
      <c r="B14" s="75" t="n"/>
      <c r="C14" s="75" t="n"/>
      <c r="D14" s="75" t="n"/>
      <c r="E14" s="75" t="n"/>
      <c r="F14" s="75" t="n"/>
      <c r="G14" s="75" t="n"/>
      <c r="H14" s="75" t="n"/>
      <c r="I14" s="88" t="n"/>
      <c r="J14" s="88" t="n"/>
      <c r="K14" s="88" t="n"/>
      <c r="L14" s="88" t="n"/>
      <c r="M14" s="88" t="n"/>
      <c r="N14" s="88" t="n"/>
      <c r="O14" s="88" t="n"/>
      <c r="P14" s="88" t="n"/>
      <c r="Q14" s="88" t="n"/>
      <c r="R14" s="88" t="n"/>
      <c r="S14" s="88" t="n"/>
      <c r="T14" s="88" t="n"/>
      <c r="U14" s="88" t="n"/>
      <c r="V14" s="88" t="n"/>
      <c r="W14" s="88" t="n"/>
      <c r="X14" s="88" t="n"/>
      <c r="Y14" s="88" t="n"/>
      <c r="Z14" s="75" t="n"/>
      <c r="AA14" s="88" t="n"/>
      <c r="AB14" s="88" t="n"/>
      <c r="AC14" s="88" t="n"/>
      <c r="AD14" s="88" t="n"/>
      <c r="AE14" s="88" t="n"/>
      <c r="AF14" s="88" t="n"/>
      <c r="AG14" s="88" t="n"/>
      <c r="AH14" s="88" t="n"/>
      <c r="AI14" s="88" t="n"/>
      <c r="AJ14" s="88" t="n"/>
      <c r="AK14" s="149" t="inlineStr">
        <is>
          <t>總日數</t>
        </is>
      </c>
      <c r="AL14" s="150" t="inlineStr">
        <is>
          <t>總時數</t>
        </is>
      </c>
      <c r="AR14" s="96" t="n"/>
      <c r="AS14" s="112" t="n"/>
      <c r="AT14" s="69" t="n"/>
      <c r="AU14" s="112" t="n"/>
      <c r="AV14" s="112" t="n"/>
      <c r="AW14" s="112" t="n"/>
      <c r="AZ14" s="75" t="n"/>
    </row>
    <row r="15" ht="23.25" customHeight="1" s="506">
      <c r="B15" s="518" t="inlineStr">
        <is>
          <t>保安主任每日工作(實際)總人數</t>
        </is>
      </c>
      <c r="C15" s="519" t="n"/>
      <c r="D15" s="520" t="n"/>
      <c r="E15" s="438" t="n"/>
      <c r="F15" s="438" t="n"/>
      <c r="G15" s="438" t="n"/>
      <c r="H15" s="153" t="inlineStr">
        <is>
          <t>GS</t>
        </is>
      </c>
      <c r="I15" s="154">
        <f>COUNT(I8:I11)</f>
        <v/>
      </c>
      <c r="J15" s="154">
        <f>COUNT(J8:J11)</f>
        <v/>
      </c>
      <c r="K15" s="154">
        <f>COUNT(K8:K11)</f>
        <v/>
      </c>
      <c r="L15" s="154">
        <f>COUNT(L8:L11)</f>
        <v/>
      </c>
      <c r="M15" s="154">
        <f>COUNT(M8:M11)</f>
        <v/>
      </c>
      <c r="N15" s="154">
        <f>COUNT(N8:N11)</f>
        <v/>
      </c>
      <c r="O15" s="154">
        <f>COUNT(O8:O11)</f>
        <v/>
      </c>
      <c r="P15" s="154">
        <f>COUNT(P8:P11)</f>
        <v/>
      </c>
      <c r="Q15" s="154">
        <f>COUNT(Q8:Q11)</f>
        <v/>
      </c>
      <c r="R15" s="154">
        <f>COUNT(R8:R11)</f>
        <v/>
      </c>
      <c r="S15" s="154">
        <f>COUNT(S8:S11)</f>
        <v/>
      </c>
      <c r="T15" s="154">
        <f>COUNT(T8:T11)</f>
        <v/>
      </c>
      <c r="U15" s="154">
        <f>COUNT(U8:U11)</f>
        <v/>
      </c>
      <c r="V15" s="154">
        <f>COUNT(V8:V11)</f>
        <v/>
      </c>
      <c r="W15" s="154">
        <f>COUNT(W8:W11)</f>
        <v/>
      </c>
      <c r="X15" s="154">
        <f>COUNT(X8:X11)</f>
        <v/>
      </c>
      <c r="Y15" s="154">
        <f>COUNT(Y8:Y11)</f>
        <v/>
      </c>
      <c r="Z15" s="154">
        <f>COUNT(Z8:Z11)</f>
        <v/>
      </c>
      <c r="AA15" s="154">
        <f>COUNT(AA8:AA11)</f>
        <v/>
      </c>
      <c r="AB15" s="154">
        <f>COUNT(AB8:AB11)</f>
        <v/>
      </c>
      <c r="AC15" s="154">
        <f>COUNT(AC8:AC11)</f>
        <v/>
      </c>
      <c r="AD15" s="154">
        <f>COUNT(AD8:AD11)</f>
        <v/>
      </c>
      <c r="AE15" s="154">
        <f>COUNT(AE8:AE11)</f>
        <v/>
      </c>
      <c r="AF15" s="154">
        <f>COUNT(AF8:AF11)</f>
        <v/>
      </c>
      <c r="AG15" s="154">
        <f>COUNT(AG8:AG11)</f>
        <v/>
      </c>
      <c r="AH15" s="154">
        <f>COUNT(AH8:AH11)</f>
        <v/>
      </c>
      <c r="AI15" s="154">
        <f>COUNT(AI8:AI11)</f>
        <v/>
      </c>
      <c r="AJ15" s="154">
        <f>COUNT(AJ8:AJ11)</f>
        <v/>
      </c>
      <c r="AK15" s="155">
        <f>SUM(I15:AJ15)</f>
        <v/>
      </c>
      <c r="AL15" s="151">
        <f>AK15*8</f>
        <v/>
      </c>
      <c r="AR15" s="3" t="n"/>
      <c r="AS15" s="3" t="n"/>
      <c r="AT15" s="107" t="n"/>
      <c r="AU15" s="3" t="n"/>
      <c r="AZ15" s="75" t="n"/>
    </row>
    <row r="16" ht="23.25" customHeight="1" s="506">
      <c r="B16" s="521" t="inlineStr">
        <is>
          <t>保安主任每日工作(要求)總人數</t>
        </is>
      </c>
      <c r="C16" s="522" t="n"/>
      <c r="D16" s="523" t="n"/>
      <c r="E16" s="441" t="n"/>
      <c r="F16" s="441" t="n"/>
      <c r="G16" s="441" t="n"/>
      <c r="H16" s="158" t="n"/>
      <c r="I16" s="159" t="n">
        <v>2</v>
      </c>
      <c r="J16" s="160" t="n">
        <v>2</v>
      </c>
      <c r="K16" s="160" t="n">
        <v>2</v>
      </c>
      <c r="L16" s="160" t="n">
        <v>2</v>
      </c>
      <c r="M16" s="160" t="n">
        <v>2</v>
      </c>
      <c r="N16" s="160" t="n">
        <v>2</v>
      </c>
      <c r="O16" s="160" t="n">
        <v>2</v>
      </c>
      <c r="P16" s="160" t="n">
        <v>2</v>
      </c>
      <c r="Q16" s="160" t="n">
        <v>2</v>
      </c>
      <c r="R16" s="160" t="n">
        <v>2</v>
      </c>
      <c r="S16" s="160" t="n">
        <v>2</v>
      </c>
      <c r="T16" s="160" t="n">
        <v>2</v>
      </c>
      <c r="U16" s="160" t="n">
        <v>2</v>
      </c>
      <c r="V16" s="160" t="n">
        <v>2</v>
      </c>
      <c r="W16" s="160" t="n">
        <v>2</v>
      </c>
      <c r="X16" s="160" t="n">
        <v>2</v>
      </c>
      <c r="Y16" s="160" t="n">
        <v>2</v>
      </c>
      <c r="Z16" s="160" t="n">
        <v>2</v>
      </c>
      <c r="AA16" s="160" t="n">
        <v>2</v>
      </c>
      <c r="AB16" s="160" t="n">
        <v>2</v>
      </c>
      <c r="AC16" s="160" t="n">
        <v>2</v>
      </c>
      <c r="AD16" s="160" t="n">
        <v>2</v>
      </c>
      <c r="AE16" s="160" t="n">
        <v>2</v>
      </c>
      <c r="AF16" s="160" t="n">
        <v>2</v>
      </c>
      <c r="AG16" s="160" t="n">
        <v>2</v>
      </c>
      <c r="AH16" s="160" t="n">
        <v>2</v>
      </c>
      <c r="AI16" s="160" t="n">
        <v>2</v>
      </c>
      <c r="AJ16" s="161" t="n">
        <v>2</v>
      </c>
      <c r="AK16" s="162">
        <f>SUM(I16:AJ16)</f>
        <v/>
      </c>
      <c r="AL16" s="156">
        <f>AK16*8</f>
        <v/>
      </c>
      <c r="AR16" s="3" t="n"/>
      <c r="AS16" s="3" t="n"/>
      <c r="AT16" s="107" t="n"/>
      <c r="AU16" s="3" t="n"/>
      <c r="AZ16" s="75" t="n"/>
    </row>
    <row r="17" ht="23.25" customHeight="1" s="506" thickBot="1">
      <c r="B17" s="524" t="inlineStr">
        <is>
          <t>保安主任每日工作(缺勤)總人數</t>
        </is>
      </c>
      <c r="C17" s="525" t="n"/>
      <c r="D17" s="526" t="n"/>
      <c r="E17" s="444" t="n"/>
      <c r="F17" s="444" t="n"/>
      <c r="G17" s="444" t="n"/>
      <c r="H17" s="164" t="n"/>
      <c r="I17" s="527">
        <f>IF((I15-I16)&lt;0,I15-I16,0)</f>
        <v/>
      </c>
      <c r="J17" s="527">
        <f>IF((J15-J16)&lt;0,J15-J16,0)</f>
        <v/>
      </c>
      <c r="K17" s="527">
        <f>IF((K15-K16)&lt;0,K15-K16,0)</f>
        <v/>
      </c>
      <c r="L17" s="527">
        <f>IF((L15-L16)&lt;0,L15-L16,0)</f>
        <v/>
      </c>
      <c r="M17" s="527">
        <f>IF((M15-M16)&lt;0,M15-M16,0)</f>
        <v/>
      </c>
      <c r="N17" s="527">
        <f>IF((N15-N16)&lt;0,N15-N16,0)</f>
        <v/>
      </c>
      <c r="O17" s="527">
        <f>IF((O15-O16)&lt;0,O15-O16,0)</f>
        <v/>
      </c>
      <c r="P17" s="527">
        <f>IF((P15-P16)&lt;0,P15-P16,0)</f>
        <v/>
      </c>
      <c r="Q17" s="527">
        <f>IF((Q15-Q16)&lt;0,Q15-Q16,0)</f>
        <v/>
      </c>
      <c r="R17" s="527">
        <f>IF((R15-R16)&lt;0,R15-R16,0)</f>
        <v/>
      </c>
      <c r="S17" s="527">
        <f>IF((S15-S16)&lt;0,S15-S16,0)</f>
        <v/>
      </c>
      <c r="T17" s="527">
        <f>IF((T15-T16)&lt;0,T15-T16,0)</f>
        <v/>
      </c>
      <c r="U17" s="527">
        <f>IF((U15-U16)&lt;0,U15-U16,0)</f>
        <v/>
      </c>
      <c r="V17" s="527">
        <f>IF((V15-V16)&lt;0,V15-V16,0)</f>
        <v/>
      </c>
      <c r="W17" s="527">
        <f>IF((W15-W16)&lt;0,W15-W16,0)</f>
        <v/>
      </c>
      <c r="X17" s="527">
        <f>IF((X15-X16)&lt;0,X15-X16,0)</f>
        <v/>
      </c>
      <c r="Y17" s="527">
        <f>IF((Y15-Y16)&lt;0,Y15-Y16,0)</f>
        <v/>
      </c>
      <c r="Z17" s="527">
        <f>IF((Z15-Z16)&lt;0,Z15-Z16,0)</f>
        <v/>
      </c>
      <c r="AA17" s="527">
        <f>IF((AA15-AA16)&lt;0,AA15-AA16,0)</f>
        <v/>
      </c>
      <c r="AB17" s="527">
        <f>IF((AB15-AB16)&lt;0,AB15-AB16,0)</f>
        <v/>
      </c>
      <c r="AC17" s="527">
        <f>IF((AC15-AC16)&lt;0,AC15-AC16,0)</f>
        <v/>
      </c>
      <c r="AD17" s="527">
        <f>IF((AD15-AD16)&lt;0,AD15-AD16,0)</f>
        <v/>
      </c>
      <c r="AE17" s="527">
        <f>IF((AE15-AE16)&lt;0,AE15-AE16,0)</f>
        <v/>
      </c>
      <c r="AF17" s="527">
        <f>IF((AF15-AF16)&lt;0,AF15-AF16,0)</f>
        <v/>
      </c>
      <c r="AG17" s="527">
        <f>IF((AG15-AG16)&lt;0,AG15-AG16,0)</f>
        <v/>
      </c>
      <c r="AH17" s="527">
        <f>IF((AH15-AH16)&lt;0,AH15-AH16,0)</f>
        <v/>
      </c>
      <c r="AI17" s="527">
        <f>IF((AI15-AI16)&lt;0,AI15-AI16,0)</f>
        <v/>
      </c>
      <c r="AJ17" s="527">
        <f>IF((AJ15-AJ16)&lt;0,AJ15-AJ16,0)</f>
        <v/>
      </c>
      <c r="AK17" s="166">
        <f>SUM(I17:AJ17)</f>
        <v/>
      </c>
      <c r="AL17" s="528">
        <f>AK17*8</f>
        <v/>
      </c>
      <c r="AR17" s="3" t="n"/>
      <c r="AS17" s="3" t="n"/>
      <c r="AT17" s="107" t="n"/>
      <c r="AU17" s="3" t="n"/>
      <c r="AZ17" s="75" t="n"/>
    </row>
    <row r="18" ht="30" customHeight="1" s="506">
      <c r="B18" s="168" t="n"/>
      <c r="C18" s="168" t="n"/>
      <c r="D18" s="168" t="n"/>
      <c r="E18" s="168" t="n"/>
      <c r="F18" s="168" t="n"/>
      <c r="G18" s="168" t="n"/>
      <c r="H18" s="169" t="n"/>
      <c r="I18" s="529" t="n"/>
      <c r="J18" s="529" t="n"/>
      <c r="K18" s="529" t="n"/>
      <c r="L18" s="529" t="n"/>
      <c r="M18" s="529" t="n"/>
      <c r="N18" s="529" t="n"/>
      <c r="O18" s="529" t="n"/>
      <c r="P18" s="529" t="n"/>
      <c r="Q18" s="529" t="n"/>
      <c r="R18" s="529" t="n"/>
      <c r="S18" s="529" t="n"/>
      <c r="T18" s="529" t="n"/>
      <c r="U18" s="529" t="n"/>
      <c r="V18" s="529" t="n"/>
      <c r="W18" s="529" t="n"/>
      <c r="X18" s="529" t="n"/>
      <c r="Y18" s="529" t="n"/>
      <c r="Z18" s="529" t="n"/>
      <c r="AA18" s="529" t="n"/>
      <c r="AB18" s="529" t="n"/>
      <c r="AC18" s="529" t="n"/>
      <c r="AD18" s="529" t="n"/>
      <c r="AE18" s="529" t="n"/>
      <c r="AF18" s="529" t="n"/>
      <c r="AG18" s="529" t="n"/>
      <c r="AH18" s="529" t="n"/>
      <c r="AI18" s="529" t="n"/>
      <c r="AJ18" s="529" t="n"/>
      <c r="AK18" s="171" t="n"/>
      <c r="AL18" s="530" t="n"/>
      <c r="AR18" s="3" t="n"/>
      <c r="AS18" s="3" t="n"/>
      <c r="AT18" s="107" t="n"/>
      <c r="AU18" s="3" t="n"/>
      <c r="AZ18" s="75" t="n"/>
    </row>
    <row r="19" ht="30" customFormat="1" customHeight="1" s="40" thickBot="1">
      <c r="B19" s="108" t="inlineStr">
        <is>
          <t>2. 特別保安員/普通保安員出勤時數</t>
        </is>
      </c>
      <c r="C19" s="75" t="n"/>
      <c r="D19" s="75" t="n"/>
      <c r="E19" s="75" t="n"/>
      <c r="F19" s="75" t="n"/>
      <c r="G19" s="75" t="n"/>
      <c r="H19" s="75" t="n"/>
      <c r="I19" s="88" t="n"/>
      <c r="J19" s="88" t="n"/>
      <c r="K19" s="88" t="n"/>
      <c r="L19" s="88" t="n"/>
      <c r="M19" s="88" t="n"/>
      <c r="N19" s="88" t="n"/>
      <c r="O19" s="88" t="n"/>
      <c r="P19" s="88" t="n"/>
      <c r="Q19" s="88" t="n"/>
      <c r="R19" s="88" t="n"/>
      <c r="S19" s="88" t="n"/>
      <c r="T19" s="88" t="n"/>
      <c r="U19" s="88" t="n"/>
      <c r="V19" s="88" t="n"/>
      <c r="W19" s="88" t="n"/>
      <c r="X19" s="88" t="n"/>
      <c r="Y19" s="88" t="n"/>
      <c r="Z19" s="75" t="n"/>
      <c r="AA19" s="88" t="n"/>
      <c r="AB19" s="88" t="n"/>
      <c r="AC19" s="88" t="n"/>
      <c r="AD19" s="88" t="n"/>
      <c r="AE19" s="88" t="n"/>
      <c r="AF19" s="88" t="n"/>
      <c r="AG19" s="88" t="n"/>
      <c r="AH19" s="88" t="n"/>
      <c r="AI19" s="88" t="n"/>
      <c r="AJ19" s="88" t="n"/>
      <c r="AK19" s="75" t="n"/>
      <c r="AL19" s="75" t="n"/>
      <c r="AR19" s="67" t="n"/>
      <c r="AS19" s="113" t="n"/>
      <c r="AT19" s="114" t="n"/>
      <c r="AU19" s="113" t="n"/>
      <c r="AV19" s="113" t="n"/>
      <c r="AW19" s="113" t="n"/>
      <c r="AX19" s="113" t="n"/>
      <c r="AY19" s="113" t="n"/>
      <c r="AZ19" s="78" t="n"/>
    </row>
    <row r="20" ht="25.5" customFormat="1" customHeight="1" s="75">
      <c r="B20" s="378" t="inlineStr">
        <is>
          <t>M03</t>
        </is>
      </c>
      <c r="C20" s="395" t="inlineStr">
        <is>
          <t>0004688</t>
        </is>
      </c>
      <c r="D20" s="420" t="inlineStr">
        <is>
          <t>鍾芬</t>
        </is>
      </c>
      <c r="E20" s="224" t="inlineStr">
        <is>
          <t>SG/G</t>
        </is>
      </c>
      <c r="F20" s="144" t="inlineStr">
        <is>
          <t>SECU_G(D)</t>
        </is>
      </c>
      <c r="G20" s="145" t="n">
        <v>8</v>
      </c>
      <c r="H20" s="330" t="inlineStr">
        <is>
          <t>早</t>
        </is>
      </c>
      <c r="I20" s="214" t="inlineStr">
        <is>
          <t>RD</t>
        </is>
      </c>
      <c r="J20" s="58" t="n">
        <v>8</v>
      </c>
      <c r="K20" s="58" t="n">
        <v>8</v>
      </c>
      <c r="L20" s="58" t="inlineStr">
        <is>
          <t>GS</t>
        </is>
      </c>
      <c r="M20" s="58" t="inlineStr">
        <is>
          <t>GS</t>
        </is>
      </c>
      <c r="N20" s="58" t="n">
        <v>8</v>
      </c>
      <c r="O20" s="58" t="n">
        <v>8</v>
      </c>
      <c r="P20" s="58" t="inlineStr">
        <is>
          <t>RD</t>
        </is>
      </c>
      <c r="Q20" s="58" t="n">
        <v>8</v>
      </c>
      <c r="R20" s="58" t="n">
        <v>8</v>
      </c>
      <c r="S20" s="58" t="inlineStr">
        <is>
          <t>GS</t>
        </is>
      </c>
      <c r="T20" s="58" t="inlineStr">
        <is>
          <t>GS</t>
        </is>
      </c>
      <c r="U20" s="58" t="n">
        <v>8</v>
      </c>
      <c r="V20" s="58" t="n">
        <v>8</v>
      </c>
      <c r="W20" s="58" t="inlineStr">
        <is>
          <t>RD</t>
        </is>
      </c>
      <c r="X20" s="58" t="inlineStr">
        <is>
          <t>GS</t>
        </is>
      </c>
      <c r="Y20" s="58" t="inlineStr">
        <is>
          <t>GS</t>
        </is>
      </c>
      <c r="Z20" s="58" t="n">
        <v>8</v>
      </c>
      <c r="AA20" s="58" t="n">
        <v>8</v>
      </c>
      <c r="AB20" s="58" t="n">
        <v>8</v>
      </c>
      <c r="AC20" s="58" t="n">
        <v>8</v>
      </c>
      <c r="AD20" s="58" t="inlineStr">
        <is>
          <t>RD</t>
        </is>
      </c>
      <c r="AE20" s="58" t="n">
        <v>8</v>
      </c>
      <c r="AF20" s="58" t="n">
        <v>8</v>
      </c>
      <c r="AG20" s="58" t="inlineStr">
        <is>
          <t>GS</t>
        </is>
      </c>
      <c r="AH20" s="58" t="inlineStr">
        <is>
          <t>RD</t>
        </is>
      </c>
      <c r="AI20" s="58" t="n">
        <v>8</v>
      </c>
      <c r="AJ20" s="236" t="n">
        <v>8</v>
      </c>
      <c r="AK20" s="330">
        <f>COUNT(I20:AJ20)</f>
        <v/>
      </c>
      <c r="AL20" s="173">
        <f>SUM(I20:AJ20)</f>
        <v/>
      </c>
      <c r="AM20" s="131">
        <f>COUNTIFS($I20:$AJ20,$AM$6)</f>
        <v/>
      </c>
      <c r="AN20" s="62">
        <f>COUNTIFS($I20:$AJ20,$AN$6)</f>
        <v/>
      </c>
      <c r="AO20" s="62">
        <f>COUNTIFS($I20:$AJ20,$AO$6)</f>
        <v/>
      </c>
      <c r="AP20" s="62">
        <f>COUNTIFS($I20:$AJ20,$AP$6)</f>
        <v/>
      </c>
      <c r="AQ20" s="62">
        <f>COUNTIFS($I20:$AJ20,$AQ$6)</f>
        <v/>
      </c>
      <c r="AR20" s="62" t="n">
        <v>5</v>
      </c>
      <c r="AS20" s="70">
        <f>COUNTIF(I20:AJ20,"RD")</f>
        <v/>
      </c>
      <c r="AT20" s="70">
        <f>AR20-AS20</f>
        <v/>
      </c>
      <c r="AU20" s="70">
        <f>COUNTIF(H20:AJ20,"SH")</f>
        <v/>
      </c>
      <c r="AV20" s="70">
        <f>COUNTIF(I20:AJ20,"SL")</f>
        <v/>
      </c>
      <c r="AW20" s="70">
        <f>COUNTIF(I20:AJ20,"np")</f>
        <v/>
      </c>
      <c r="AX20" s="70">
        <f>COUNTIF(I20:AJ20,"AL*")</f>
        <v/>
      </c>
      <c r="AY20" s="70">
        <f>COUNTIF(I20:AJ20,"NC*")</f>
        <v/>
      </c>
      <c r="AZ20" s="358" t="n"/>
    </row>
    <row r="21" ht="25.5" customFormat="1" customHeight="1" s="75" thickBot="1">
      <c r="B21" s="141" t="inlineStr">
        <is>
          <t>M04</t>
        </is>
      </c>
      <c r="C21" s="383" t="inlineStr">
        <is>
          <t>0004690</t>
        </is>
      </c>
      <c r="D21" s="421" t="inlineStr">
        <is>
          <t>陳鳳連</t>
        </is>
      </c>
      <c r="E21" s="331" t="inlineStr">
        <is>
          <t>SG/G</t>
        </is>
      </c>
      <c r="F21" s="174" t="inlineStr">
        <is>
          <t>SECU_G(D)</t>
        </is>
      </c>
      <c r="G21" s="175" t="n">
        <v>8</v>
      </c>
      <c r="H21" s="128" t="inlineStr">
        <is>
          <t>早</t>
        </is>
      </c>
      <c r="I21" s="300" t="n">
        <v>8</v>
      </c>
      <c r="J21" s="301" t="n">
        <v>8</v>
      </c>
      <c r="K21" s="301" t="n">
        <v>8</v>
      </c>
      <c r="L21" s="301" t="n">
        <v>8</v>
      </c>
      <c r="M21" s="301" t="n">
        <v>8</v>
      </c>
      <c r="N21" s="301" t="n">
        <v>8</v>
      </c>
      <c r="O21" s="301" t="inlineStr">
        <is>
          <t>RD</t>
        </is>
      </c>
      <c r="P21" s="301" t="n">
        <v>8</v>
      </c>
      <c r="Q21" s="301" t="n">
        <v>8</v>
      </c>
      <c r="R21" s="301" t="n">
        <v>8</v>
      </c>
      <c r="S21" s="301" t="n">
        <v>8</v>
      </c>
      <c r="T21" s="301" t="n">
        <v>8</v>
      </c>
      <c r="U21" s="301" t="inlineStr">
        <is>
          <t>RD</t>
        </is>
      </c>
      <c r="V21" s="301" t="n">
        <v>8</v>
      </c>
      <c r="W21" s="301" t="n">
        <v>8</v>
      </c>
      <c r="X21" s="301" t="n">
        <v>8</v>
      </c>
      <c r="Y21" s="301" t="n">
        <v>8</v>
      </c>
      <c r="Z21" s="301" t="inlineStr">
        <is>
          <t>RD</t>
        </is>
      </c>
      <c r="AA21" s="301" t="n">
        <v>8</v>
      </c>
      <c r="AB21" s="301" t="n">
        <v>8</v>
      </c>
      <c r="AC21" s="301" t="n">
        <v>8</v>
      </c>
      <c r="AD21" s="301" t="n">
        <v>8</v>
      </c>
      <c r="AE21" s="301" t="n">
        <v>8</v>
      </c>
      <c r="AF21" s="301" t="n">
        <v>8</v>
      </c>
      <c r="AG21" s="301" t="n">
        <v>8</v>
      </c>
      <c r="AH21" s="301" t="n">
        <v>8</v>
      </c>
      <c r="AI21" s="301" t="inlineStr">
        <is>
          <t>RD</t>
        </is>
      </c>
      <c r="AJ21" s="302" t="n">
        <v>8</v>
      </c>
      <c r="AK21" s="128">
        <f>COUNT(I21:AJ21)</f>
        <v/>
      </c>
      <c r="AL21" s="176">
        <f>SUM(I21:AJ21)</f>
        <v/>
      </c>
      <c r="AM21" s="291">
        <f>COUNTIFS($I21:$AJ21,$AM$6)</f>
        <v/>
      </c>
      <c r="AN21" s="63">
        <f>COUNTIFS($I21:$AJ21,$AN$6)</f>
        <v/>
      </c>
      <c r="AO21" s="63">
        <f>COUNTIFS($I21:$AJ21,$AO$6)</f>
        <v/>
      </c>
      <c r="AP21" s="63">
        <f>COUNTIFS($I21:$AJ21,$AP$6)</f>
        <v/>
      </c>
      <c r="AQ21" s="63">
        <f>COUNTIFS($I21:$AJ21,$AQ$6)</f>
        <v/>
      </c>
      <c r="AR21" s="63">
        <f>AR20</f>
        <v/>
      </c>
      <c r="AS21" s="220">
        <f>COUNTIF(I21:AJ21,"RD")</f>
        <v/>
      </c>
      <c r="AT21" s="220">
        <f>AR21-AS21</f>
        <v/>
      </c>
      <c r="AU21" s="220">
        <f>COUNTIF(H21:AJ21,"SH")</f>
        <v/>
      </c>
      <c r="AV21" s="220">
        <f>COUNTIF(I21:AJ21,"SL")</f>
        <v/>
      </c>
      <c r="AW21" s="220">
        <f>COUNTIF(I21:AJ21,"np")</f>
        <v/>
      </c>
      <c r="AX21" s="220">
        <f>COUNTIF(I21:AJ21,"AL*")</f>
        <v/>
      </c>
      <c r="AY21" s="220">
        <f>COUNTIF(I21:AJ21,"NC*")</f>
        <v/>
      </c>
      <c r="AZ21" s="359" t="n"/>
    </row>
    <row r="22" ht="25.5" customFormat="1" customHeight="1" s="68">
      <c r="B22" s="141" t="inlineStr">
        <is>
          <t>M05</t>
        </is>
      </c>
      <c r="C22" s="396" t="inlineStr">
        <is>
          <t>0004691</t>
        </is>
      </c>
      <c r="D22" s="128" t="inlineStr">
        <is>
          <t>資园秀</t>
        </is>
      </c>
      <c r="E22" s="292" t="inlineStr">
        <is>
          <t>SG/G</t>
        </is>
      </c>
      <c r="F22" s="178" t="inlineStr">
        <is>
          <t>SECU_G(D)</t>
        </is>
      </c>
      <c r="G22" s="179" t="n">
        <v>8</v>
      </c>
      <c r="H22" s="128" t="inlineStr">
        <is>
          <t>早</t>
        </is>
      </c>
      <c r="I22" s="300" t="n">
        <v>8</v>
      </c>
      <c r="J22" s="301" t="n">
        <v>8</v>
      </c>
      <c r="K22" s="301" t="n">
        <v>8</v>
      </c>
      <c r="L22" s="301" t="n">
        <v>8</v>
      </c>
      <c r="M22" s="301" t="inlineStr">
        <is>
          <t>RD</t>
        </is>
      </c>
      <c r="N22" s="301" t="inlineStr">
        <is>
          <t>RD</t>
        </is>
      </c>
      <c r="O22" s="301" t="n">
        <v>8</v>
      </c>
      <c r="P22" s="301" t="n">
        <v>8</v>
      </c>
      <c r="Q22" s="301" t="n">
        <v>8</v>
      </c>
      <c r="R22" s="301" t="n">
        <v>8</v>
      </c>
      <c r="S22" s="301" t="n">
        <v>8</v>
      </c>
      <c r="T22" s="301" t="n">
        <v>8</v>
      </c>
      <c r="U22" s="301" t="n">
        <v>8</v>
      </c>
      <c r="V22" s="301" t="inlineStr">
        <is>
          <t>RD</t>
        </is>
      </c>
      <c r="W22" s="301" t="n">
        <v>8</v>
      </c>
      <c r="X22" s="301" t="n">
        <v>8</v>
      </c>
      <c r="Y22" s="301" t="n">
        <v>8</v>
      </c>
      <c r="Z22" s="301" t="n">
        <v>8</v>
      </c>
      <c r="AA22" s="301" t="n">
        <v>8</v>
      </c>
      <c r="AB22" s="301" t="inlineStr">
        <is>
          <t>RD</t>
        </is>
      </c>
      <c r="AC22" s="301" t="n">
        <v>8</v>
      </c>
      <c r="AD22" s="301" t="n">
        <v>8</v>
      </c>
      <c r="AE22" s="301" t="n">
        <v>8</v>
      </c>
      <c r="AF22" s="301" t="n">
        <v>8</v>
      </c>
      <c r="AG22" s="301" t="n">
        <v>8</v>
      </c>
      <c r="AH22" s="301" t="n">
        <v>8</v>
      </c>
      <c r="AI22" s="301" t="n">
        <v>8</v>
      </c>
      <c r="AJ22" s="302" t="n">
        <v>8</v>
      </c>
      <c r="AK22" s="426">
        <f>COUNT(I22:AJ22)</f>
        <v/>
      </c>
      <c r="AL22" s="180">
        <f>SUM(I22:AJ22)</f>
        <v/>
      </c>
      <c r="AM22" s="292">
        <f>COUNTIFS($I22:$AJ22,$AM$6)</f>
        <v/>
      </c>
      <c r="AN22" s="178">
        <f>COUNTIFS($I22:$AJ22,$AN$6)</f>
        <v/>
      </c>
      <c r="AO22" s="178">
        <f>COUNTIFS($I22:$AJ22,$AO$6)</f>
        <v/>
      </c>
      <c r="AP22" s="178">
        <f>COUNTIFS($I22:$AJ22,$AP$6)</f>
        <v/>
      </c>
      <c r="AQ22" s="178">
        <f>COUNTIFS($I22:$AJ22,$AQ$6)</f>
        <v/>
      </c>
      <c r="AR22" s="63">
        <f>AR21</f>
        <v/>
      </c>
      <c r="AS22" s="221">
        <f>COUNTIF(I22:AJ22,"RD")</f>
        <v/>
      </c>
      <c r="AT22" s="221">
        <f>AR22-AS22</f>
        <v/>
      </c>
      <c r="AU22" s="221">
        <f>COUNTIF(H22:AJ22,"SH")</f>
        <v/>
      </c>
      <c r="AV22" s="221">
        <f>COUNTIF(I22:AJ22,"SL")</f>
        <v/>
      </c>
      <c r="AW22" s="221">
        <f>COUNTIF(I22:AJ22,"np")</f>
        <v/>
      </c>
      <c r="AX22" s="221">
        <f>COUNTIF(I22:AJ22,"AL*")</f>
        <v/>
      </c>
      <c r="AY22" s="221">
        <f>COUNTIF(I22:AJ22,"NC*")</f>
        <v/>
      </c>
      <c r="AZ22" s="360" t="n"/>
    </row>
    <row r="23" ht="25.5" customFormat="1" customHeight="1" s="75">
      <c r="A23" s="227" t="inlineStr">
        <is>
          <t xml:space="preserve"> </t>
        </is>
      </c>
      <c r="B23" s="141" t="inlineStr">
        <is>
          <t>M06</t>
        </is>
      </c>
      <c r="C23" s="396" t="inlineStr">
        <is>
          <t>0004662</t>
        </is>
      </c>
      <c r="D23" s="128" t="inlineStr">
        <is>
          <t>梁彩娟</t>
        </is>
      </c>
      <c r="E23" s="291" t="inlineStr">
        <is>
          <t>SG/G</t>
        </is>
      </c>
      <c r="F23" s="63" t="inlineStr">
        <is>
          <t>SECU_G(D)</t>
        </is>
      </c>
      <c r="G23" s="182" t="n">
        <v>8</v>
      </c>
      <c r="H23" s="128" t="inlineStr">
        <is>
          <t>早</t>
        </is>
      </c>
      <c r="I23" s="300" t="inlineStr">
        <is>
          <t>RD</t>
        </is>
      </c>
      <c r="J23" s="301" t="n">
        <v>8</v>
      </c>
      <c r="K23" s="301" t="n">
        <v>8</v>
      </c>
      <c r="L23" s="301" t="n">
        <v>8</v>
      </c>
      <c r="M23" s="301" t="n">
        <v>8</v>
      </c>
      <c r="N23" s="301" t="n">
        <v>8</v>
      </c>
      <c r="O23" s="301" t="inlineStr">
        <is>
          <t>RD</t>
        </is>
      </c>
      <c r="P23" s="301" t="inlineStr">
        <is>
          <t>FS</t>
        </is>
      </c>
      <c r="Q23" s="301" t="n">
        <v>8</v>
      </c>
      <c r="R23" s="301" t="n">
        <v>8</v>
      </c>
      <c r="S23" s="301" t="n">
        <v>8</v>
      </c>
      <c r="T23" s="301" t="n">
        <v>8</v>
      </c>
      <c r="U23" s="301" t="n">
        <v>8</v>
      </c>
      <c r="V23" s="301" t="n">
        <v>8</v>
      </c>
      <c r="W23" s="301" t="inlineStr">
        <is>
          <t>FS</t>
        </is>
      </c>
      <c r="X23" s="301" t="inlineStr">
        <is>
          <t>RD</t>
        </is>
      </c>
      <c r="Y23" s="301" t="n">
        <v>8</v>
      </c>
      <c r="Z23" s="301" t="n">
        <v>8</v>
      </c>
      <c r="AA23" s="301" t="n">
        <v>8</v>
      </c>
      <c r="AB23" s="301" t="n">
        <v>8</v>
      </c>
      <c r="AC23" s="301" t="n">
        <v>8</v>
      </c>
      <c r="AD23" s="301" t="inlineStr">
        <is>
          <t>FS</t>
        </is>
      </c>
      <c r="AE23" s="301" t="inlineStr">
        <is>
          <t>RD</t>
        </is>
      </c>
      <c r="AF23" s="301" t="n">
        <v>8</v>
      </c>
      <c r="AG23" s="301" t="n">
        <v>8</v>
      </c>
      <c r="AH23" s="301" t="inlineStr">
        <is>
          <t>FS</t>
        </is>
      </c>
      <c r="AI23" s="301" t="n">
        <v>8</v>
      </c>
      <c r="AJ23" s="302" t="inlineStr">
        <is>
          <t>RD</t>
        </is>
      </c>
      <c r="AK23" s="128">
        <f>COUNT(I23:AJ23)</f>
        <v/>
      </c>
      <c r="AL23" s="176">
        <f>SUM(I23:AJ23)</f>
        <v/>
      </c>
      <c r="AM23" s="291">
        <f>COUNTIFS($I23:$AJ23,$AM$6)</f>
        <v/>
      </c>
      <c r="AN23" s="63">
        <f>COUNTIFS($I23:$AJ23,$AN$6)</f>
        <v/>
      </c>
      <c r="AO23" s="63">
        <f>COUNTIFS($I23:$AJ23,$AO$6)</f>
        <v/>
      </c>
      <c r="AP23" s="63">
        <f>COUNTIFS($I23:$AJ23,$AP$6)</f>
        <v/>
      </c>
      <c r="AQ23" s="63">
        <f>COUNTIFS($I23:$AJ23,$AQ$6)</f>
        <v/>
      </c>
      <c r="AR23" s="63">
        <f>AR22</f>
        <v/>
      </c>
      <c r="AS23" s="221">
        <f>COUNTIF(I23:AJ23,"RD")</f>
        <v/>
      </c>
      <c r="AT23" s="221">
        <f>AR23-AS23</f>
        <v/>
      </c>
      <c r="AU23" s="221">
        <f>COUNTIF(H23:AJ23,"SH")</f>
        <v/>
      </c>
      <c r="AV23" s="221">
        <f>COUNTIF(I23:AJ23,"SL")</f>
        <v/>
      </c>
      <c r="AW23" s="221">
        <f>COUNTIF(I23:AJ23,"np")</f>
        <v/>
      </c>
      <c r="AX23" s="221">
        <f>COUNTIF(I23:AJ23,"AL*")</f>
        <v/>
      </c>
      <c r="AY23" s="221">
        <f>COUNTIF(I23:AJ23,"NC*")</f>
        <v/>
      </c>
      <c r="AZ23" s="360" t="n"/>
    </row>
    <row r="24" ht="25.5" customFormat="1" customHeight="1" s="75">
      <c r="B24" s="141" t="inlineStr">
        <is>
          <t>M07</t>
        </is>
      </c>
      <c r="C24" s="396" t="inlineStr">
        <is>
          <t>0004667</t>
        </is>
      </c>
      <c r="D24" s="128" t="inlineStr">
        <is>
          <t>方潔梅</t>
        </is>
      </c>
      <c r="E24" s="291" t="inlineStr">
        <is>
          <t>SG/G</t>
        </is>
      </c>
      <c r="F24" s="63" t="inlineStr">
        <is>
          <t>SECU_G(D)</t>
        </is>
      </c>
      <c r="G24" s="182" t="n">
        <v>8</v>
      </c>
      <c r="H24" s="128" t="inlineStr">
        <is>
          <t>早</t>
        </is>
      </c>
      <c r="I24" s="300" t="n">
        <v>8</v>
      </c>
      <c r="J24" s="301" t="n">
        <v>8</v>
      </c>
      <c r="K24" s="301" t="n">
        <v>8</v>
      </c>
      <c r="L24" s="301" t="n">
        <v>8</v>
      </c>
      <c r="M24" s="301" t="n">
        <v>8</v>
      </c>
      <c r="N24" s="301" t="n">
        <v>8</v>
      </c>
      <c r="O24" s="301" t="inlineStr">
        <is>
          <t>RD</t>
        </is>
      </c>
      <c r="P24" s="301" t="n">
        <v>8</v>
      </c>
      <c r="Q24" s="301" t="n">
        <v>8</v>
      </c>
      <c r="R24" s="301" t="n">
        <v>8</v>
      </c>
      <c r="S24" s="301" t="inlineStr">
        <is>
          <t>RD</t>
        </is>
      </c>
      <c r="T24" s="301" t="n">
        <v>8</v>
      </c>
      <c r="U24" s="301" t="n">
        <v>8</v>
      </c>
      <c r="V24" s="301" t="n">
        <v>8</v>
      </c>
      <c r="W24" s="301" t="n">
        <v>8</v>
      </c>
      <c r="X24" s="301" t="n">
        <v>8</v>
      </c>
      <c r="Y24" s="301" t="n">
        <v>8</v>
      </c>
      <c r="Z24" s="301" t="inlineStr">
        <is>
          <t>RD</t>
        </is>
      </c>
      <c r="AA24" s="301" t="n">
        <v>8</v>
      </c>
      <c r="AB24" s="301" t="n">
        <v>8</v>
      </c>
      <c r="AC24" s="301" t="inlineStr">
        <is>
          <t>RD</t>
        </is>
      </c>
      <c r="AD24" s="301" t="n">
        <v>8</v>
      </c>
      <c r="AE24" s="301" t="n">
        <v>8</v>
      </c>
      <c r="AF24" s="301" t="n">
        <v>8</v>
      </c>
      <c r="AG24" s="301" t="inlineStr">
        <is>
          <t>RD</t>
        </is>
      </c>
      <c r="AH24" s="301" t="n">
        <v>8</v>
      </c>
      <c r="AI24" s="301" t="n">
        <v>8</v>
      </c>
      <c r="AJ24" s="302" t="n">
        <v>8</v>
      </c>
      <c r="AK24" s="128">
        <f>COUNT(I24:AJ24)</f>
        <v/>
      </c>
      <c r="AL24" s="176">
        <f>SUM(I24:AJ24)</f>
        <v/>
      </c>
      <c r="AM24" s="291">
        <f>COUNTIFS($I24:$AJ24,$AM$6)</f>
        <v/>
      </c>
      <c r="AN24" s="63">
        <f>COUNTIFS($I24:$AJ24,$AN$6)</f>
        <v/>
      </c>
      <c r="AO24" s="63">
        <f>COUNTIFS($I24:$AJ24,$AO$6)</f>
        <v/>
      </c>
      <c r="AP24" s="63">
        <f>COUNTIFS($I24:$AJ24,$AP$6)</f>
        <v/>
      </c>
      <c r="AQ24" s="63">
        <f>COUNTIFS($I24:$AJ24,$AQ$6)</f>
        <v/>
      </c>
      <c r="AR24" s="63">
        <f>AR23</f>
        <v/>
      </c>
      <c r="AS24" s="221">
        <f>COUNTIF(I24:AJ24,"RD")</f>
        <v/>
      </c>
      <c r="AT24" s="221">
        <f>AR24-AS24</f>
        <v/>
      </c>
      <c r="AU24" s="221">
        <f>COUNTIF(H24:AJ24,"SH")</f>
        <v/>
      </c>
      <c r="AV24" s="221">
        <f>COUNTIF(I24:AJ24,"SL")</f>
        <v/>
      </c>
      <c r="AW24" s="221">
        <f>COUNTIF(I24:AJ24,"np")</f>
        <v/>
      </c>
      <c r="AX24" s="221">
        <f>COUNTIF(I24:AJ24,"AL*")</f>
        <v/>
      </c>
      <c r="AY24" s="221">
        <f>COUNTIF(I24:AJ24,"NC*")</f>
        <v/>
      </c>
      <c r="AZ24" s="360" t="n"/>
    </row>
    <row r="25" ht="25.5" customFormat="1" customHeight="1" s="75">
      <c r="B25" s="141" t="inlineStr">
        <is>
          <t>M08</t>
        </is>
      </c>
      <c r="C25" s="396" t="inlineStr">
        <is>
          <t>0004666</t>
        </is>
      </c>
      <c r="D25" s="128" t="inlineStr">
        <is>
          <t>李小紅</t>
        </is>
      </c>
      <c r="E25" s="291" t="inlineStr">
        <is>
          <t>SG/G</t>
        </is>
      </c>
      <c r="F25" s="63" t="inlineStr">
        <is>
          <t>SECU_G(D)</t>
        </is>
      </c>
      <c r="G25" s="182" t="n">
        <v>8</v>
      </c>
      <c r="H25" s="128" t="inlineStr">
        <is>
          <t>早</t>
        </is>
      </c>
      <c r="I25" s="300" t="n">
        <v>8</v>
      </c>
      <c r="J25" s="301" t="n">
        <v>8</v>
      </c>
      <c r="K25" s="301" t="n">
        <v>8</v>
      </c>
      <c r="L25" s="301" t="inlineStr">
        <is>
          <t>RD</t>
        </is>
      </c>
      <c r="M25" s="301" t="n">
        <v>8</v>
      </c>
      <c r="N25" s="301" t="n">
        <v>8</v>
      </c>
      <c r="O25" s="301" t="n">
        <v>8</v>
      </c>
      <c r="P25" s="301" t="n">
        <v>8</v>
      </c>
      <c r="Q25" s="301" t="n">
        <v>8</v>
      </c>
      <c r="R25" s="301" t="inlineStr">
        <is>
          <t>RD</t>
        </is>
      </c>
      <c r="S25" s="301" t="n">
        <v>8</v>
      </c>
      <c r="T25" s="301" t="n">
        <v>8</v>
      </c>
      <c r="U25" s="301" t="n">
        <v>8</v>
      </c>
      <c r="V25" s="301" t="inlineStr">
        <is>
          <t>RD</t>
        </is>
      </c>
      <c r="W25" s="301" t="n">
        <v>8</v>
      </c>
      <c r="X25" s="301" t="n">
        <v>8</v>
      </c>
      <c r="Y25" s="301" t="n">
        <v>8</v>
      </c>
      <c r="Z25" s="301" t="n">
        <v>8</v>
      </c>
      <c r="AA25" s="301" t="n">
        <v>8</v>
      </c>
      <c r="AB25" s="301" t="inlineStr">
        <is>
          <t>RD</t>
        </is>
      </c>
      <c r="AC25" s="301" t="n">
        <v>8</v>
      </c>
      <c r="AD25" s="301" t="n">
        <v>8</v>
      </c>
      <c r="AE25" s="301" t="n">
        <v>8</v>
      </c>
      <c r="AF25" s="301" t="n">
        <v>8</v>
      </c>
      <c r="AG25" s="301" t="n">
        <v>8</v>
      </c>
      <c r="AH25" s="301" t="n">
        <v>8</v>
      </c>
      <c r="AI25" s="301" t="n">
        <v>8</v>
      </c>
      <c r="AJ25" s="302" t="inlineStr">
        <is>
          <t>RD</t>
        </is>
      </c>
      <c r="AK25" s="128">
        <f>COUNT(I25:AJ25)</f>
        <v/>
      </c>
      <c r="AL25" s="176">
        <f>SUM(I25:AJ25)</f>
        <v/>
      </c>
      <c r="AM25" s="291">
        <f>COUNTIFS($I25:$AJ25,$AM$6)</f>
        <v/>
      </c>
      <c r="AN25" s="63">
        <f>COUNTIFS($I25:$AJ25,$AN$6)</f>
        <v/>
      </c>
      <c r="AO25" s="63">
        <f>COUNTIFS($I25:$AJ25,$AO$6)</f>
        <v/>
      </c>
      <c r="AP25" s="63">
        <f>COUNTIFS($I25:$AJ25,$AP$6)</f>
        <v/>
      </c>
      <c r="AQ25" s="63">
        <f>COUNTIFS($I25:$AJ25,$AQ$6)</f>
        <v/>
      </c>
      <c r="AR25" s="63">
        <f>AR24</f>
        <v/>
      </c>
      <c r="AS25" s="221">
        <f>COUNTIF(I25:AJ25,"RD")</f>
        <v/>
      </c>
      <c r="AT25" s="221">
        <f>AR25-AS25</f>
        <v/>
      </c>
      <c r="AU25" s="221">
        <f>COUNTIF(H25:AJ25,"SH")</f>
        <v/>
      </c>
      <c r="AV25" s="221">
        <f>COUNTIF(I25:AJ25,"SL")</f>
        <v/>
      </c>
      <c r="AW25" s="221">
        <f>COUNTIF(I25:AJ25,"np")</f>
        <v/>
      </c>
      <c r="AX25" s="221">
        <f>COUNTIF(I25:AJ25,"AL*")</f>
        <v/>
      </c>
      <c r="AY25" s="221">
        <f>COUNTIF(I25:AJ25,"NC*")</f>
        <v/>
      </c>
      <c r="AZ25" s="360" t="n"/>
    </row>
    <row r="26" ht="25.5" customFormat="1" customHeight="1" s="75">
      <c r="B26" s="141" t="inlineStr">
        <is>
          <t>M09</t>
        </is>
      </c>
      <c r="C26" s="396" t="inlineStr">
        <is>
          <t>0004687</t>
        </is>
      </c>
      <c r="D26" s="128" t="inlineStr">
        <is>
          <t>黎詠甄</t>
        </is>
      </c>
      <c r="E26" s="291" t="inlineStr">
        <is>
          <t>SG/G</t>
        </is>
      </c>
      <c r="F26" s="63" t="inlineStr">
        <is>
          <t>SECU_G(D)</t>
        </is>
      </c>
      <c r="G26" s="182" t="n">
        <v>8</v>
      </c>
      <c r="H26" s="128" t="inlineStr">
        <is>
          <t>早</t>
        </is>
      </c>
      <c r="I26" s="300" t="n">
        <v>8</v>
      </c>
      <c r="J26" s="301" t="inlineStr">
        <is>
          <t>RD</t>
        </is>
      </c>
      <c r="K26" s="301" t="n">
        <v>8</v>
      </c>
      <c r="L26" s="301" t="n">
        <v>8</v>
      </c>
      <c r="M26" s="301" t="n">
        <v>8</v>
      </c>
      <c r="N26" s="301" t="n">
        <v>8</v>
      </c>
      <c r="O26" s="301" t="n">
        <v>8</v>
      </c>
      <c r="P26" s="301" t="n">
        <v>8</v>
      </c>
      <c r="Q26" s="301" t="inlineStr">
        <is>
          <t>RD</t>
        </is>
      </c>
      <c r="R26" s="301" t="inlineStr">
        <is>
          <t>RD</t>
        </is>
      </c>
      <c r="S26" s="301" t="n">
        <v>8</v>
      </c>
      <c r="T26" s="301" t="n">
        <v>8</v>
      </c>
      <c r="U26" s="301" t="n">
        <v>8</v>
      </c>
      <c r="V26" s="301" t="n">
        <v>8</v>
      </c>
      <c r="W26" s="301" t="n">
        <v>8</v>
      </c>
      <c r="X26" s="301" t="n">
        <v>8</v>
      </c>
      <c r="Y26" s="301" t="inlineStr">
        <is>
          <t>RD</t>
        </is>
      </c>
      <c r="Z26" s="301" t="n">
        <v>8</v>
      </c>
      <c r="AA26" s="301" t="n">
        <v>8</v>
      </c>
      <c r="AB26" s="301" t="n">
        <v>8</v>
      </c>
      <c r="AC26" s="301" t="n">
        <v>8</v>
      </c>
      <c r="AD26" s="301" t="n">
        <v>8</v>
      </c>
      <c r="AE26" s="301" t="n">
        <v>8</v>
      </c>
      <c r="AF26" s="301" t="n">
        <v>8</v>
      </c>
      <c r="AG26" s="301" t="n">
        <v>8</v>
      </c>
      <c r="AH26" s="301" t="n">
        <v>8</v>
      </c>
      <c r="AI26" s="301" t="n">
        <v>8</v>
      </c>
      <c r="AJ26" s="302" t="n">
        <v>8</v>
      </c>
      <c r="AK26" s="128">
        <f>COUNT(I26:AJ26)</f>
        <v/>
      </c>
      <c r="AL26" s="176">
        <f>SUM(I26:AJ26)</f>
        <v/>
      </c>
      <c r="AM26" s="291">
        <f>COUNTIFS($I26:$AJ26,$AM$6)</f>
        <v/>
      </c>
      <c r="AN26" s="63">
        <f>COUNTIFS($I26:$AJ26,$AN$6)</f>
        <v/>
      </c>
      <c r="AO26" s="63">
        <f>COUNTIFS($I26:$AJ26,$AO$6)</f>
        <v/>
      </c>
      <c r="AP26" s="63">
        <f>COUNTIFS($I26:$AJ26,$AP$6)</f>
        <v/>
      </c>
      <c r="AQ26" s="63">
        <f>COUNTIFS($I26:$AJ26,$AQ$6)</f>
        <v/>
      </c>
      <c r="AR26" s="63">
        <f>AR25</f>
        <v/>
      </c>
      <c r="AS26" s="221">
        <f>COUNTIF(I26:AJ26,"RD")</f>
        <v/>
      </c>
      <c r="AT26" s="221">
        <f>AR26-AS26</f>
        <v/>
      </c>
      <c r="AU26" s="221">
        <f>COUNTIF(H26:AJ26,"SH")</f>
        <v/>
      </c>
      <c r="AV26" s="221">
        <f>COUNTIF(I26:AJ26,"SL")</f>
        <v/>
      </c>
      <c r="AW26" s="221">
        <f>COUNTIF(I26:AJ26,"np")</f>
        <v/>
      </c>
      <c r="AX26" s="221">
        <f>COUNTIF(I26:AJ26,"AL*")</f>
        <v/>
      </c>
      <c r="AY26" s="221">
        <f>COUNTIF(I26:AJ26,"NC*")</f>
        <v/>
      </c>
      <c r="AZ26" s="360" t="n"/>
    </row>
    <row r="27" ht="25.5" customFormat="1" customHeight="1" s="228">
      <c r="B27" s="394" t="inlineStr">
        <is>
          <t>M10</t>
        </is>
      </c>
      <c r="C27" s="397" t="inlineStr">
        <is>
          <t>0004696</t>
        </is>
      </c>
      <c r="D27" s="128" t="inlineStr">
        <is>
          <t>賀玉蓮</t>
        </is>
      </c>
      <c r="E27" s="332" t="inlineStr">
        <is>
          <t>SG/G</t>
        </is>
      </c>
      <c r="F27" s="183" t="inlineStr">
        <is>
          <t>SECU_G(D)</t>
        </is>
      </c>
      <c r="G27" s="184" t="n">
        <v>8</v>
      </c>
      <c r="H27" s="128" t="inlineStr">
        <is>
          <t>早</t>
        </is>
      </c>
      <c r="I27" s="300" t="n">
        <v>8</v>
      </c>
      <c r="J27" s="301" t="n">
        <v>8</v>
      </c>
      <c r="K27" s="301" t="n">
        <v>8</v>
      </c>
      <c r="L27" s="301" t="inlineStr">
        <is>
          <t>RD</t>
        </is>
      </c>
      <c r="M27" s="301" t="n">
        <v>8</v>
      </c>
      <c r="N27" s="301" t="n">
        <v>8</v>
      </c>
      <c r="O27" s="301" t="n">
        <v>8</v>
      </c>
      <c r="P27" s="301" t="n">
        <v>8</v>
      </c>
      <c r="Q27" s="301" t="n">
        <v>8</v>
      </c>
      <c r="R27" s="301" t="n">
        <v>8</v>
      </c>
      <c r="S27" s="301" t="inlineStr">
        <is>
          <t>RD</t>
        </is>
      </c>
      <c r="T27" s="301" t="inlineStr">
        <is>
          <t>RD</t>
        </is>
      </c>
      <c r="U27" s="301" t="n">
        <v>8</v>
      </c>
      <c r="V27" s="301" t="n">
        <v>8</v>
      </c>
      <c r="W27" s="301" t="n">
        <v>8</v>
      </c>
      <c r="X27" s="301" t="n">
        <v>8</v>
      </c>
      <c r="Y27" s="301" t="n">
        <v>8</v>
      </c>
      <c r="Z27" s="301" t="n">
        <v>8</v>
      </c>
      <c r="AA27" s="301" t="inlineStr">
        <is>
          <t>RD</t>
        </is>
      </c>
      <c r="AB27" s="301" t="n">
        <v>8</v>
      </c>
      <c r="AC27" s="301" t="n">
        <v>8</v>
      </c>
      <c r="AD27" s="301" t="n">
        <v>8</v>
      </c>
      <c r="AE27" s="301" t="n">
        <v>8</v>
      </c>
      <c r="AF27" s="301" t="n">
        <v>8</v>
      </c>
      <c r="AG27" s="301" t="n">
        <v>8</v>
      </c>
      <c r="AH27" s="301" t="n">
        <v>8</v>
      </c>
      <c r="AI27" s="301" t="n">
        <v>8</v>
      </c>
      <c r="AJ27" s="302" t="inlineStr">
        <is>
          <t>RD</t>
        </is>
      </c>
      <c r="AK27" s="427">
        <f>COUNT(I27:AJ27)</f>
        <v/>
      </c>
      <c r="AL27" s="185">
        <f>SUM(I27:AJ27)</f>
        <v/>
      </c>
      <c r="AM27" s="332">
        <f>COUNTIFS($I27:$AJ27,$AM$6)</f>
        <v/>
      </c>
      <c r="AN27" s="183">
        <f>COUNTIFS($I27:$AJ27,$AN$6)</f>
        <v/>
      </c>
      <c r="AO27" s="183">
        <f>COUNTIFS($I27:$AJ27,$AO$6)</f>
        <v/>
      </c>
      <c r="AP27" s="183">
        <f>COUNTIFS($I27:$AJ27,$AP$6)</f>
        <v/>
      </c>
      <c r="AQ27" s="183">
        <f>COUNTIFS($I27:$AJ27,$AQ$6)</f>
        <v/>
      </c>
      <c r="AR27" s="63">
        <f>AR26</f>
        <v/>
      </c>
      <c r="AS27" s="229">
        <f>COUNTIF(I27:AJ27,"RD")</f>
        <v/>
      </c>
      <c r="AT27" s="229">
        <f>AR27-AS27</f>
        <v/>
      </c>
      <c r="AU27" s="229">
        <f>COUNTIF(H27:AJ27,"SH")</f>
        <v/>
      </c>
      <c r="AV27" s="229">
        <f>COUNTIF(I27:AJ27,"SL")</f>
        <v/>
      </c>
      <c r="AW27" s="229">
        <f>COUNTIF(I27:AJ27,"np")</f>
        <v/>
      </c>
      <c r="AX27" s="229">
        <f>COUNTIF(I27:AJ27,"AL*")</f>
        <v/>
      </c>
      <c r="AY27" s="229">
        <f>COUNTIF(I27:AJ27,"NC*")</f>
        <v/>
      </c>
      <c r="AZ27" s="363" t="n"/>
    </row>
    <row r="28" ht="25.5" customFormat="1" customHeight="1" s="75">
      <c r="B28" s="141" t="inlineStr">
        <is>
          <t>M11</t>
        </is>
      </c>
      <c r="C28" s="396" t="inlineStr">
        <is>
          <t>0004685</t>
        </is>
      </c>
      <c r="D28" s="128" t="inlineStr">
        <is>
          <t>錢水英</t>
        </is>
      </c>
      <c r="E28" s="291" t="inlineStr">
        <is>
          <t>SG/G</t>
        </is>
      </c>
      <c r="F28" s="63" t="inlineStr">
        <is>
          <t>SECU_G(D)</t>
        </is>
      </c>
      <c r="G28" s="182" t="n">
        <v>8</v>
      </c>
      <c r="H28" s="128" t="inlineStr">
        <is>
          <t>早</t>
        </is>
      </c>
      <c r="I28" s="300" t="n">
        <v>8</v>
      </c>
      <c r="J28" s="301" t="n">
        <v>8</v>
      </c>
      <c r="K28" s="301" t="inlineStr">
        <is>
          <t>RD</t>
        </is>
      </c>
      <c r="L28" s="301" t="n">
        <v>8</v>
      </c>
      <c r="M28" s="301" t="n">
        <v>8</v>
      </c>
      <c r="N28" s="301" t="n">
        <v>8</v>
      </c>
      <c r="O28" s="301" t="n">
        <v>8</v>
      </c>
      <c r="P28" s="301" t="inlineStr">
        <is>
          <t>RD</t>
        </is>
      </c>
      <c r="Q28" s="301" t="n">
        <v>8</v>
      </c>
      <c r="R28" s="301" t="n">
        <v>8</v>
      </c>
      <c r="S28" s="301" t="n">
        <v>8</v>
      </c>
      <c r="T28" s="301" t="n">
        <v>8</v>
      </c>
      <c r="U28" s="301" t="n">
        <v>8</v>
      </c>
      <c r="V28" s="301" t="inlineStr">
        <is>
          <t>RD</t>
        </is>
      </c>
      <c r="W28" s="301" t="n">
        <v>8</v>
      </c>
      <c r="X28" s="301" t="n">
        <v>8</v>
      </c>
      <c r="Y28" s="301" t="n">
        <v>8</v>
      </c>
      <c r="Z28" s="301" t="n">
        <v>8</v>
      </c>
      <c r="AA28" s="301" t="inlineStr">
        <is>
          <t>RD</t>
        </is>
      </c>
      <c r="AB28" s="301" t="n">
        <v>8</v>
      </c>
      <c r="AC28" s="301" t="n">
        <v>8</v>
      </c>
      <c r="AD28" s="301" t="n">
        <v>8</v>
      </c>
      <c r="AE28" s="301" t="n">
        <v>8</v>
      </c>
      <c r="AF28" s="301" t="n">
        <v>8</v>
      </c>
      <c r="AG28" s="301" t="n">
        <v>8</v>
      </c>
      <c r="AH28" s="301" t="inlineStr">
        <is>
          <t>RD</t>
        </is>
      </c>
      <c r="AI28" s="301" t="n">
        <v>8</v>
      </c>
      <c r="AJ28" s="302" t="n">
        <v>8</v>
      </c>
      <c r="AK28" s="128">
        <f>COUNT(I28:AJ28)</f>
        <v/>
      </c>
      <c r="AL28" s="176">
        <f>SUM(I28:AJ28)</f>
        <v/>
      </c>
      <c r="AM28" s="291">
        <f>COUNTIFS($I28:$AJ28,$AM$6)</f>
        <v/>
      </c>
      <c r="AN28" s="63">
        <f>COUNTIFS($I28:$AJ28,$AN$6)</f>
        <v/>
      </c>
      <c r="AO28" s="63">
        <f>COUNTIFS($I28:$AJ28,$AO$6)</f>
        <v/>
      </c>
      <c r="AP28" s="63">
        <f>COUNTIFS($I28:$AJ28,$AP$6)</f>
        <v/>
      </c>
      <c r="AQ28" s="63">
        <f>COUNTIFS($I28:$AJ28,$AQ$6)</f>
        <v/>
      </c>
      <c r="AR28" s="63">
        <f>AR27</f>
        <v/>
      </c>
      <c r="AS28" s="221">
        <f>COUNTIF(I28:AJ28,"RD")</f>
        <v/>
      </c>
      <c r="AT28" s="221">
        <f>AR28-AS28</f>
        <v/>
      </c>
      <c r="AU28" s="221">
        <f>COUNTIF(H28:AJ28,"SH")</f>
        <v/>
      </c>
      <c r="AV28" s="221">
        <f>COUNTIF(I28:AJ28,"SL")</f>
        <v/>
      </c>
      <c r="AW28" s="221">
        <f>COUNTIF(I28:AJ28,"np")</f>
        <v/>
      </c>
      <c r="AX28" s="221">
        <f>COUNTIF(I28:AJ28,"AL*")</f>
        <v/>
      </c>
      <c r="AY28" s="221">
        <f>COUNTIF(I28:AJ28,"NC*")</f>
        <v/>
      </c>
      <c r="AZ28" s="360" t="n"/>
    </row>
    <row r="29" ht="25.5" customFormat="1" customHeight="1" s="75">
      <c r="B29" s="141" t="inlineStr">
        <is>
          <t>M12</t>
        </is>
      </c>
      <c r="C29" s="396" t="inlineStr">
        <is>
          <t>0004661</t>
        </is>
      </c>
      <c r="D29" s="128" t="inlineStr">
        <is>
          <t>林翠姬</t>
        </is>
      </c>
      <c r="E29" s="291" t="inlineStr">
        <is>
          <t>SG/G</t>
        </is>
      </c>
      <c r="F29" s="63" t="inlineStr">
        <is>
          <t>SECU_G(D)</t>
        </is>
      </c>
      <c r="G29" s="182" t="n">
        <v>8</v>
      </c>
      <c r="H29" s="128" t="inlineStr">
        <is>
          <t>早</t>
        </is>
      </c>
      <c r="I29" s="300" t="n">
        <v>8</v>
      </c>
      <c r="J29" s="301" t="n">
        <v>8</v>
      </c>
      <c r="K29" s="301" t="n">
        <v>8</v>
      </c>
      <c r="L29" s="301" t="inlineStr">
        <is>
          <t>RD</t>
        </is>
      </c>
      <c r="M29" s="301" t="n">
        <v>8</v>
      </c>
      <c r="N29" s="301" t="n">
        <v>8</v>
      </c>
      <c r="O29" s="301" t="n">
        <v>8</v>
      </c>
      <c r="P29" s="301" t="n">
        <v>8</v>
      </c>
      <c r="Q29" s="301" t="n">
        <v>8</v>
      </c>
      <c r="R29" s="301" t="inlineStr">
        <is>
          <t>RD</t>
        </is>
      </c>
      <c r="S29" s="301" t="n">
        <v>8</v>
      </c>
      <c r="T29" s="301" t="n">
        <v>8</v>
      </c>
      <c r="U29" s="301" t="n">
        <v>8</v>
      </c>
      <c r="V29" s="301" t="n">
        <v>8</v>
      </c>
      <c r="W29" s="301" t="n">
        <v>8</v>
      </c>
      <c r="X29" s="301" t="n">
        <v>8</v>
      </c>
      <c r="Y29" s="301" t="n">
        <v>8</v>
      </c>
      <c r="Z29" s="301" t="n">
        <v>8</v>
      </c>
      <c r="AA29" s="301" t="inlineStr">
        <is>
          <t>RD</t>
        </is>
      </c>
      <c r="AB29" s="301" t="inlineStr">
        <is>
          <t>RD</t>
        </is>
      </c>
      <c r="AC29" s="301" t="n">
        <v>8</v>
      </c>
      <c r="AD29" s="301" t="n">
        <v>8</v>
      </c>
      <c r="AE29" s="301" t="n">
        <v>8</v>
      </c>
      <c r="AF29" s="301" t="n">
        <v>8</v>
      </c>
      <c r="AG29" s="301" t="n">
        <v>8</v>
      </c>
      <c r="AH29" s="301" t="n">
        <v>8</v>
      </c>
      <c r="AI29" s="301" t="n">
        <v>8</v>
      </c>
      <c r="AJ29" s="302" t="n">
        <v>8</v>
      </c>
      <c r="AK29" s="128">
        <f>COUNT(I29:AJ29)</f>
        <v/>
      </c>
      <c r="AL29" s="176">
        <f>SUM(I29:AJ29)</f>
        <v/>
      </c>
      <c r="AM29" s="291">
        <f>COUNTIFS($I29:$AJ29,$AM$6)</f>
        <v/>
      </c>
      <c r="AN29" s="63">
        <f>COUNTIFS($I29:$AJ29,$AN$6)</f>
        <v/>
      </c>
      <c r="AO29" s="63">
        <f>COUNTIFS($I29:$AJ29,$AO$6)</f>
        <v/>
      </c>
      <c r="AP29" s="63">
        <f>COUNTIFS($I29:$AJ29,$AP$6)</f>
        <v/>
      </c>
      <c r="AQ29" s="63">
        <f>COUNTIFS($I29:$AJ29,$AQ$6)</f>
        <v/>
      </c>
      <c r="AR29" s="63">
        <f>AR28</f>
        <v/>
      </c>
      <c r="AS29" s="221">
        <f>COUNTIF(I29:AJ29,"RD")</f>
        <v/>
      </c>
      <c r="AT29" s="221">
        <f>AR29-AS29</f>
        <v/>
      </c>
      <c r="AU29" s="221">
        <f>COUNTIF(H29:AJ29,"SH")</f>
        <v/>
      </c>
      <c r="AV29" s="221">
        <f>COUNTIF(I29:AJ29,"SL")</f>
        <v/>
      </c>
      <c r="AW29" s="221">
        <f>COUNTIF(I29:AJ29,"np")</f>
        <v/>
      </c>
      <c r="AX29" s="221">
        <f>COUNTIF(I29:AJ29,"AL*")</f>
        <v/>
      </c>
      <c r="AY29" s="221">
        <f>COUNTIF(I29:AJ29,"NC*")</f>
        <v/>
      </c>
      <c r="AZ29" s="360" t="n"/>
    </row>
    <row r="30" ht="25.5" customFormat="1" customHeight="1" s="75">
      <c r="B30" s="141" t="inlineStr">
        <is>
          <t>M13</t>
        </is>
      </c>
      <c r="C30" s="396" t="inlineStr">
        <is>
          <t>0004668</t>
        </is>
      </c>
      <c r="D30" s="128" t="inlineStr">
        <is>
          <t>何萬莉</t>
        </is>
      </c>
      <c r="E30" s="291" t="inlineStr">
        <is>
          <t>SG/G</t>
        </is>
      </c>
      <c r="F30" s="63" t="inlineStr">
        <is>
          <t>SECU_G(D)</t>
        </is>
      </c>
      <c r="G30" s="182" t="n">
        <v>8</v>
      </c>
      <c r="H30" s="128" t="inlineStr">
        <is>
          <t>早</t>
        </is>
      </c>
      <c r="I30" s="300" t="n">
        <v>8</v>
      </c>
      <c r="J30" s="301" t="n">
        <v>8</v>
      </c>
      <c r="K30" s="301" t="inlineStr">
        <is>
          <t>RD</t>
        </is>
      </c>
      <c r="L30" s="301" t="n">
        <v>8</v>
      </c>
      <c r="M30" s="301" t="n">
        <v>8</v>
      </c>
      <c r="N30" s="301" t="n">
        <v>8</v>
      </c>
      <c r="O30" s="301" t="n">
        <v>8</v>
      </c>
      <c r="P30" s="301" t="n">
        <v>8</v>
      </c>
      <c r="Q30" s="301" t="n">
        <v>8</v>
      </c>
      <c r="R30" s="301" t="n">
        <v>8</v>
      </c>
      <c r="S30" s="301" t="inlineStr">
        <is>
          <t>RD</t>
        </is>
      </c>
      <c r="T30" s="301" t="n">
        <v>8</v>
      </c>
      <c r="U30" s="301" t="n">
        <v>8</v>
      </c>
      <c r="V30" s="301" t="n">
        <v>8</v>
      </c>
      <c r="W30" s="301" t="n">
        <v>8</v>
      </c>
      <c r="X30" s="301" t="n">
        <v>8</v>
      </c>
      <c r="Y30" s="301" t="n">
        <v>8</v>
      </c>
      <c r="Z30" s="301" t="n">
        <v>8</v>
      </c>
      <c r="AA30" s="301" t="n">
        <v>8</v>
      </c>
      <c r="AB30" s="301" t="inlineStr">
        <is>
          <t>RD</t>
        </is>
      </c>
      <c r="AC30" s="301" t="inlineStr">
        <is>
          <t>RD</t>
        </is>
      </c>
      <c r="AD30" s="301" t="inlineStr">
        <is>
          <t>RD</t>
        </is>
      </c>
      <c r="AE30" s="301" t="n">
        <v>8</v>
      </c>
      <c r="AF30" s="301" t="n">
        <v>8</v>
      </c>
      <c r="AG30" s="301" t="n">
        <v>8</v>
      </c>
      <c r="AH30" s="301" t="inlineStr">
        <is>
          <t>NP</t>
        </is>
      </c>
      <c r="AI30" s="301" t="n">
        <v>8</v>
      </c>
      <c r="AJ30" s="302" t="n">
        <v>8</v>
      </c>
      <c r="AK30" s="128">
        <f>COUNT(I30:AJ30)</f>
        <v/>
      </c>
      <c r="AL30" s="176">
        <f>SUM(I30:AJ30)</f>
        <v/>
      </c>
      <c r="AM30" s="291">
        <f>COUNTIFS($I30:$AJ30,$AM$6)</f>
        <v/>
      </c>
      <c r="AN30" s="63">
        <f>COUNTIFS($I30:$AJ30,$AN$6)</f>
        <v/>
      </c>
      <c r="AO30" s="63">
        <f>COUNTIFS($I30:$AJ30,$AO$6)</f>
        <v/>
      </c>
      <c r="AP30" s="63">
        <f>COUNTIFS($I30:$AJ30,$AP$6)</f>
        <v/>
      </c>
      <c r="AQ30" s="63">
        <f>COUNTIFS($I30:$AJ30,$AQ$6)</f>
        <v/>
      </c>
      <c r="AR30" s="63">
        <f>AR29</f>
        <v/>
      </c>
      <c r="AS30" s="221">
        <f>COUNTIF(I30:AJ30,"RD")</f>
        <v/>
      </c>
      <c r="AT30" s="221">
        <f>AR30-AS30</f>
        <v/>
      </c>
      <c r="AU30" s="221">
        <f>COUNTIF(H30:AJ30,"SH")</f>
        <v/>
      </c>
      <c r="AV30" s="221">
        <f>COUNTIF(I30:AJ30,"SL")</f>
        <v/>
      </c>
      <c r="AW30" s="221">
        <f>COUNTIF(I30:AJ30,"np")</f>
        <v/>
      </c>
      <c r="AX30" s="221">
        <f>COUNTIF(I30:AJ30,"AL*")</f>
        <v/>
      </c>
      <c r="AY30" s="221">
        <f>COUNTIF(I30:AJ30,"NC*")</f>
        <v/>
      </c>
      <c r="AZ30" s="360" t="n"/>
    </row>
    <row r="31" ht="25.5" customFormat="1" customHeight="1" s="75">
      <c r="B31" s="141" t="inlineStr">
        <is>
          <t>M14</t>
        </is>
      </c>
      <c r="C31" s="396" t="inlineStr">
        <is>
          <t>0004683</t>
        </is>
      </c>
      <c r="D31" s="128" t="inlineStr">
        <is>
          <t>鍾麗芳</t>
        </is>
      </c>
      <c r="E31" s="291" t="inlineStr">
        <is>
          <t>SG/G</t>
        </is>
      </c>
      <c r="F31" s="63" t="inlineStr">
        <is>
          <t>SECU_G(D)</t>
        </is>
      </c>
      <c r="G31" s="182" t="n">
        <v>8</v>
      </c>
      <c r="H31" s="128" t="inlineStr">
        <is>
          <t>早</t>
        </is>
      </c>
      <c r="I31" s="300" t="n">
        <v>8</v>
      </c>
      <c r="J31" s="301" t="inlineStr">
        <is>
          <t>RD</t>
        </is>
      </c>
      <c r="K31" s="301" t="n">
        <v>8</v>
      </c>
      <c r="L31" s="301" t="n">
        <v>8</v>
      </c>
      <c r="M31" s="301" t="n">
        <v>8</v>
      </c>
      <c r="N31" s="301" t="n">
        <v>8</v>
      </c>
      <c r="O31" s="301" t="n">
        <v>8</v>
      </c>
      <c r="P31" s="301" t="n">
        <v>8</v>
      </c>
      <c r="Q31" s="301" t="inlineStr">
        <is>
          <t>RD</t>
        </is>
      </c>
      <c r="R31" s="301" t="n">
        <v>8</v>
      </c>
      <c r="S31" s="301" t="n">
        <v>8</v>
      </c>
      <c r="T31" s="301" t="n">
        <v>8</v>
      </c>
      <c r="U31" s="301" t="n">
        <v>8</v>
      </c>
      <c r="V31" s="301" t="n">
        <v>8</v>
      </c>
      <c r="W31" s="301" t="n">
        <v>8</v>
      </c>
      <c r="X31" s="301" t="inlineStr">
        <is>
          <t>RD</t>
        </is>
      </c>
      <c r="Y31" s="301" t="n">
        <v>8</v>
      </c>
      <c r="Z31" s="301" t="n">
        <v>8</v>
      </c>
      <c r="AA31" s="301" t="n">
        <v>8</v>
      </c>
      <c r="AB31" s="301" t="n">
        <v>8</v>
      </c>
      <c r="AC31" s="301" t="n">
        <v>8</v>
      </c>
      <c r="AD31" s="301" t="n">
        <v>8</v>
      </c>
      <c r="AE31" s="301" t="inlineStr">
        <is>
          <t>RD</t>
        </is>
      </c>
      <c r="AF31" s="301" t="n">
        <v>8</v>
      </c>
      <c r="AG31" s="301" t="n">
        <v>8</v>
      </c>
      <c r="AH31" s="301" t="n">
        <v>8</v>
      </c>
      <c r="AI31" s="301" t="inlineStr">
        <is>
          <t>RD</t>
        </is>
      </c>
      <c r="AJ31" s="302" t="n">
        <v>8</v>
      </c>
      <c r="AK31" s="128">
        <f>COUNT(I31:AJ31)</f>
        <v/>
      </c>
      <c r="AL31" s="176">
        <f>SUM(I31:AJ31)</f>
        <v/>
      </c>
      <c r="AM31" s="291">
        <f>COUNTIFS($I31:$AJ31,$AM$6)</f>
        <v/>
      </c>
      <c r="AN31" s="63">
        <f>COUNTIFS($I31:$AJ31,$AN$6)</f>
        <v/>
      </c>
      <c r="AO31" s="63">
        <f>COUNTIFS($I31:$AJ31,$AO$6)</f>
        <v/>
      </c>
      <c r="AP31" s="63">
        <f>COUNTIFS($I31:$AJ31,$AP$6)</f>
        <v/>
      </c>
      <c r="AQ31" s="63">
        <f>COUNTIFS($I31:$AJ31,$AQ$6)</f>
        <v/>
      </c>
      <c r="AR31" s="63">
        <f>AR30</f>
        <v/>
      </c>
      <c r="AS31" s="221">
        <f>COUNTIF(I31:AJ31,"RD")</f>
        <v/>
      </c>
      <c r="AT31" s="221">
        <f>AR31-AS31</f>
        <v/>
      </c>
      <c r="AU31" s="221">
        <f>COUNTIF(H31:AJ31,"SH")</f>
        <v/>
      </c>
      <c r="AV31" s="221">
        <f>COUNTIF(I31:AJ31,"SL")</f>
        <v/>
      </c>
      <c r="AW31" s="221">
        <f>COUNTIF(I31:AJ31,"np")</f>
        <v/>
      </c>
      <c r="AX31" s="221">
        <f>COUNTIF(I31:AJ31,"AL*")</f>
        <v/>
      </c>
      <c r="AY31" s="221">
        <f>COUNTIF(I31:AJ31,"NC*")</f>
        <v/>
      </c>
      <c r="AZ31" s="360" t="n"/>
    </row>
    <row r="32" ht="25.5" customFormat="1" customHeight="1" s="228">
      <c r="B32" s="394" t="inlineStr">
        <is>
          <t>M15</t>
        </is>
      </c>
      <c r="C32" s="397" t="inlineStr">
        <is>
          <t>0004676</t>
        </is>
      </c>
      <c r="D32" s="128" t="inlineStr">
        <is>
          <t>黎玉艷</t>
        </is>
      </c>
      <c r="E32" s="332" t="inlineStr">
        <is>
          <t>SG/G</t>
        </is>
      </c>
      <c r="F32" s="183" t="inlineStr">
        <is>
          <t>SECU_G(D)</t>
        </is>
      </c>
      <c r="G32" s="184" t="n">
        <v>8</v>
      </c>
      <c r="H32" s="128" t="inlineStr">
        <is>
          <t>早</t>
        </is>
      </c>
      <c r="I32" s="300" t="n">
        <v>8</v>
      </c>
      <c r="J32" s="301" t="inlineStr">
        <is>
          <t>RD</t>
        </is>
      </c>
      <c r="K32" s="301" t="n">
        <v>8</v>
      </c>
      <c r="L32" s="301" t="n">
        <v>8</v>
      </c>
      <c r="M32" s="301" t="n">
        <v>8</v>
      </c>
      <c r="N32" s="301" t="n">
        <v>8</v>
      </c>
      <c r="O32" s="301" t="n">
        <v>8</v>
      </c>
      <c r="P32" s="301" t="n">
        <v>8</v>
      </c>
      <c r="Q32" s="301" t="n">
        <v>8</v>
      </c>
      <c r="R32" s="301" t="n">
        <v>8</v>
      </c>
      <c r="S32" s="301" t="inlineStr">
        <is>
          <t>RD</t>
        </is>
      </c>
      <c r="T32" s="301" t="n">
        <v>8</v>
      </c>
      <c r="U32" s="301" t="n">
        <v>8</v>
      </c>
      <c r="V32" s="301" t="n">
        <v>8</v>
      </c>
      <c r="W32" s="301" t="n">
        <v>8</v>
      </c>
      <c r="X32" s="301" t="n">
        <v>8</v>
      </c>
      <c r="Y32" s="301" t="n">
        <v>8</v>
      </c>
      <c r="Z32" s="301" t="inlineStr">
        <is>
          <t>RD</t>
        </is>
      </c>
      <c r="AA32" s="301" t="n">
        <v>8</v>
      </c>
      <c r="AB32" s="301" t="n">
        <v>8</v>
      </c>
      <c r="AC32" s="301" t="n">
        <v>8</v>
      </c>
      <c r="AD32" s="301" t="n">
        <v>8</v>
      </c>
      <c r="AE32" s="301" t="n">
        <v>8</v>
      </c>
      <c r="AF32" s="301" t="n">
        <v>8</v>
      </c>
      <c r="AG32" s="301" t="n">
        <v>8</v>
      </c>
      <c r="AH32" s="301" t="n">
        <v>8</v>
      </c>
      <c r="AI32" s="301" t="n">
        <v>8</v>
      </c>
      <c r="AJ32" s="302" t="inlineStr">
        <is>
          <t>RD</t>
        </is>
      </c>
      <c r="AK32" s="427">
        <f>COUNT(I32:AJ32)</f>
        <v/>
      </c>
      <c r="AL32" s="185">
        <f>SUM(I32:AJ32)</f>
        <v/>
      </c>
      <c r="AM32" s="332">
        <f>COUNTIFS($I32:$AJ32,$AM$6)</f>
        <v/>
      </c>
      <c r="AN32" s="183">
        <f>COUNTIFS($I32:$AJ32,$AN$6)</f>
        <v/>
      </c>
      <c r="AO32" s="183">
        <f>COUNTIFS($I32:$AJ32,$AO$6)</f>
        <v/>
      </c>
      <c r="AP32" s="183">
        <f>COUNTIFS($I32:$AJ32,$AP$6)</f>
        <v/>
      </c>
      <c r="AQ32" s="183">
        <f>COUNTIFS($I32:$AJ32,$AQ$6)</f>
        <v/>
      </c>
      <c r="AR32" s="63">
        <f>AR31</f>
        <v/>
      </c>
      <c r="AS32" s="229">
        <f>COUNTIF(I32:AJ32,"RD")</f>
        <v/>
      </c>
      <c r="AT32" s="229">
        <f>AR32-AS32</f>
        <v/>
      </c>
      <c r="AU32" s="229">
        <f>COUNTIF(H32:AJ32,"SH")</f>
        <v/>
      </c>
      <c r="AV32" s="229">
        <f>COUNTIF(I32:AJ32,"SL")</f>
        <v/>
      </c>
      <c r="AW32" s="229">
        <f>COUNTIF(I32:AJ32,"np")</f>
        <v/>
      </c>
      <c r="AX32" s="229">
        <f>COUNTIF(I32:AJ32,"AL*")</f>
        <v/>
      </c>
      <c r="AY32" s="229">
        <f>COUNTIF(I32:AJ32,"NC*")</f>
        <v/>
      </c>
      <c r="AZ32" s="363" t="n"/>
    </row>
    <row r="33" ht="25.5" customFormat="1" customHeight="1" s="68">
      <c r="B33" s="141" t="inlineStr">
        <is>
          <t>M16</t>
        </is>
      </c>
      <c r="C33" s="396" t="inlineStr">
        <is>
          <t>0004694</t>
        </is>
      </c>
      <c r="D33" s="128" t="inlineStr">
        <is>
          <t>楊小紅</t>
        </is>
      </c>
      <c r="E33" s="292" t="inlineStr">
        <is>
          <t>SG/G</t>
        </is>
      </c>
      <c r="F33" s="178" t="inlineStr">
        <is>
          <t>SECU_G(D)</t>
        </is>
      </c>
      <c r="G33" s="179" t="n">
        <v>8</v>
      </c>
      <c r="H33" s="128" t="inlineStr">
        <is>
          <t>早</t>
        </is>
      </c>
      <c r="I33" s="300" t="n">
        <v>8</v>
      </c>
      <c r="J33" s="301" t="n">
        <v>8</v>
      </c>
      <c r="K33" s="301" t="n">
        <v>8</v>
      </c>
      <c r="L33" s="301" t="inlineStr">
        <is>
          <t>RD</t>
        </is>
      </c>
      <c r="M33" s="301" t="n">
        <v>8</v>
      </c>
      <c r="N33" s="301" t="n">
        <v>8</v>
      </c>
      <c r="O33" s="301" t="n">
        <v>8</v>
      </c>
      <c r="P33" s="301" t="n">
        <v>8</v>
      </c>
      <c r="Q33" s="301" t="n">
        <v>8</v>
      </c>
      <c r="R33" s="301" t="n">
        <v>8</v>
      </c>
      <c r="S33" s="301" t="n">
        <v>8</v>
      </c>
      <c r="T33" s="301" t="n">
        <v>8</v>
      </c>
      <c r="U33" s="301" t="n">
        <v>8</v>
      </c>
      <c r="V33" s="301" t="n">
        <v>8</v>
      </c>
      <c r="W33" s="301" t="inlineStr">
        <is>
          <t>RD</t>
        </is>
      </c>
      <c r="X33" s="301" t="n">
        <v>8</v>
      </c>
      <c r="Y33" s="301" t="n">
        <v>8</v>
      </c>
      <c r="Z33" s="301" t="n">
        <v>8</v>
      </c>
      <c r="AA33" s="301" t="n">
        <v>8</v>
      </c>
      <c r="AB33" s="301" t="n">
        <v>8</v>
      </c>
      <c r="AC33" s="301" t="n">
        <v>8</v>
      </c>
      <c r="AD33" s="301" t="n">
        <v>8</v>
      </c>
      <c r="AE33" s="301" t="inlineStr">
        <is>
          <t>RD</t>
        </is>
      </c>
      <c r="AF33" s="301" t="inlineStr">
        <is>
          <t>NP</t>
        </is>
      </c>
      <c r="AG33" s="301" t="n">
        <v>8</v>
      </c>
      <c r="AH33" s="301" t="n">
        <v>8</v>
      </c>
      <c r="AI33" s="301" t="n">
        <v>8</v>
      </c>
      <c r="AJ33" s="302" t="n">
        <v>8</v>
      </c>
      <c r="AK33" s="426">
        <f>COUNT(I33:AJ33)</f>
        <v/>
      </c>
      <c r="AL33" s="180">
        <f>SUM(I33:AJ33)</f>
        <v/>
      </c>
      <c r="AM33" s="291">
        <f>COUNTIFS($I33:$AJ33,$AM$6)</f>
        <v/>
      </c>
      <c r="AN33" s="178">
        <f>COUNTIFS($I33:$AJ33,$AN$6)</f>
        <v/>
      </c>
      <c r="AO33" s="63">
        <f>COUNTIFS($I33:$AJ33,$AO$6)</f>
        <v/>
      </c>
      <c r="AP33" s="178">
        <f>COUNTIFS($I33:$AJ33,$AP$6)</f>
        <v/>
      </c>
      <c r="AQ33" s="178">
        <f>COUNTIFS($I33:$AJ33,$AQ$6)</f>
        <v/>
      </c>
      <c r="AR33" s="63">
        <f>AR32</f>
        <v/>
      </c>
      <c r="AS33" s="221">
        <f>COUNTIF(I33:AJ33,"RD")</f>
        <v/>
      </c>
      <c r="AT33" s="221">
        <f>AR33-AS33</f>
        <v/>
      </c>
      <c r="AU33" s="221">
        <f>COUNTIF(H33:AJ33,"SH")</f>
        <v/>
      </c>
      <c r="AV33" s="221">
        <f>COUNTIF(I33:AJ33,"SL")</f>
        <v/>
      </c>
      <c r="AW33" s="221">
        <f>COUNTIF(I33:AJ33,"np")</f>
        <v/>
      </c>
      <c r="AX33" s="221">
        <f>COUNTIF(I33:AJ33,"AL*")</f>
        <v/>
      </c>
      <c r="AY33" s="221">
        <f>COUNTIF(I33:AJ33,"NC*")</f>
        <v/>
      </c>
      <c r="AZ33" s="360" t="n"/>
    </row>
    <row r="34" ht="25.5" customFormat="1" customHeight="1" s="68">
      <c r="B34" s="141" t="inlineStr">
        <is>
          <t>M17</t>
        </is>
      </c>
      <c r="C34" s="396" t="inlineStr">
        <is>
          <t>0004675</t>
        </is>
      </c>
      <c r="D34" s="128" t="inlineStr">
        <is>
          <t>李鳳蘭</t>
        </is>
      </c>
      <c r="E34" s="292" t="inlineStr">
        <is>
          <t>SG/G</t>
        </is>
      </c>
      <c r="F34" s="178" t="inlineStr">
        <is>
          <t>SECU_G(D)</t>
        </is>
      </c>
      <c r="G34" s="179" t="n">
        <v>8</v>
      </c>
      <c r="H34" s="128" t="inlineStr">
        <is>
          <t>早</t>
        </is>
      </c>
      <c r="I34" s="300" t="n">
        <v>8</v>
      </c>
      <c r="J34" s="301" t="n">
        <v>8</v>
      </c>
      <c r="K34" s="301" t="inlineStr">
        <is>
          <t>RD</t>
        </is>
      </c>
      <c r="L34" s="301" t="n">
        <v>8</v>
      </c>
      <c r="M34" s="301" t="n">
        <v>8</v>
      </c>
      <c r="N34" s="301" t="n">
        <v>8</v>
      </c>
      <c r="O34" s="301" t="n">
        <v>8</v>
      </c>
      <c r="P34" s="301" t="n">
        <v>8</v>
      </c>
      <c r="Q34" s="301" t="n">
        <v>8</v>
      </c>
      <c r="R34" s="301" t="inlineStr">
        <is>
          <t>RD</t>
        </is>
      </c>
      <c r="S34" s="301" t="n">
        <v>8</v>
      </c>
      <c r="T34" s="301" t="n">
        <v>8</v>
      </c>
      <c r="U34" s="301" t="n">
        <v>8</v>
      </c>
      <c r="V34" s="301" t="n">
        <v>8</v>
      </c>
      <c r="W34" s="301" t="n">
        <v>8</v>
      </c>
      <c r="X34" s="301" t="n">
        <v>8</v>
      </c>
      <c r="Y34" s="301" t="inlineStr">
        <is>
          <t>RD</t>
        </is>
      </c>
      <c r="Z34" s="301" t="n">
        <v>8</v>
      </c>
      <c r="AA34" s="301" t="n">
        <v>8</v>
      </c>
      <c r="AB34" s="301" t="n">
        <v>8</v>
      </c>
      <c r="AC34" s="301" t="n">
        <v>8</v>
      </c>
      <c r="AD34" s="301" t="n">
        <v>8</v>
      </c>
      <c r="AE34" s="301" t="n">
        <v>8</v>
      </c>
      <c r="AF34" s="301" t="n">
        <v>8</v>
      </c>
      <c r="AG34" s="301" t="inlineStr">
        <is>
          <t>RD</t>
        </is>
      </c>
      <c r="AH34" s="301" t="n">
        <v>8</v>
      </c>
      <c r="AI34" s="301" t="n">
        <v>8</v>
      </c>
      <c r="AJ34" s="302" t="n">
        <v>8</v>
      </c>
      <c r="AK34" s="426">
        <f>COUNT(I34:AJ34)</f>
        <v/>
      </c>
      <c r="AL34" s="180">
        <f>SUM(I34:AJ34)</f>
        <v/>
      </c>
      <c r="AM34" s="291">
        <f>COUNTIFS($I34:$AJ34,$AM$6)</f>
        <v/>
      </c>
      <c r="AN34" s="178">
        <f>COUNTIFS($I34:$AJ34,$AN$6)</f>
        <v/>
      </c>
      <c r="AO34" s="63">
        <f>COUNTIFS($I34:$AJ34,$AO$6)</f>
        <v/>
      </c>
      <c r="AP34" s="178">
        <f>COUNTIFS($I34:$AJ34,$AP$6)</f>
        <v/>
      </c>
      <c r="AQ34" s="178">
        <f>COUNTIFS($I34:$AJ34,$AQ$6)</f>
        <v/>
      </c>
      <c r="AR34" s="63">
        <f>AR33</f>
        <v/>
      </c>
      <c r="AS34" s="221">
        <f>COUNTIF(I34:AJ34,"RD")</f>
        <v/>
      </c>
      <c r="AT34" s="221">
        <f>AR34-AS34</f>
        <v/>
      </c>
      <c r="AU34" s="221">
        <f>COUNTIF(H34:AJ34,"SH")</f>
        <v/>
      </c>
      <c r="AV34" s="221">
        <f>COUNTIF(I34:AJ34,"SL")</f>
        <v/>
      </c>
      <c r="AW34" s="221">
        <f>COUNTIF(I34:AJ34,"np")</f>
        <v/>
      </c>
      <c r="AX34" s="221">
        <f>COUNTIF(I34:AJ34,"AL*")</f>
        <v/>
      </c>
      <c r="AY34" s="221">
        <f>COUNTIF(I34:AJ34,"NC*")</f>
        <v/>
      </c>
      <c r="AZ34" s="360" t="n"/>
    </row>
    <row r="35" ht="25.5" customFormat="1" customHeight="1" s="68">
      <c r="A35" s="230" t="inlineStr">
        <is>
          <t xml:space="preserve"> </t>
        </is>
      </c>
      <c r="B35" s="141" t="inlineStr">
        <is>
          <t>M18</t>
        </is>
      </c>
      <c r="C35" s="396" t="inlineStr">
        <is>
          <t>0004695</t>
        </is>
      </c>
      <c r="D35" s="128" t="inlineStr">
        <is>
          <t>鄧秀云</t>
        </is>
      </c>
      <c r="E35" s="292" t="inlineStr">
        <is>
          <t>SG/G</t>
        </is>
      </c>
      <c r="F35" s="178" t="inlineStr">
        <is>
          <t>SECU_G(D)</t>
        </is>
      </c>
      <c r="G35" s="179" t="n">
        <v>8</v>
      </c>
      <c r="H35" s="128" t="inlineStr">
        <is>
          <t>早</t>
        </is>
      </c>
      <c r="I35" s="300" t="n">
        <v>8</v>
      </c>
      <c r="J35" s="301" t="n">
        <v>8</v>
      </c>
      <c r="K35" s="301" t="n">
        <v>8</v>
      </c>
      <c r="L35" s="301" t="n">
        <v>8</v>
      </c>
      <c r="M35" s="301" t="inlineStr">
        <is>
          <t>RD</t>
        </is>
      </c>
      <c r="N35" s="301" t="n">
        <v>8</v>
      </c>
      <c r="O35" s="301" t="n">
        <v>8</v>
      </c>
      <c r="P35" s="301" t="n">
        <v>8</v>
      </c>
      <c r="Q35" s="301" t="n">
        <v>8</v>
      </c>
      <c r="R35" s="301" t="n">
        <v>8</v>
      </c>
      <c r="S35" s="301" t="n">
        <v>8</v>
      </c>
      <c r="T35" s="301" t="n">
        <v>8</v>
      </c>
      <c r="U35" s="301" t="inlineStr">
        <is>
          <t>RD</t>
        </is>
      </c>
      <c r="V35" s="301" t="n">
        <v>8</v>
      </c>
      <c r="W35" s="301" t="n">
        <v>8</v>
      </c>
      <c r="X35" s="301" t="n">
        <v>8</v>
      </c>
      <c r="Y35" s="301" t="n">
        <v>8</v>
      </c>
      <c r="Z35" s="301" t="n">
        <v>8</v>
      </c>
      <c r="AA35" s="301" t="inlineStr">
        <is>
          <t>RD</t>
        </is>
      </c>
      <c r="AB35" s="301" t="n">
        <v>8</v>
      </c>
      <c r="AC35" s="301" t="n">
        <v>8</v>
      </c>
      <c r="AD35" s="301" t="n">
        <v>8</v>
      </c>
      <c r="AE35" s="301" t="n">
        <v>8</v>
      </c>
      <c r="AF35" s="301" t="n">
        <v>8</v>
      </c>
      <c r="AG35" s="301" t="n">
        <v>8</v>
      </c>
      <c r="AH35" s="301" t="n">
        <v>8</v>
      </c>
      <c r="AI35" s="301" t="inlineStr">
        <is>
          <t>RD</t>
        </is>
      </c>
      <c r="AJ35" s="302" t="n">
        <v>8</v>
      </c>
      <c r="AK35" s="426">
        <f>COUNT(I35:AJ35)</f>
        <v/>
      </c>
      <c r="AL35" s="180">
        <f>SUM(I35:AJ35)</f>
        <v/>
      </c>
      <c r="AM35" s="292">
        <f>COUNTIFS($I35:$AJ35,$AM$6)</f>
        <v/>
      </c>
      <c r="AN35" s="178">
        <f>COUNTIFS($I35:$AJ35,$AN$6)</f>
        <v/>
      </c>
      <c r="AO35" s="178">
        <f>COUNTIFS($I35:$AJ35,$AO$6)</f>
        <v/>
      </c>
      <c r="AP35" s="178">
        <f>COUNTIFS($I35:$AJ35,$AP$6)</f>
        <v/>
      </c>
      <c r="AQ35" s="178">
        <f>COUNTIFS($I35:$AJ35,$AQ$6)</f>
        <v/>
      </c>
      <c r="AR35" s="63">
        <f>AR34</f>
        <v/>
      </c>
      <c r="AS35" s="221">
        <f>COUNTIF(I35:AJ35,"RD")</f>
        <v/>
      </c>
      <c r="AT35" s="221">
        <f>AR35-AS35</f>
        <v/>
      </c>
      <c r="AU35" s="221">
        <f>COUNTIF(H35:AJ35,"SH")</f>
        <v/>
      </c>
      <c r="AV35" s="221">
        <f>COUNTIF(I35:AJ35,"SL")</f>
        <v/>
      </c>
      <c r="AW35" s="221">
        <f>COUNTIF(I35:AJ35,"np")</f>
        <v/>
      </c>
      <c r="AX35" s="221">
        <f>COUNTIF(I35:AJ35,"AL*")</f>
        <v/>
      </c>
      <c r="AY35" s="221">
        <f>COUNTIF(I35:AJ35,"NC*")</f>
        <v/>
      </c>
      <c r="AZ35" s="360" t="n"/>
    </row>
    <row r="36" ht="25.5" customFormat="1" customHeight="1" s="68">
      <c r="B36" s="141" t="inlineStr">
        <is>
          <t>M19</t>
        </is>
      </c>
      <c r="C36" s="396" t="inlineStr">
        <is>
          <t>0004689</t>
        </is>
      </c>
      <c r="D36" s="128" t="inlineStr">
        <is>
          <t>曾東紅</t>
        </is>
      </c>
      <c r="E36" s="292" t="inlineStr">
        <is>
          <t>SG/G</t>
        </is>
      </c>
      <c r="F36" s="178" t="inlineStr">
        <is>
          <t>SECU_G(D)</t>
        </is>
      </c>
      <c r="G36" s="179" t="n">
        <v>8</v>
      </c>
      <c r="H36" s="128" t="inlineStr">
        <is>
          <t>早</t>
        </is>
      </c>
      <c r="I36" s="300" t="inlineStr">
        <is>
          <t>FS</t>
        </is>
      </c>
      <c r="J36" s="301" t="inlineStr">
        <is>
          <t>WTT</t>
        </is>
      </c>
      <c r="K36" s="301" t="n">
        <v>8</v>
      </c>
      <c r="L36" s="301" t="n">
        <v>8</v>
      </c>
      <c r="M36" s="301" t="n">
        <v>8</v>
      </c>
      <c r="N36" s="301" t="inlineStr">
        <is>
          <t>RD</t>
        </is>
      </c>
      <c r="O36" s="301" t="n">
        <v>8</v>
      </c>
      <c r="P36" s="301" t="n">
        <v>8</v>
      </c>
      <c r="Q36" s="301" t="inlineStr">
        <is>
          <t>WTT</t>
        </is>
      </c>
      <c r="R36" s="301" t="n">
        <v>8</v>
      </c>
      <c r="S36" s="301" t="n">
        <v>8</v>
      </c>
      <c r="T36" s="301" t="inlineStr">
        <is>
          <t>RD</t>
        </is>
      </c>
      <c r="U36" s="301" t="n">
        <v>8</v>
      </c>
      <c r="V36" s="301" t="n">
        <v>8</v>
      </c>
      <c r="W36" s="301" t="n">
        <v>8</v>
      </c>
      <c r="X36" s="301" t="inlineStr">
        <is>
          <t>WTT</t>
        </is>
      </c>
      <c r="Y36" s="301" t="n">
        <v>8</v>
      </c>
      <c r="Z36" s="301" t="n">
        <v>8</v>
      </c>
      <c r="AA36" s="301" t="n">
        <v>8</v>
      </c>
      <c r="AB36" s="301" t="n">
        <v>8</v>
      </c>
      <c r="AC36" s="301" t="n">
        <v>8</v>
      </c>
      <c r="AD36" s="301" t="inlineStr">
        <is>
          <t>WTT</t>
        </is>
      </c>
      <c r="AE36" s="301" t="inlineStr">
        <is>
          <t>RD</t>
        </is>
      </c>
      <c r="AF36" s="301" t="n">
        <v>8</v>
      </c>
      <c r="AG36" s="301" t="inlineStr">
        <is>
          <t>WTT</t>
        </is>
      </c>
      <c r="AH36" s="301" t="n">
        <v>8</v>
      </c>
      <c r="AI36" s="301" t="inlineStr">
        <is>
          <t>RD</t>
        </is>
      </c>
      <c r="AJ36" s="302" t="inlineStr">
        <is>
          <t>RD</t>
        </is>
      </c>
      <c r="AK36" s="426">
        <f>COUNT(I36:AJ36)</f>
        <v/>
      </c>
      <c r="AL36" s="180">
        <f>SUM(I36:AJ36)</f>
        <v/>
      </c>
      <c r="AM36" s="292">
        <f>COUNTIFS($I36:$AJ36,$AM$6)</f>
        <v/>
      </c>
      <c r="AN36" s="178">
        <f>COUNTIFS($I36:$AJ36,$AN$6)</f>
        <v/>
      </c>
      <c r="AO36" s="178">
        <f>COUNTIFS($I36:$AJ36,$AO$6)</f>
        <v/>
      </c>
      <c r="AP36" s="178">
        <f>COUNTIFS($I36:$AJ36,$AP$6)</f>
        <v/>
      </c>
      <c r="AQ36" s="178">
        <f>COUNTIFS($I36:$AJ36,$AQ$6)</f>
        <v/>
      </c>
      <c r="AR36" s="63">
        <f>AR35</f>
        <v/>
      </c>
      <c r="AS36" s="221">
        <f>COUNTIF(I36:AJ36,"RD")</f>
        <v/>
      </c>
      <c r="AT36" s="221">
        <f>AR36-AS36</f>
        <v/>
      </c>
      <c r="AU36" s="221">
        <f>COUNTIF(H36:AJ36,"SH")</f>
        <v/>
      </c>
      <c r="AV36" s="221">
        <f>COUNTIF(I36:AJ36,"SL")</f>
        <v/>
      </c>
      <c r="AW36" s="221">
        <f>COUNTIF(I36:AJ36,"np")</f>
        <v/>
      </c>
      <c r="AX36" s="221">
        <f>COUNTIF(I36:AJ36,"AL*")</f>
        <v/>
      </c>
      <c r="AY36" s="221">
        <f>COUNTIF(I36:AJ36,"NC*")</f>
        <v/>
      </c>
      <c r="AZ36" s="360" t="n"/>
    </row>
    <row r="37" ht="25.5" customFormat="1" customHeight="1" s="68">
      <c r="B37" s="141" t="inlineStr">
        <is>
          <t>M20</t>
        </is>
      </c>
      <c r="C37" s="398" t="inlineStr">
        <is>
          <t>0004672</t>
        </is>
      </c>
      <c r="D37" s="128" t="inlineStr">
        <is>
          <t>盧偉然</t>
        </is>
      </c>
      <c r="E37" s="292" t="inlineStr">
        <is>
          <t>SG/G</t>
        </is>
      </c>
      <c r="F37" s="178" t="inlineStr">
        <is>
          <t>SECU_G(D)</t>
        </is>
      </c>
      <c r="G37" s="179" t="n">
        <v>8</v>
      </c>
      <c r="H37" s="128" t="inlineStr">
        <is>
          <t>早</t>
        </is>
      </c>
      <c r="I37" s="300" t="n">
        <v>8</v>
      </c>
      <c r="J37" s="301" t="n">
        <v>8</v>
      </c>
      <c r="K37" s="301" t="inlineStr">
        <is>
          <t>RD</t>
        </is>
      </c>
      <c r="L37" s="301" t="n">
        <v>8</v>
      </c>
      <c r="M37" s="301" t="n">
        <v>8</v>
      </c>
      <c r="N37" s="301" t="n">
        <v>8</v>
      </c>
      <c r="O37" s="301" t="n">
        <v>8</v>
      </c>
      <c r="P37" s="301" t="n">
        <v>8</v>
      </c>
      <c r="Q37" s="301" t="n">
        <v>8</v>
      </c>
      <c r="R37" s="301" t="inlineStr">
        <is>
          <t>RD</t>
        </is>
      </c>
      <c r="S37" s="301" t="n">
        <v>8</v>
      </c>
      <c r="T37" s="301" t="n">
        <v>8</v>
      </c>
      <c r="U37" s="301" t="n">
        <v>8</v>
      </c>
      <c r="V37" s="301" t="n">
        <v>8</v>
      </c>
      <c r="W37" s="301" t="n">
        <v>8</v>
      </c>
      <c r="X37" s="301" t="inlineStr">
        <is>
          <t>RD</t>
        </is>
      </c>
      <c r="Y37" s="301" t="n">
        <v>8</v>
      </c>
      <c r="Z37" s="301" t="n">
        <v>8</v>
      </c>
      <c r="AA37" s="301" t="inlineStr">
        <is>
          <t>RD</t>
        </is>
      </c>
      <c r="AB37" s="301" t="n">
        <v>8</v>
      </c>
      <c r="AC37" s="301" t="n">
        <v>8</v>
      </c>
      <c r="AD37" s="301" t="n">
        <v>8</v>
      </c>
      <c r="AE37" s="301" t="n">
        <v>8</v>
      </c>
      <c r="AF37" s="301" t="inlineStr">
        <is>
          <t>NP</t>
        </is>
      </c>
      <c r="AG37" s="301" t="n">
        <v>8</v>
      </c>
      <c r="AH37" s="301" t="n">
        <v>8</v>
      </c>
      <c r="AI37" s="301" t="n">
        <v>8</v>
      </c>
      <c r="AJ37" s="302" t="n">
        <v>8</v>
      </c>
      <c r="AK37" s="426">
        <f>COUNT(I37:AJ37)</f>
        <v/>
      </c>
      <c r="AL37" s="180">
        <f>SUM(I37:AJ37)</f>
        <v/>
      </c>
      <c r="AM37" s="292">
        <f>COUNTIFS($I37:$AJ37,$AM$6)</f>
        <v/>
      </c>
      <c r="AN37" s="178">
        <f>COUNTIFS($I37:$AJ37,$AN$6)</f>
        <v/>
      </c>
      <c r="AO37" s="178">
        <f>COUNTIFS($I37:$AJ37,$AO$6)</f>
        <v/>
      </c>
      <c r="AP37" s="178">
        <f>COUNTIFS($I37:$AJ37,$AP$6)</f>
        <v/>
      </c>
      <c r="AQ37" s="178">
        <f>COUNTIFS($I37:$AJ37,$AQ$6)</f>
        <v/>
      </c>
      <c r="AR37" s="63">
        <f>AR36</f>
        <v/>
      </c>
      <c r="AS37" s="221">
        <f>COUNTIF(I37:AJ37,"RD")</f>
        <v/>
      </c>
      <c r="AT37" s="221">
        <f>AR37-AS37</f>
        <v/>
      </c>
      <c r="AU37" s="221">
        <f>COUNTIF(H37:AJ37,"SH")</f>
        <v/>
      </c>
      <c r="AV37" s="221">
        <f>COUNTIF(I37:AJ37,"SL")</f>
        <v/>
      </c>
      <c r="AW37" s="221">
        <f>COUNTIF(I37:AJ37,"np")</f>
        <v/>
      </c>
      <c r="AX37" s="221">
        <f>COUNTIF(I37:AJ37,"AL*")</f>
        <v/>
      </c>
      <c r="AY37" s="221">
        <f>COUNTIF(I37:AJ37,"NC*")</f>
        <v/>
      </c>
      <c r="AZ37" s="360" t="n"/>
    </row>
    <row r="38" ht="25.5" customFormat="1" customHeight="1" s="68">
      <c r="B38" s="141" t="inlineStr">
        <is>
          <t>M21</t>
        </is>
      </c>
      <c r="C38" s="398" t="inlineStr">
        <is>
          <t>0004698</t>
        </is>
      </c>
      <c r="D38" s="128" t="inlineStr">
        <is>
          <t>梁錦輝</t>
        </is>
      </c>
      <c r="E38" s="292" t="inlineStr">
        <is>
          <t>SG/G</t>
        </is>
      </c>
      <c r="F38" s="178" t="inlineStr">
        <is>
          <t>SECU_G(D)</t>
        </is>
      </c>
      <c r="G38" s="179" t="n">
        <v>8</v>
      </c>
      <c r="H38" s="128" t="inlineStr">
        <is>
          <t>早</t>
        </is>
      </c>
      <c r="I38" s="300" t="n">
        <v>8</v>
      </c>
      <c r="J38" s="301" t="n">
        <v>8</v>
      </c>
      <c r="K38" s="301" t="n">
        <v>8</v>
      </c>
      <c r="L38" s="301" t="n">
        <v>8</v>
      </c>
      <c r="M38" s="301" t="n">
        <v>8</v>
      </c>
      <c r="N38" s="301" t="inlineStr">
        <is>
          <t>RD</t>
        </is>
      </c>
      <c r="O38" s="301" t="n">
        <v>8</v>
      </c>
      <c r="P38" s="301" t="n">
        <v>8</v>
      </c>
      <c r="Q38" s="301" t="n">
        <v>8</v>
      </c>
      <c r="R38" s="301" t="n">
        <v>8</v>
      </c>
      <c r="S38" s="301" t="n">
        <v>8</v>
      </c>
      <c r="T38" s="301" t="n">
        <v>8</v>
      </c>
      <c r="U38" s="301" t="inlineStr">
        <is>
          <t>RD</t>
        </is>
      </c>
      <c r="V38" s="301" t="n">
        <v>8</v>
      </c>
      <c r="W38" s="301" t="n">
        <v>8</v>
      </c>
      <c r="X38" s="301" t="n">
        <v>8</v>
      </c>
      <c r="Y38" s="301" t="n">
        <v>8</v>
      </c>
      <c r="Z38" s="301" t="n">
        <v>8</v>
      </c>
      <c r="AA38" s="301" t="n">
        <v>8</v>
      </c>
      <c r="AB38" s="301" t="inlineStr">
        <is>
          <t>RD</t>
        </is>
      </c>
      <c r="AC38" s="301" t="inlineStr">
        <is>
          <t>RD</t>
        </is>
      </c>
      <c r="AD38" s="301" t="n">
        <v>8</v>
      </c>
      <c r="AE38" s="301" t="n">
        <v>8</v>
      </c>
      <c r="AF38" s="301" t="n">
        <v>8</v>
      </c>
      <c r="AG38" s="301" t="n">
        <v>8</v>
      </c>
      <c r="AH38" s="301" t="n">
        <v>8</v>
      </c>
      <c r="AI38" s="301" t="n">
        <v>8</v>
      </c>
      <c r="AJ38" s="302" t="inlineStr">
        <is>
          <t>RD</t>
        </is>
      </c>
      <c r="AK38" s="426">
        <f>COUNT(I38:AJ38)</f>
        <v/>
      </c>
      <c r="AL38" s="180">
        <f>SUM(I38:AJ38)</f>
        <v/>
      </c>
      <c r="AM38" s="292">
        <f>COUNTIFS($I38:$AJ38,$AM$6)</f>
        <v/>
      </c>
      <c r="AN38" s="178">
        <f>COUNTIFS($I38:$AJ38,$AN$6)</f>
        <v/>
      </c>
      <c r="AO38" s="178">
        <f>COUNTIFS($I38:$AJ38,$AO$6)</f>
        <v/>
      </c>
      <c r="AP38" s="178">
        <f>COUNTIFS($I38:$AJ38,$AP$6)</f>
        <v/>
      </c>
      <c r="AQ38" s="178">
        <f>COUNTIFS($I38:$AJ38,$AQ$6)</f>
        <v/>
      </c>
      <c r="AR38" s="63">
        <f>AR37</f>
        <v/>
      </c>
      <c r="AS38" s="221">
        <f>COUNTIF(I38:AJ38,"RD")</f>
        <v/>
      </c>
      <c r="AT38" s="221">
        <f>AR38-AS38</f>
        <v/>
      </c>
      <c r="AU38" s="221">
        <f>COUNTIF(H38:AJ38,"SH")</f>
        <v/>
      </c>
      <c r="AV38" s="221">
        <f>COUNTIF(I38:AJ38,"SL")</f>
        <v/>
      </c>
      <c r="AW38" s="221">
        <f>COUNTIF(I38:AJ38,"np")</f>
        <v/>
      </c>
      <c r="AX38" s="221">
        <f>COUNTIF(I38:AJ38,"AL*")</f>
        <v/>
      </c>
      <c r="AY38" s="221">
        <f>COUNTIF(I38:AJ38,"NC*")</f>
        <v/>
      </c>
      <c r="AZ38" s="360" t="n"/>
    </row>
    <row r="39" ht="25.5" customFormat="1" customHeight="1" s="75">
      <c r="B39" s="141" t="inlineStr">
        <is>
          <t>M22</t>
        </is>
      </c>
      <c r="C39" s="398" t="inlineStr">
        <is>
          <t>0004665</t>
        </is>
      </c>
      <c r="D39" s="128" t="inlineStr">
        <is>
          <t>黃仕明</t>
        </is>
      </c>
      <c r="E39" s="291" t="inlineStr">
        <is>
          <t>SG/G</t>
        </is>
      </c>
      <c r="F39" s="63" t="inlineStr">
        <is>
          <t>SECU_G(D)</t>
        </is>
      </c>
      <c r="G39" s="182" t="n">
        <v>8</v>
      </c>
      <c r="H39" s="128" t="inlineStr">
        <is>
          <t>早</t>
        </is>
      </c>
      <c r="I39" s="300" t="n">
        <v>8</v>
      </c>
      <c r="J39" s="301" t="inlineStr">
        <is>
          <t>RD</t>
        </is>
      </c>
      <c r="K39" s="301" t="n">
        <v>8</v>
      </c>
      <c r="L39" s="301" t="n">
        <v>8</v>
      </c>
      <c r="M39" s="301" t="n">
        <v>8</v>
      </c>
      <c r="N39" s="301" t="n">
        <v>8</v>
      </c>
      <c r="O39" s="301" t="inlineStr">
        <is>
          <t>RD</t>
        </is>
      </c>
      <c r="P39" s="301" t="n">
        <v>8</v>
      </c>
      <c r="Q39" s="301" t="n">
        <v>8</v>
      </c>
      <c r="R39" s="301" t="n">
        <v>8</v>
      </c>
      <c r="S39" s="301" t="n">
        <v>8</v>
      </c>
      <c r="T39" s="301" t="n">
        <v>8</v>
      </c>
      <c r="U39" s="301" t="n">
        <v>8</v>
      </c>
      <c r="V39" s="301" t="n">
        <v>8</v>
      </c>
      <c r="W39" s="301" t="inlineStr">
        <is>
          <t>RD</t>
        </is>
      </c>
      <c r="X39" s="301" t="n">
        <v>8</v>
      </c>
      <c r="Y39" s="301" t="n">
        <v>8</v>
      </c>
      <c r="Z39" s="301" t="n">
        <v>8</v>
      </c>
      <c r="AA39" s="301" t="n">
        <v>8</v>
      </c>
      <c r="AB39" s="301" t="n">
        <v>8</v>
      </c>
      <c r="AC39" s="301" t="n">
        <v>8</v>
      </c>
      <c r="AD39" s="301" t="inlineStr">
        <is>
          <t>RD</t>
        </is>
      </c>
      <c r="AE39" s="301" t="n">
        <v>8</v>
      </c>
      <c r="AF39" s="301" t="n">
        <v>8</v>
      </c>
      <c r="AG39" s="301" t="inlineStr">
        <is>
          <t>RD</t>
        </is>
      </c>
      <c r="AH39" s="301" t="n">
        <v>8</v>
      </c>
      <c r="AI39" s="301" t="n">
        <v>8</v>
      </c>
      <c r="AJ39" s="302" t="n">
        <v>8</v>
      </c>
      <c r="AK39" s="128">
        <f>COUNT(I39:AJ39)</f>
        <v/>
      </c>
      <c r="AL39" s="176">
        <f>SUM(I39:AJ39)</f>
        <v/>
      </c>
      <c r="AM39" s="291">
        <f>COUNTIFS($I39:$AJ39,$AM$6)</f>
        <v/>
      </c>
      <c r="AN39" s="63">
        <f>COUNTIFS($I39:$AJ39,$AN$6)</f>
        <v/>
      </c>
      <c r="AO39" s="63">
        <f>COUNTIFS($I39:$AJ39,$AO$6)</f>
        <v/>
      </c>
      <c r="AP39" s="63">
        <f>COUNTIFS($I39:$AJ39,$AP$6)</f>
        <v/>
      </c>
      <c r="AQ39" s="63">
        <f>COUNTIFS($I39:$AJ39,$AQ$6)</f>
        <v/>
      </c>
      <c r="AR39" s="63">
        <f>AR38</f>
        <v/>
      </c>
      <c r="AS39" s="221">
        <f>COUNTIF(I39:AJ39,"RD")</f>
        <v/>
      </c>
      <c r="AT39" s="221">
        <f>AR39-AS39</f>
        <v/>
      </c>
      <c r="AU39" s="221">
        <f>COUNTIF(H39:AJ39,"SH")</f>
        <v/>
      </c>
      <c r="AV39" s="221">
        <f>COUNTIF(I39:AJ39,"SL")</f>
        <v/>
      </c>
      <c r="AW39" s="221">
        <f>COUNTIF(I39:AJ39,"np")</f>
        <v/>
      </c>
      <c r="AX39" s="221">
        <f>COUNTIF(I39:AJ39,"AL*")</f>
        <v/>
      </c>
      <c r="AY39" s="221">
        <f>COUNTIF(I39:AJ39,"NC*")</f>
        <v/>
      </c>
      <c r="AZ39" s="360" t="n"/>
    </row>
    <row r="40" ht="25.5" customFormat="1" customHeight="1" s="68">
      <c r="B40" s="141" t="inlineStr">
        <is>
          <t>M23</t>
        </is>
      </c>
      <c r="C40" s="398" t="inlineStr">
        <is>
          <t>0004677</t>
        </is>
      </c>
      <c r="D40" s="128" t="inlineStr">
        <is>
          <t>周就勝</t>
        </is>
      </c>
      <c r="E40" s="292" t="inlineStr">
        <is>
          <t>SG/G</t>
        </is>
      </c>
      <c r="F40" s="178" t="inlineStr">
        <is>
          <t>SECU_G(D)</t>
        </is>
      </c>
      <c r="G40" s="179" t="n">
        <v>8</v>
      </c>
      <c r="H40" s="128" t="inlineStr">
        <is>
          <t>早</t>
        </is>
      </c>
      <c r="I40" s="300" t="n">
        <v>8</v>
      </c>
      <c r="J40" s="301" t="n">
        <v>8</v>
      </c>
      <c r="K40" s="301" t="inlineStr">
        <is>
          <t>RD</t>
        </is>
      </c>
      <c r="L40" s="301" t="n">
        <v>8</v>
      </c>
      <c r="M40" s="301" t="n">
        <v>8</v>
      </c>
      <c r="N40" s="301" t="n">
        <v>8</v>
      </c>
      <c r="O40" s="301" t="n">
        <v>8</v>
      </c>
      <c r="P40" s="301" t="n">
        <v>8</v>
      </c>
      <c r="Q40" s="301" t="inlineStr">
        <is>
          <t>RD</t>
        </is>
      </c>
      <c r="R40" s="301" t="n">
        <v>8</v>
      </c>
      <c r="S40" s="301" t="n">
        <v>8</v>
      </c>
      <c r="T40" s="301" t="n">
        <v>8</v>
      </c>
      <c r="U40" s="301" t="n">
        <v>8</v>
      </c>
      <c r="V40" s="301" t="n">
        <v>8</v>
      </c>
      <c r="W40" s="301" t="n">
        <v>8</v>
      </c>
      <c r="X40" s="301" t="inlineStr">
        <is>
          <t>RD</t>
        </is>
      </c>
      <c r="Y40" s="301" t="n">
        <v>8</v>
      </c>
      <c r="Z40" s="301" t="n">
        <v>8</v>
      </c>
      <c r="AA40" s="301" t="n">
        <v>8</v>
      </c>
      <c r="AB40" s="301" t="n">
        <v>8</v>
      </c>
      <c r="AC40" s="301" t="n">
        <v>8</v>
      </c>
      <c r="AD40" s="301" t="n">
        <v>8</v>
      </c>
      <c r="AE40" s="301" t="inlineStr">
        <is>
          <t>RD</t>
        </is>
      </c>
      <c r="AF40" s="301" t="n">
        <v>8</v>
      </c>
      <c r="AG40" s="301" t="n">
        <v>8</v>
      </c>
      <c r="AH40" s="301" t="inlineStr">
        <is>
          <t>RD</t>
        </is>
      </c>
      <c r="AI40" s="301" t="n">
        <v>8</v>
      </c>
      <c r="AJ40" s="302" t="n">
        <v>8</v>
      </c>
      <c r="AK40" s="128">
        <f>COUNT(I40:AJ40)</f>
        <v/>
      </c>
      <c r="AL40" s="176">
        <f>SUM(I40:AJ40)</f>
        <v/>
      </c>
      <c r="AM40" s="291">
        <f>COUNTIFS($I40:$AJ40,$AM$6)</f>
        <v/>
      </c>
      <c r="AN40" s="178">
        <f>COUNTIFS($I40:$AJ40,$AN$6)</f>
        <v/>
      </c>
      <c r="AO40" s="178">
        <f>COUNTIFS($I40:$AJ40,$AO$6)</f>
        <v/>
      </c>
      <c r="AP40" s="178">
        <f>COUNTIFS($I40:$AJ40,$AP$6)</f>
        <v/>
      </c>
      <c r="AQ40" s="178">
        <f>COUNTIFS($I40:$AJ40,$AQ$6)</f>
        <v/>
      </c>
      <c r="AR40" s="63">
        <f>AR39</f>
        <v/>
      </c>
      <c r="AS40" s="221">
        <f>COUNTIF(I40:AJ40,"RD")</f>
        <v/>
      </c>
      <c r="AT40" s="221">
        <f>AR40-AS40</f>
        <v/>
      </c>
      <c r="AU40" s="221">
        <f>COUNTIF(H40:AJ40,"SH")</f>
        <v/>
      </c>
      <c r="AV40" s="221">
        <f>COUNTIF(I40:AJ40,"SL")</f>
        <v/>
      </c>
      <c r="AW40" s="221">
        <f>COUNTIF(I40:AJ40,"np")</f>
        <v/>
      </c>
      <c r="AX40" s="221">
        <f>COUNTIF(I40:AJ40,"AL*")</f>
        <v/>
      </c>
      <c r="AY40" s="221">
        <f>COUNTIF(I40:AJ40,"NC*")</f>
        <v/>
      </c>
      <c r="AZ40" s="360" t="n"/>
    </row>
    <row r="41" ht="25.5" customFormat="1" customHeight="1" s="75">
      <c r="B41" s="141" t="inlineStr">
        <is>
          <t>M24</t>
        </is>
      </c>
      <c r="C41" s="396" t="inlineStr">
        <is>
          <t>0004670</t>
        </is>
      </c>
      <c r="D41" s="128" t="inlineStr">
        <is>
          <t>林寶玉</t>
        </is>
      </c>
      <c r="E41" s="291" t="inlineStr">
        <is>
          <t>SG/G</t>
        </is>
      </c>
      <c r="F41" s="63" t="inlineStr">
        <is>
          <t>SECU_G(D)</t>
        </is>
      </c>
      <c r="G41" s="182" t="n">
        <v>8</v>
      </c>
      <c r="H41" s="128" t="inlineStr">
        <is>
          <t>早</t>
        </is>
      </c>
      <c r="I41" s="300" t="n">
        <v>8</v>
      </c>
      <c r="J41" s="301" t="n">
        <v>8</v>
      </c>
      <c r="K41" s="301" t="n">
        <v>8</v>
      </c>
      <c r="L41" s="301" t="n">
        <v>8</v>
      </c>
      <c r="M41" s="301" t="inlineStr">
        <is>
          <t>RD</t>
        </is>
      </c>
      <c r="N41" s="301" t="n">
        <v>8</v>
      </c>
      <c r="O41" s="301" t="n">
        <v>8</v>
      </c>
      <c r="P41" s="301" t="n">
        <v>8</v>
      </c>
      <c r="Q41" s="301" t="n">
        <v>8</v>
      </c>
      <c r="R41" s="301" t="n">
        <v>8</v>
      </c>
      <c r="S41" s="301" t="n">
        <v>8</v>
      </c>
      <c r="T41" s="301" t="inlineStr">
        <is>
          <t>RD</t>
        </is>
      </c>
      <c r="U41" s="301" t="n">
        <v>8</v>
      </c>
      <c r="V41" s="301" t="n">
        <v>8</v>
      </c>
      <c r="W41" s="301" t="n">
        <v>8</v>
      </c>
      <c r="X41" s="301" t="n">
        <v>8</v>
      </c>
      <c r="Y41" s="301" t="n">
        <v>8</v>
      </c>
      <c r="Z41" s="301" t="n">
        <v>8</v>
      </c>
      <c r="AA41" s="301" t="inlineStr">
        <is>
          <t>RD</t>
        </is>
      </c>
      <c r="AB41" s="301" t="n">
        <v>8</v>
      </c>
      <c r="AC41" s="301" t="n">
        <v>8</v>
      </c>
      <c r="AD41" s="301" t="n">
        <v>8</v>
      </c>
      <c r="AE41" s="301" t="n">
        <v>8</v>
      </c>
      <c r="AF41" s="301" t="n">
        <v>8</v>
      </c>
      <c r="AG41" s="301" t="n">
        <v>8</v>
      </c>
      <c r="AH41" s="301" t="n">
        <v>8</v>
      </c>
      <c r="AI41" s="301" t="n">
        <v>8</v>
      </c>
      <c r="AJ41" s="302" t="inlineStr">
        <is>
          <t>RD</t>
        </is>
      </c>
      <c r="AK41" s="128">
        <f>COUNT(I41:AJ41)</f>
        <v/>
      </c>
      <c r="AL41" s="176">
        <f>SUM(I41:AJ41)</f>
        <v/>
      </c>
      <c r="AM41" s="291">
        <f>COUNTIFS($I41:$AJ41,$AM$6)</f>
        <v/>
      </c>
      <c r="AN41" s="63">
        <f>COUNTIFS($I41:$AJ41,$AN$6)</f>
        <v/>
      </c>
      <c r="AO41" s="63">
        <f>COUNTIFS($I41:$AJ41,$AO$6)</f>
        <v/>
      </c>
      <c r="AP41" s="63">
        <f>COUNTIFS($I41:$AJ41,$AP$6)</f>
        <v/>
      </c>
      <c r="AQ41" s="63">
        <f>COUNTIFS($I41:$AJ41,$AQ$6)</f>
        <v/>
      </c>
      <c r="AR41" s="63">
        <f>AR40</f>
        <v/>
      </c>
      <c r="AS41" s="221">
        <f>COUNTIF(I41:AJ41,"RD")</f>
        <v/>
      </c>
      <c r="AT41" s="221">
        <f>AR41-AS41</f>
        <v/>
      </c>
      <c r="AU41" s="221">
        <f>COUNTIF(H41:AJ41,"SH")</f>
        <v/>
      </c>
      <c r="AV41" s="221">
        <f>COUNTIF(I41:AJ41,"SL")</f>
        <v/>
      </c>
      <c r="AW41" s="221">
        <f>COUNTIF(I41:AJ41,"np")</f>
        <v/>
      </c>
      <c r="AX41" s="221">
        <f>COUNTIF(I41:AJ41,"AL*")</f>
        <v/>
      </c>
      <c r="AY41" s="221">
        <f>COUNTIF(I41:AJ41,"NC*")</f>
        <v/>
      </c>
      <c r="AZ41" s="360" t="n"/>
    </row>
    <row r="42" ht="25.5" customFormat="1" customHeight="1" s="75">
      <c r="B42" s="141" t="inlineStr">
        <is>
          <t>M25</t>
        </is>
      </c>
      <c r="C42" s="396" t="inlineStr">
        <is>
          <t>0004663</t>
        </is>
      </c>
      <c r="D42" s="128" t="inlineStr">
        <is>
          <t>徐華妹</t>
        </is>
      </c>
      <c r="E42" s="291" t="inlineStr">
        <is>
          <t>SG/G</t>
        </is>
      </c>
      <c r="F42" s="63" t="inlineStr">
        <is>
          <t>SECU_G(D)</t>
        </is>
      </c>
      <c r="G42" s="182" t="n">
        <v>8</v>
      </c>
      <c r="H42" s="128" t="inlineStr">
        <is>
          <t>早</t>
        </is>
      </c>
      <c r="I42" s="300" t="n">
        <v>8</v>
      </c>
      <c r="J42" s="301" t="n">
        <v>8</v>
      </c>
      <c r="K42" s="301" t="inlineStr">
        <is>
          <t>RD</t>
        </is>
      </c>
      <c r="L42" s="301" t="n">
        <v>8</v>
      </c>
      <c r="M42" s="301" t="n">
        <v>8</v>
      </c>
      <c r="N42" s="301" t="n">
        <v>8</v>
      </c>
      <c r="O42" s="301" t="n">
        <v>8</v>
      </c>
      <c r="P42" s="301" t="inlineStr">
        <is>
          <t>RD</t>
        </is>
      </c>
      <c r="Q42" s="301" t="inlineStr">
        <is>
          <t>RD</t>
        </is>
      </c>
      <c r="R42" s="301" t="n">
        <v>8</v>
      </c>
      <c r="S42" s="301" t="n">
        <v>8</v>
      </c>
      <c r="T42" s="301" t="n">
        <v>8</v>
      </c>
      <c r="U42" s="301" t="n">
        <v>8</v>
      </c>
      <c r="V42" s="301" t="n">
        <v>8</v>
      </c>
      <c r="W42" s="301" t="inlineStr">
        <is>
          <t>RD</t>
        </is>
      </c>
      <c r="X42" s="301" t="n">
        <v>8</v>
      </c>
      <c r="Y42" s="301" t="n">
        <v>8</v>
      </c>
      <c r="Z42" s="301" t="n">
        <v>8</v>
      </c>
      <c r="AA42" s="301" t="n">
        <v>8</v>
      </c>
      <c r="AB42" s="301" t="n">
        <v>8</v>
      </c>
      <c r="AC42" s="301" t="n">
        <v>8</v>
      </c>
      <c r="AD42" s="301" t="n">
        <v>8</v>
      </c>
      <c r="AE42" s="301" t="n">
        <v>8</v>
      </c>
      <c r="AF42" s="301" t="n">
        <v>8</v>
      </c>
      <c r="AG42" s="301" t="n">
        <v>8</v>
      </c>
      <c r="AH42" s="301" t="n">
        <v>8</v>
      </c>
      <c r="AI42" s="301" t="inlineStr">
        <is>
          <t>NP</t>
        </is>
      </c>
      <c r="AJ42" s="302" t="n">
        <v>8</v>
      </c>
      <c r="AK42" s="128">
        <f>COUNT(I42:AJ42)</f>
        <v/>
      </c>
      <c r="AL42" s="176">
        <f>SUM(I42:AJ42)</f>
        <v/>
      </c>
      <c r="AM42" s="291">
        <f>COUNTIFS($I42:$AJ42,$AM$6)</f>
        <v/>
      </c>
      <c r="AN42" s="63">
        <f>COUNTIFS($I42:$AJ42,$AN$6)</f>
        <v/>
      </c>
      <c r="AO42" s="63">
        <f>COUNTIFS($I42:$AJ42,$AO$6)</f>
        <v/>
      </c>
      <c r="AP42" s="63">
        <f>COUNTIFS($I42:$AJ42,$AP$6)</f>
        <v/>
      </c>
      <c r="AQ42" s="63">
        <f>COUNTIFS($I42:$AJ42,$AQ$6)</f>
        <v/>
      </c>
      <c r="AR42" s="63">
        <f>AR41</f>
        <v/>
      </c>
      <c r="AS42" s="220">
        <f>COUNTIF(I42:AJ42,"RD")</f>
        <v/>
      </c>
      <c r="AT42" s="220">
        <f>AR42-AS42</f>
        <v/>
      </c>
      <c r="AU42" s="220">
        <f>COUNTIF(H42:AJ42,"SH")</f>
        <v/>
      </c>
      <c r="AV42" s="220">
        <f>COUNTIF(I42:AJ42,"SL")</f>
        <v/>
      </c>
      <c r="AW42" s="220">
        <f>COUNTIF(I42:AJ42,"np")</f>
        <v/>
      </c>
      <c r="AX42" s="220">
        <f>COUNTIF(I42:AJ42,"AL*")</f>
        <v/>
      </c>
      <c r="AY42" s="220">
        <f>COUNTIF(I42:AJ42,"NC*")</f>
        <v/>
      </c>
      <c r="AZ42" s="359" t="n"/>
    </row>
    <row r="43" ht="25.5" customFormat="1" customHeight="1" s="75">
      <c r="B43" s="141" t="inlineStr">
        <is>
          <t>M26</t>
        </is>
      </c>
      <c r="C43" s="396" t="inlineStr">
        <is>
          <t>0004699</t>
        </is>
      </c>
      <c r="D43" s="128" t="inlineStr">
        <is>
          <t>譚貴丹</t>
        </is>
      </c>
      <c r="E43" s="291" t="n"/>
      <c r="F43" s="63" t="n"/>
      <c r="G43" s="182" t="n"/>
      <c r="H43" s="128" t="inlineStr">
        <is>
          <t>早</t>
        </is>
      </c>
      <c r="I43" s="300" t="inlineStr">
        <is>
          <t>RD</t>
        </is>
      </c>
      <c r="J43" s="301" t="n">
        <v>8</v>
      </c>
      <c r="K43" s="301" t="n">
        <v>8</v>
      </c>
      <c r="L43" s="301" t="n">
        <v>8</v>
      </c>
      <c r="M43" s="301" t="n">
        <v>8</v>
      </c>
      <c r="N43" s="301" t="n">
        <v>8</v>
      </c>
      <c r="O43" s="301" t="n">
        <v>8</v>
      </c>
      <c r="P43" s="301" t="inlineStr">
        <is>
          <t>RD</t>
        </is>
      </c>
      <c r="Q43" s="301" t="n">
        <v>8</v>
      </c>
      <c r="R43" s="301" t="n">
        <v>8</v>
      </c>
      <c r="S43" s="301" t="n">
        <v>8</v>
      </c>
      <c r="T43" s="301" t="n">
        <v>8</v>
      </c>
      <c r="U43" s="301" t="n">
        <v>8</v>
      </c>
      <c r="V43" s="301" t="n">
        <v>8</v>
      </c>
      <c r="W43" s="301" t="n">
        <v>8</v>
      </c>
      <c r="X43" s="301" t="n">
        <v>8</v>
      </c>
      <c r="Y43" s="301" t="n">
        <v>8</v>
      </c>
      <c r="Z43" s="301" t="inlineStr">
        <is>
          <t>RD</t>
        </is>
      </c>
      <c r="AA43" s="301" t="n">
        <v>8</v>
      </c>
      <c r="AB43" s="301" t="n">
        <v>8</v>
      </c>
      <c r="AC43" s="301" t="n">
        <v>8</v>
      </c>
      <c r="AD43" s="301" t="n">
        <v>8</v>
      </c>
      <c r="AE43" s="301" t="inlineStr">
        <is>
          <t>RD</t>
        </is>
      </c>
      <c r="AF43" s="301" t="n">
        <v>8</v>
      </c>
      <c r="AG43" s="301" t="n">
        <v>8</v>
      </c>
      <c r="AH43" s="301" t="inlineStr">
        <is>
          <t>RD</t>
        </is>
      </c>
      <c r="AI43" s="301" t="n">
        <v>8</v>
      </c>
      <c r="AJ43" s="302" t="n">
        <v>8</v>
      </c>
      <c r="AK43" s="128">
        <f>COUNT(I43:AJ43)</f>
        <v/>
      </c>
      <c r="AL43" s="176">
        <f>SUM(I43:AJ43)</f>
        <v/>
      </c>
      <c r="AM43" s="291">
        <f>COUNTIFS($I43:$AJ43,$AM$6)</f>
        <v/>
      </c>
      <c r="AN43" s="63">
        <f>COUNTIFS($I43:$AJ43,$AN$6)</f>
        <v/>
      </c>
      <c r="AO43" s="63">
        <f>COUNTIFS($I43:$AJ43,$AO$6)</f>
        <v/>
      </c>
      <c r="AP43" s="63">
        <f>COUNTIFS($I43:$AJ43,$AP$6)</f>
        <v/>
      </c>
      <c r="AQ43" s="63">
        <f>COUNTIFS($I43:$AJ43,$AQ$6)</f>
        <v/>
      </c>
      <c r="AR43" s="63">
        <f>AR42</f>
        <v/>
      </c>
      <c r="AS43" s="221">
        <f>COUNTIF(I43:AJ43,"RD")</f>
        <v/>
      </c>
      <c r="AT43" s="221">
        <f>AR43-AS43</f>
        <v/>
      </c>
      <c r="AU43" s="221">
        <f>COUNTIF(H43:AJ43,"SH")</f>
        <v/>
      </c>
      <c r="AV43" s="221">
        <f>COUNTIF(I43:AJ43,"SL")</f>
        <v/>
      </c>
      <c r="AW43" s="221">
        <f>COUNTIF(I43:AJ43,"np")</f>
        <v/>
      </c>
      <c r="AX43" s="221">
        <f>COUNTIF(I43:AJ43,"AL*")</f>
        <v/>
      </c>
      <c r="AY43" s="221">
        <f>COUNTIF(I43:AJ43,"NC*")</f>
        <v/>
      </c>
      <c r="AZ43" s="360" t="n"/>
    </row>
    <row r="44" ht="25.5" customFormat="1" customHeight="1" s="75" thickBot="1">
      <c r="B44" s="141" t="inlineStr">
        <is>
          <t>M27</t>
        </is>
      </c>
      <c r="C44" s="396" t="inlineStr">
        <is>
          <t>0004664</t>
        </is>
      </c>
      <c r="D44" s="128" t="inlineStr">
        <is>
          <t>朱保英</t>
        </is>
      </c>
      <c r="E44" s="321" t="inlineStr">
        <is>
          <t>SG/G</t>
        </is>
      </c>
      <c r="F44" s="186" t="inlineStr">
        <is>
          <t>SECU_G(D)</t>
        </is>
      </c>
      <c r="G44" s="187" t="n">
        <v>8</v>
      </c>
      <c r="H44" s="128" t="inlineStr">
        <is>
          <t>早</t>
        </is>
      </c>
      <c r="I44" s="300" t="n">
        <v>8</v>
      </c>
      <c r="J44" s="301" t="n">
        <v>8</v>
      </c>
      <c r="K44" s="301" t="n">
        <v>8</v>
      </c>
      <c r="L44" s="301" t="n">
        <v>8</v>
      </c>
      <c r="M44" s="301" t="n">
        <v>8</v>
      </c>
      <c r="N44" s="301" t="inlineStr">
        <is>
          <t>RD</t>
        </is>
      </c>
      <c r="O44" s="301" t="n">
        <v>8</v>
      </c>
      <c r="P44" s="301" t="n">
        <v>8</v>
      </c>
      <c r="Q44" s="301" t="n">
        <v>8</v>
      </c>
      <c r="R44" s="301" t="n">
        <v>8</v>
      </c>
      <c r="S44" s="301" t="n">
        <v>8</v>
      </c>
      <c r="T44" s="301" t="n">
        <v>8</v>
      </c>
      <c r="U44" s="301" t="inlineStr">
        <is>
          <t>RD</t>
        </is>
      </c>
      <c r="V44" s="301" t="n">
        <v>8</v>
      </c>
      <c r="W44" s="301" t="n">
        <v>8</v>
      </c>
      <c r="X44" s="301" t="n">
        <v>8</v>
      </c>
      <c r="Y44" s="301" t="n">
        <v>8</v>
      </c>
      <c r="Z44" s="301" t="n">
        <v>8</v>
      </c>
      <c r="AA44" s="301" t="n">
        <v>8</v>
      </c>
      <c r="AB44" s="301" t="n">
        <v>8</v>
      </c>
      <c r="AC44" s="301" t="inlineStr">
        <is>
          <t>RD</t>
        </is>
      </c>
      <c r="AD44" s="301" t="inlineStr">
        <is>
          <t>RD</t>
        </is>
      </c>
      <c r="AE44" s="301" t="n">
        <v>8</v>
      </c>
      <c r="AF44" s="301" t="n">
        <v>8</v>
      </c>
      <c r="AG44" s="301" t="n">
        <v>8</v>
      </c>
      <c r="AH44" s="301" t="n">
        <v>8</v>
      </c>
      <c r="AI44" s="301" t="inlineStr">
        <is>
          <t>RD</t>
        </is>
      </c>
      <c r="AJ44" s="302" t="n">
        <v>8</v>
      </c>
      <c r="AK44" s="128">
        <f>COUNT(I44:AJ44)</f>
        <v/>
      </c>
      <c r="AL44" s="176">
        <f>SUM(I44:AJ44)</f>
        <v/>
      </c>
      <c r="AM44" s="291">
        <f>COUNTIFS($I44:$AJ44,$AM$6)</f>
        <v/>
      </c>
      <c r="AN44" s="63">
        <f>COUNTIFS($I44:$AJ44,$AN$6)</f>
        <v/>
      </c>
      <c r="AO44" s="63">
        <f>COUNTIFS($I44:$AJ44,$AO$6)</f>
        <v/>
      </c>
      <c r="AP44" s="63">
        <f>COUNTIFS($I44:$AJ44,$AP$6)</f>
        <v/>
      </c>
      <c r="AQ44" s="63">
        <f>COUNTIFS($I44:$AJ44,$AQ$6)</f>
        <v/>
      </c>
      <c r="AR44" s="63">
        <f>AR43</f>
        <v/>
      </c>
      <c r="AS44" s="221">
        <f>COUNTIF(I44:AJ44,"RD")</f>
        <v/>
      </c>
      <c r="AT44" s="221">
        <f>AR44-AS44</f>
        <v/>
      </c>
      <c r="AU44" s="221">
        <f>COUNTIF(H44:AJ44,"SH")</f>
        <v/>
      </c>
      <c r="AV44" s="221">
        <f>COUNTIF(I44:AJ44,"SL")</f>
        <v/>
      </c>
      <c r="AW44" s="221">
        <f>COUNTIF(I44:AJ44,"np")</f>
        <v/>
      </c>
      <c r="AX44" s="221">
        <f>COUNTIF(I44:AJ44,"AL*")</f>
        <v/>
      </c>
      <c r="AY44" s="221">
        <f>COUNTIF(I44:AJ44,"NC*")</f>
        <v/>
      </c>
      <c r="AZ44" s="360" t="n"/>
    </row>
    <row r="45" ht="25.5" customFormat="1" customHeight="1" s="68">
      <c r="B45" s="141" t="inlineStr">
        <is>
          <t>M28</t>
        </is>
      </c>
      <c r="C45" s="396" t="inlineStr">
        <is>
          <t>0004686</t>
        </is>
      </c>
      <c r="D45" s="128" t="inlineStr">
        <is>
          <t>唐紅</t>
        </is>
      </c>
      <c r="E45" s="292" t="inlineStr">
        <is>
          <t>SG/G</t>
        </is>
      </c>
      <c r="F45" s="178" t="inlineStr">
        <is>
          <t>SECU_G(D)</t>
        </is>
      </c>
      <c r="G45" s="179" t="n">
        <v>8</v>
      </c>
      <c r="H45" s="128" t="inlineStr">
        <is>
          <t>早</t>
        </is>
      </c>
      <c r="I45" s="300" t="n">
        <v>8</v>
      </c>
      <c r="J45" s="301" t="n">
        <v>8</v>
      </c>
      <c r="K45" s="301" t="n">
        <v>8</v>
      </c>
      <c r="L45" s="301" t="n">
        <v>8</v>
      </c>
      <c r="M45" s="301" t="inlineStr">
        <is>
          <t>RD</t>
        </is>
      </c>
      <c r="N45" s="301" t="n">
        <v>8</v>
      </c>
      <c r="O45" s="301" t="n">
        <v>8</v>
      </c>
      <c r="P45" s="301" t="n">
        <v>8</v>
      </c>
      <c r="Q45" s="301" t="n">
        <v>8</v>
      </c>
      <c r="R45" s="301" t="n">
        <v>8</v>
      </c>
      <c r="S45" s="301" t="inlineStr">
        <is>
          <t>RD</t>
        </is>
      </c>
      <c r="T45" s="301" t="n">
        <v>8</v>
      </c>
      <c r="U45" s="301" t="n">
        <v>8</v>
      </c>
      <c r="V45" s="301" t="n">
        <v>8</v>
      </c>
      <c r="W45" s="301" t="n">
        <v>8</v>
      </c>
      <c r="X45" s="301" t="n">
        <v>8</v>
      </c>
      <c r="Y45" s="301" t="n">
        <v>8</v>
      </c>
      <c r="Z45" s="301" t="inlineStr">
        <is>
          <t>RD</t>
        </is>
      </c>
      <c r="AA45" s="301" t="n">
        <v>8</v>
      </c>
      <c r="AB45" s="301" t="n">
        <v>8</v>
      </c>
      <c r="AC45" s="301" t="n">
        <v>8</v>
      </c>
      <c r="AD45" s="301" t="n">
        <v>8</v>
      </c>
      <c r="AE45" s="301" t="n">
        <v>8</v>
      </c>
      <c r="AF45" s="301" t="n">
        <v>8</v>
      </c>
      <c r="AG45" s="301" t="n">
        <v>8</v>
      </c>
      <c r="AH45" s="301" t="n">
        <v>8</v>
      </c>
      <c r="AI45" s="301" t="n">
        <v>8</v>
      </c>
      <c r="AJ45" s="302" t="n">
        <v>8</v>
      </c>
      <c r="AK45" s="128">
        <f>COUNT(I45:AJ45)</f>
        <v/>
      </c>
      <c r="AL45" s="176">
        <f>SUM(I45:AJ45)</f>
        <v/>
      </c>
      <c r="AM45" s="291">
        <f>COUNTIFS($I45:$AJ45,$AM$6)</f>
        <v/>
      </c>
      <c r="AN45" s="178">
        <f>COUNTIFS($I45:$AJ45,$AN$6)</f>
        <v/>
      </c>
      <c r="AO45" s="178">
        <f>COUNTIFS($I45:$AJ45,$AO$6)</f>
        <v/>
      </c>
      <c r="AP45" s="178">
        <f>COUNTIFS($I45:$AJ45,$AP$6)</f>
        <v/>
      </c>
      <c r="AQ45" s="178">
        <f>COUNTIFS($I45:$AJ45,$AQ$6)</f>
        <v/>
      </c>
      <c r="AR45" s="63">
        <f>AR44</f>
        <v/>
      </c>
      <c r="AS45" s="221">
        <f>COUNTIF(I45:AJ45,"RD")</f>
        <v/>
      </c>
      <c r="AT45" s="221">
        <f>AR45-AS45</f>
        <v/>
      </c>
      <c r="AU45" s="221">
        <f>COUNTIF(H45:AJ45,"SH")</f>
        <v/>
      </c>
      <c r="AV45" s="221">
        <f>COUNTIF(I45:AJ45,"SL")</f>
        <v/>
      </c>
      <c r="AW45" s="221">
        <f>COUNTIF(I45:AJ45,"np")</f>
        <v/>
      </c>
      <c r="AX45" s="221">
        <f>COUNTIF(I45:AJ45,"AL*")</f>
        <v/>
      </c>
      <c r="AY45" s="221">
        <f>COUNTIF(I45:AJ45,"NC*")</f>
        <v/>
      </c>
      <c r="AZ45" s="360" t="n"/>
    </row>
    <row r="46" ht="25.5" customFormat="1" customHeight="1" s="228">
      <c r="B46" s="141" t="inlineStr">
        <is>
          <t>M29</t>
        </is>
      </c>
      <c r="C46" s="397" t="inlineStr">
        <is>
          <t>0004684</t>
        </is>
      </c>
      <c r="D46" s="128" t="inlineStr">
        <is>
          <t>任富萍</t>
        </is>
      </c>
      <c r="E46" s="332" t="inlineStr">
        <is>
          <t>SG/G</t>
        </is>
      </c>
      <c r="F46" s="183" t="inlineStr">
        <is>
          <t>SECU_G(D)</t>
        </is>
      </c>
      <c r="G46" s="184" t="n">
        <v>8</v>
      </c>
      <c r="H46" s="128" t="inlineStr">
        <is>
          <t>早</t>
        </is>
      </c>
      <c r="I46" s="300" t="n">
        <v>8</v>
      </c>
      <c r="J46" s="301" t="n">
        <v>8</v>
      </c>
      <c r="K46" s="301" t="inlineStr">
        <is>
          <t>RD</t>
        </is>
      </c>
      <c r="L46" s="301" t="n">
        <v>8</v>
      </c>
      <c r="M46" s="301" t="n">
        <v>8</v>
      </c>
      <c r="N46" s="301" t="n">
        <v>8</v>
      </c>
      <c r="O46" s="301" t="n">
        <v>8</v>
      </c>
      <c r="P46" s="301" t="n">
        <v>8</v>
      </c>
      <c r="Q46" s="301" t="inlineStr">
        <is>
          <t>RD</t>
        </is>
      </c>
      <c r="R46" s="301" t="n">
        <v>8</v>
      </c>
      <c r="S46" s="301" t="n">
        <v>8</v>
      </c>
      <c r="T46" s="301" t="n">
        <v>8</v>
      </c>
      <c r="U46" s="301" t="n">
        <v>8</v>
      </c>
      <c r="V46" s="301" t="inlineStr">
        <is>
          <t>RD</t>
        </is>
      </c>
      <c r="W46" s="301" t="n">
        <v>8</v>
      </c>
      <c r="X46" s="301" t="n">
        <v>8</v>
      </c>
      <c r="Y46" s="301" t="inlineStr">
        <is>
          <t>RD</t>
        </is>
      </c>
      <c r="Z46" s="301" t="n">
        <v>8</v>
      </c>
      <c r="AA46" s="301" t="n">
        <v>8</v>
      </c>
      <c r="AB46" s="301" t="n">
        <v>8</v>
      </c>
      <c r="AC46" s="301" t="n">
        <v>8</v>
      </c>
      <c r="AD46" s="301" t="n">
        <v>8</v>
      </c>
      <c r="AE46" s="301" t="n">
        <v>8</v>
      </c>
      <c r="AF46" s="301" t="n">
        <v>8</v>
      </c>
      <c r="AG46" s="301" t="n">
        <v>8</v>
      </c>
      <c r="AH46" s="301" t="n">
        <v>8</v>
      </c>
      <c r="AI46" s="301" t="n">
        <v>8</v>
      </c>
      <c r="AJ46" s="302" t="n">
        <v>8</v>
      </c>
      <c r="AK46" s="427">
        <f>COUNT(I46:AJ46)</f>
        <v/>
      </c>
      <c r="AL46" s="185">
        <f>SUM(I46:AJ46)</f>
        <v/>
      </c>
      <c r="AM46" s="332">
        <f>COUNTIFS($I46:$AJ46,$AM$6)</f>
        <v/>
      </c>
      <c r="AN46" s="183">
        <f>COUNTIFS($I46:$AJ46,$AN$6)</f>
        <v/>
      </c>
      <c r="AO46" s="183">
        <f>COUNTIFS($I46:$AJ46,$AO$6)</f>
        <v/>
      </c>
      <c r="AP46" s="183">
        <f>COUNTIFS($I46:$AJ46,$AP$6)</f>
        <v/>
      </c>
      <c r="AQ46" s="183">
        <f>COUNTIFS($I46:$AJ46,$AQ$6)</f>
        <v/>
      </c>
      <c r="AR46" s="63">
        <f>AR45</f>
        <v/>
      </c>
      <c r="AS46" s="229">
        <f>COUNTIF(I46:AJ46,"RD")</f>
        <v/>
      </c>
      <c r="AT46" s="229">
        <f>AR46-AS46</f>
        <v/>
      </c>
      <c r="AU46" s="229">
        <f>COUNTIF(H46:AJ46,"SH")</f>
        <v/>
      </c>
      <c r="AV46" s="229">
        <f>COUNTIF(I46:AJ46,"SL")</f>
        <v/>
      </c>
      <c r="AW46" s="229">
        <f>COUNTIF(I46:AJ46,"np")</f>
        <v/>
      </c>
      <c r="AX46" s="229">
        <f>COUNTIF(I46:AJ46,"AL*")</f>
        <v/>
      </c>
      <c r="AY46" s="229">
        <f>COUNTIF(I46:AJ46,"NC*")</f>
        <v/>
      </c>
      <c r="AZ46" s="363" t="n"/>
    </row>
    <row r="47" ht="25.5" customFormat="1" customHeight="1" s="75">
      <c r="B47" s="141" t="inlineStr">
        <is>
          <t>M30</t>
        </is>
      </c>
      <c r="C47" s="396" t="inlineStr">
        <is>
          <t>0004674</t>
        </is>
      </c>
      <c r="D47" s="128" t="inlineStr">
        <is>
          <t>雷蓮英</t>
        </is>
      </c>
      <c r="E47" s="291" t="inlineStr">
        <is>
          <t>SG/G</t>
        </is>
      </c>
      <c r="F47" s="63" t="inlineStr">
        <is>
          <t>SECU_G(D)</t>
        </is>
      </c>
      <c r="G47" s="182" t="n">
        <v>8</v>
      </c>
      <c r="H47" s="128" t="inlineStr">
        <is>
          <t>早</t>
        </is>
      </c>
      <c r="I47" s="300" t="n">
        <v>8</v>
      </c>
      <c r="J47" s="301" t="n">
        <v>8</v>
      </c>
      <c r="K47" s="301" t="n">
        <v>8</v>
      </c>
      <c r="L47" s="301" t="n">
        <v>8</v>
      </c>
      <c r="M47" s="301" t="n">
        <v>8</v>
      </c>
      <c r="N47" s="301" t="inlineStr">
        <is>
          <t>RD</t>
        </is>
      </c>
      <c r="O47" s="301" t="n">
        <v>8</v>
      </c>
      <c r="P47" s="301" t="n">
        <v>8</v>
      </c>
      <c r="Q47" s="301" t="n">
        <v>8</v>
      </c>
      <c r="R47" s="301" t="n">
        <v>8</v>
      </c>
      <c r="S47" s="301" t="n">
        <v>8</v>
      </c>
      <c r="T47" s="301" t="n">
        <v>8</v>
      </c>
      <c r="U47" s="301" t="n">
        <v>8</v>
      </c>
      <c r="V47" s="301" t="n">
        <v>8</v>
      </c>
      <c r="W47" s="301" t="inlineStr">
        <is>
          <t>RD</t>
        </is>
      </c>
      <c r="X47" s="301" t="n">
        <v>8</v>
      </c>
      <c r="Y47" s="301" t="n">
        <v>8</v>
      </c>
      <c r="Z47" s="301" t="n">
        <v>8</v>
      </c>
      <c r="AA47" s="301" t="n">
        <v>8</v>
      </c>
      <c r="AB47" s="301" t="n">
        <v>8</v>
      </c>
      <c r="AC47" s="301" t="inlineStr">
        <is>
          <t>RD</t>
        </is>
      </c>
      <c r="AD47" s="301" t="n">
        <v>8</v>
      </c>
      <c r="AE47" s="301" t="n">
        <v>8</v>
      </c>
      <c r="AF47" s="301" t="inlineStr">
        <is>
          <t>RD</t>
        </is>
      </c>
      <c r="AG47" s="301" t="n">
        <v>8</v>
      </c>
      <c r="AH47" s="301" t="n">
        <v>8</v>
      </c>
      <c r="AI47" s="301" t="n">
        <v>8</v>
      </c>
      <c r="AJ47" s="302" t="n">
        <v>8</v>
      </c>
      <c r="AK47" s="128">
        <f>COUNT(I47:AJ47)</f>
        <v/>
      </c>
      <c r="AL47" s="176">
        <f>SUM(I47:AJ47)</f>
        <v/>
      </c>
      <c r="AM47" s="291">
        <f>COUNTIFS($I47:$AJ47,$AM$6)</f>
        <v/>
      </c>
      <c r="AN47" s="63">
        <f>COUNTIFS($I47:$AJ47,$AN$6)</f>
        <v/>
      </c>
      <c r="AO47" s="63">
        <f>COUNTIFS($I47:$AJ47,$AO$6)</f>
        <v/>
      </c>
      <c r="AP47" s="63">
        <f>COUNTIFS($I47:$AJ47,$AP$6)</f>
        <v/>
      </c>
      <c r="AQ47" s="63">
        <f>COUNTIFS($I47:$AJ47,$AQ$6)</f>
        <v/>
      </c>
      <c r="AR47" s="63">
        <f>AR46</f>
        <v/>
      </c>
      <c r="AS47" s="221">
        <f>COUNTIF(I47:AJ47,"RD")</f>
        <v/>
      </c>
      <c r="AT47" s="221">
        <f>AR47-AS47</f>
        <v/>
      </c>
      <c r="AU47" s="221">
        <f>COUNTIF(H47:AJ47,"SH")</f>
        <v/>
      </c>
      <c r="AV47" s="221">
        <f>COUNTIF(I47:AJ47,"SL")</f>
        <v/>
      </c>
      <c r="AW47" s="221">
        <f>COUNTIF(I47:AJ47,"np")</f>
        <v/>
      </c>
      <c r="AX47" s="221">
        <f>COUNTIF(I47:AJ47,"AL*")</f>
        <v/>
      </c>
      <c r="AY47" s="221">
        <f>COUNTIF(I47:AJ47,"NC*")</f>
        <v/>
      </c>
      <c r="AZ47" s="360" t="n"/>
    </row>
    <row r="48" ht="25.5" customFormat="1" customHeight="1" s="75">
      <c r="B48" s="141" t="inlineStr">
        <is>
          <t>M31</t>
        </is>
      </c>
      <c r="C48" s="396" t="inlineStr">
        <is>
          <t>0004700</t>
        </is>
      </c>
      <c r="D48" s="128" t="inlineStr">
        <is>
          <t>梁映娥</t>
        </is>
      </c>
      <c r="E48" s="291" t="n"/>
      <c r="F48" s="63" t="n"/>
      <c r="G48" s="182" t="n"/>
      <c r="H48" s="128" t="inlineStr">
        <is>
          <t>早</t>
        </is>
      </c>
      <c r="I48" s="300" t="inlineStr">
        <is>
          <t>RD</t>
        </is>
      </c>
      <c r="J48" s="301" t="inlineStr">
        <is>
          <t>RD</t>
        </is>
      </c>
      <c r="K48" s="301" t="n">
        <v>8</v>
      </c>
      <c r="L48" s="301" t="n">
        <v>8</v>
      </c>
      <c r="M48" s="301" t="n">
        <v>8</v>
      </c>
      <c r="N48" s="301" t="n">
        <v>8</v>
      </c>
      <c r="O48" s="301" t="n">
        <v>8</v>
      </c>
      <c r="P48" s="301" t="n">
        <v>8</v>
      </c>
      <c r="Q48" s="301" t="n">
        <v>8</v>
      </c>
      <c r="R48" s="301" t="inlineStr">
        <is>
          <t>RD</t>
        </is>
      </c>
      <c r="S48" s="301" t="n">
        <v>8</v>
      </c>
      <c r="T48" s="301" t="n">
        <v>8</v>
      </c>
      <c r="U48" s="301" t="n">
        <v>8</v>
      </c>
      <c r="V48" s="301" t="n">
        <v>8</v>
      </c>
      <c r="W48" s="301" t="n">
        <v>8</v>
      </c>
      <c r="X48" s="301" t="n">
        <v>8</v>
      </c>
      <c r="Y48" s="301" t="inlineStr">
        <is>
          <t>RD</t>
        </is>
      </c>
      <c r="Z48" s="301" t="n">
        <v>8</v>
      </c>
      <c r="AA48" s="301" t="n">
        <v>8</v>
      </c>
      <c r="AB48" s="301" t="n">
        <v>8</v>
      </c>
      <c r="AC48" s="301" t="n">
        <v>8</v>
      </c>
      <c r="AD48" s="301" t="n">
        <v>8</v>
      </c>
      <c r="AE48" s="301" t="n">
        <v>8</v>
      </c>
      <c r="AF48" s="301" t="n">
        <v>8</v>
      </c>
      <c r="AG48" s="301" t="n">
        <v>8</v>
      </c>
      <c r="AH48" s="301" t="n">
        <v>8</v>
      </c>
      <c r="AI48" s="301" t="n">
        <v>8</v>
      </c>
      <c r="AJ48" s="302" t="n">
        <v>8</v>
      </c>
      <c r="AK48" s="128">
        <f>COUNT(I48:AJ48)</f>
        <v/>
      </c>
      <c r="AL48" s="176">
        <f>SUM(I48:AJ48)</f>
        <v/>
      </c>
      <c r="AM48" s="291">
        <f>COUNTIFS($I48:$AJ48,$AM$6)</f>
        <v/>
      </c>
      <c r="AN48" s="63">
        <f>COUNTIFS($I48:$AJ48,$AN$6)</f>
        <v/>
      </c>
      <c r="AO48" s="63">
        <f>COUNTIFS($I48:$AJ48,$AO$6)</f>
        <v/>
      </c>
      <c r="AP48" s="63">
        <f>COUNTIFS($I48:$AJ48,$AP$6)</f>
        <v/>
      </c>
      <c r="AQ48" s="63">
        <f>COUNTIFS($I48:$AJ48,$AQ$6)</f>
        <v/>
      </c>
      <c r="AR48" s="63">
        <f>AR47</f>
        <v/>
      </c>
      <c r="AS48" s="221">
        <f>COUNTIF(I48:AJ48,"RD")</f>
        <v/>
      </c>
      <c r="AT48" s="221">
        <f>AR48-AS48</f>
        <v/>
      </c>
      <c r="AU48" s="221">
        <f>COUNTIF(H48:AJ48,"SH")</f>
        <v/>
      </c>
      <c r="AV48" s="221">
        <f>COUNTIF(I48:AJ48,"SL")</f>
        <v/>
      </c>
      <c r="AW48" s="221">
        <f>COUNTIF(I48:AJ48,"np")</f>
        <v/>
      </c>
      <c r="AX48" s="221">
        <f>COUNTIF(I48:AJ48,"AL*")</f>
        <v/>
      </c>
      <c r="AY48" s="221">
        <f>COUNTIF(I48:AJ48,"NC*")</f>
        <v/>
      </c>
      <c r="AZ48" s="360" t="n"/>
    </row>
    <row r="49" ht="25.5" customFormat="1" customHeight="1" s="75" thickBot="1">
      <c r="B49" s="141" t="inlineStr">
        <is>
          <t>M32</t>
        </is>
      </c>
      <c r="C49" s="396" t="inlineStr">
        <is>
          <t>0004681</t>
        </is>
      </c>
      <c r="D49" s="128" t="inlineStr">
        <is>
          <t>陳宜妃</t>
        </is>
      </c>
      <c r="E49" s="321" t="inlineStr">
        <is>
          <t>SG/G</t>
        </is>
      </c>
      <c r="F49" s="186" t="inlineStr">
        <is>
          <t>SECU_G(D)</t>
        </is>
      </c>
      <c r="G49" s="187" t="n">
        <v>8</v>
      </c>
      <c r="H49" s="128" t="inlineStr">
        <is>
          <t>早</t>
        </is>
      </c>
      <c r="I49" s="300" t="n">
        <v>8</v>
      </c>
      <c r="J49" s="301" t="n">
        <v>8</v>
      </c>
      <c r="K49" s="301" t="n">
        <v>8</v>
      </c>
      <c r="L49" s="301" t="n">
        <v>8</v>
      </c>
      <c r="M49" s="301" t="n">
        <v>8</v>
      </c>
      <c r="N49" s="301" t="inlineStr">
        <is>
          <t>RD</t>
        </is>
      </c>
      <c r="O49" s="301" t="n">
        <v>8</v>
      </c>
      <c r="P49" s="301" t="n">
        <v>8</v>
      </c>
      <c r="Q49" s="301" t="n">
        <v>8</v>
      </c>
      <c r="R49" s="301" t="n">
        <v>8</v>
      </c>
      <c r="S49" s="301" t="n">
        <v>8</v>
      </c>
      <c r="T49" s="301" t="inlineStr">
        <is>
          <t>RD</t>
        </is>
      </c>
      <c r="U49" s="301" t="n">
        <v>8</v>
      </c>
      <c r="V49" s="301" t="n">
        <v>8</v>
      </c>
      <c r="W49" s="301" t="n">
        <v>8</v>
      </c>
      <c r="X49" s="301" t="n">
        <v>8</v>
      </c>
      <c r="Y49" s="301" t="inlineStr">
        <is>
          <t>RD</t>
        </is>
      </c>
      <c r="Z49" s="301" t="inlineStr">
        <is>
          <t>RD</t>
        </is>
      </c>
      <c r="AA49" s="301" t="n">
        <v>8</v>
      </c>
      <c r="AB49" s="301" t="n">
        <v>8</v>
      </c>
      <c r="AC49" s="301" t="n">
        <v>8</v>
      </c>
      <c r="AD49" s="301" t="n">
        <v>8</v>
      </c>
      <c r="AE49" s="301" t="n">
        <v>8</v>
      </c>
      <c r="AF49" s="301" t="n">
        <v>8</v>
      </c>
      <c r="AG49" s="301" t="n">
        <v>8</v>
      </c>
      <c r="AH49" s="301" t="n">
        <v>8</v>
      </c>
      <c r="AI49" s="301" t="n">
        <v>8</v>
      </c>
      <c r="AJ49" s="302" t="n">
        <v>8</v>
      </c>
      <c r="AK49" s="128">
        <f>COUNT(I49:AJ49)</f>
        <v/>
      </c>
      <c r="AL49" s="176">
        <f>SUM(I49:AJ49)</f>
        <v/>
      </c>
      <c r="AM49" s="291">
        <f>COUNTIFS($I49:$AJ49,$AM$6)</f>
        <v/>
      </c>
      <c r="AN49" s="63">
        <f>COUNTIFS($I49:$AJ49,$AN$6)</f>
        <v/>
      </c>
      <c r="AO49" s="63">
        <f>COUNTIFS($I49:$AJ49,$AO$6)</f>
        <v/>
      </c>
      <c r="AP49" s="63">
        <f>COUNTIFS($I49:$AJ49,$AP$6)</f>
        <v/>
      </c>
      <c r="AQ49" s="63">
        <f>COUNTIFS($I49:$AJ49,$AQ$6)</f>
        <v/>
      </c>
      <c r="AR49" s="63">
        <f>AR48</f>
        <v/>
      </c>
      <c r="AS49" s="221">
        <f>COUNTIF(I49:AJ49,"RD")</f>
        <v/>
      </c>
      <c r="AT49" s="221">
        <f>AR49-AS49</f>
        <v/>
      </c>
      <c r="AU49" s="221">
        <f>COUNTIF(H49:AJ49,"SH")</f>
        <v/>
      </c>
      <c r="AV49" s="221">
        <f>COUNTIF(I49:AJ49,"SL")</f>
        <v/>
      </c>
      <c r="AW49" s="221">
        <f>COUNTIF(I49:AJ49,"np")</f>
        <v/>
      </c>
      <c r="AX49" s="221">
        <f>COUNTIF(I49:AJ49,"AL*")</f>
        <v/>
      </c>
      <c r="AY49" s="221">
        <f>COUNTIF(I49:AJ49,"NC*")</f>
        <v/>
      </c>
      <c r="AZ49" s="360" t="n"/>
    </row>
    <row r="50" ht="25.5" customFormat="1" customHeight="1" s="68">
      <c r="B50" s="141" t="inlineStr">
        <is>
          <t>M33</t>
        </is>
      </c>
      <c r="C50" s="396" t="inlineStr">
        <is>
          <t>0004692</t>
        </is>
      </c>
      <c r="D50" s="128" t="inlineStr">
        <is>
          <t>萬美萍</t>
        </is>
      </c>
      <c r="E50" s="292" t="inlineStr">
        <is>
          <t>SG/G</t>
        </is>
      </c>
      <c r="F50" s="178" t="inlineStr">
        <is>
          <t>SECU_G(D)</t>
        </is>
      </c>
      <c r="G50" s="179" t="n">
        <v>8</v>
      </c>
      <c r="H50" s="128" t="inlineStr">
        <is>
          <t>早</t>
        </is>
      </c>
      <c r="I50" s="300" t="n">
        <v>8</v>
      </c>
      <c r="J50" s="301" t="n">
        <v>8</v>
      </c>
      <c r="K50" s="301" t="n">
        <v>8</v>
      </c>
      <c r="L50" s="301" t="n">
        <v>8</v>
      </c>
      <c r="M50" s="301" t="inlineStr">
        <is>
          <t>RD</t>
        </is>
      </c>
      <c r="N50" s="301" t="inlineStr">
        <is>
          <t>RD</t>
        </is>
      </c>
      <c r="O50" s="301" t="n">
        <v>8</v>
      </c>
      <c r="P50" s="301" t="n">
        <v>8</v>
      </c>
      <c r="Q50" s="301" t="n">
        <v>8</v>
      </c>
      <c r="R50" s="301" t="n">
        <v>8</v>
      </c>
      <c r="S50" s="301" t="n">
        <v>8</v>
      </c>
      <c r="T50" s="301" t="n">
        <v>8</v>
      </c>
      <c r="U50" s="301" t="n">
        <v>8</v>
      </c>
      <c r="V50" s="301" t="n">
        <v>8</v>
      </c>
      <c r="W50" s="301" t="inlineStr">
        <is>
          <t>RD</t>
        </is>
      </c>
      <c r="X50" s="301" t="n">
        <v>8</v>
      </c>
      <c r="Y50" s="301" t="n">
        <v>8</v>
      </c>
      <c r="Z50" s="301" t="n">
        <v>8</v>
      </c>
      <c r="AA50" s="301" t="n">
        <v>8</v>
      </c>
      <c r="AB50" s="301" t="n">
        <v>8</v>
      </c>
      <c r="AC50" s="301" t="inlineStr">
        <is>
          <t>RD</t>
        </is>
      </c>
      <c r="AD50" s="301" t="n">
        <v>8</v>
      </c>
      <c r="AE50" s="301" t="n">
        <v>8</v>
      </c>
      <c r="AF50" s="301" t="n">
        <v>8</v>
      </c>
      <c r="AG50" s="301" t="inlineStr">
        <is>
          <t>RD</t>
        </is>
      </c>
      <c r="AH50" s="301" t="n">
        <v>8</v>
      </c>
      <c r="AI50" s="301" t="n">
        <v>8</v>
      </c>
      <c r="AJ50" s="302" t="n">
        <v>8</v>
      </c>
      <c r="AK50" s="128">
        <f>COUNT(I50:AJ50)</f>
        <v/>
      </c>
      <c r="AL50" s="176">
        <f>SUM(I50:AJ50)</f>
        <v/>
      </c>
      <c r="AM50" s="291">
        <f>COUNTIFS($I50:$AJ50,$AM$6)</f>
        <v/>
      </c>
      <c r="AN50" s="178">
        <f>COUNTIFS($I50:$AJ50,$AN$6)</f>
        <v/>
      </c>
      <c r="AO50" s="178">
        <f>COUNTIFS($I50:$AJ50,$AO$6)</f>
        <v/>
      </c>
      <c r="AP50" s="178">
        <f>COUNTIFS($I50:$AJ50,$AP$6)</f>
        <v/>
      </c>
      <c r="AQ50" s="178">
        <f>COUNTIFS($I50:$AJ50,$AQ$6)</f>
        <v/>
      </c>
      <c r="AR50" s="63">
        <f>AR49</f>
        <v/>
      </c>
      <c r="AS50" s="221">
        <f>COUNTIF(I50:AJ50,"RD")</f>
        <v/>
      </c>
      <c r="AT50" s="221">
        <f>AR50-AS50</f>
        <v/>
      </c>
      <c r="AU50" s="221">
        <f>COUNTIF(H50:AJ50,"SH")</f>
        <v/>
      </c>
      <c r="AV50" s="221">
        <f>COUNTIF(I50:AJ50,"SL")</f>
        <v/>
      </c>
      <c r="AW50" s="221">
        <f>COUNTIF(I50:AJ50,"np")</f>
        <v/>
      </c>
      <c r="AX50" s="221">
        <f>COUNTIF(I50:AJ50,"AL*")</f>
        <v/>
      </c>
      <c r="AY50" s="221">
        <f>COUNTIF(I50:AJ50,"NC*")</f>
        <v/>
      </c>
      <c r="AZ50" s="360" t="n"/>
    </row>
    <row r="51" ht="25.5" customFormat="1" customHeight="1" s="75">
      <c r="B51" s="141" t="inlineStr">
        <is>
          <t>M34</t>
        </is>
      </c>
      <c r="C51" s="396" t="inlineStr">
        <is>
          <t>0004679</t>
        </is>
      </c>
      <c r="D51" s="128" t="inlineStr">
        <is>
          <t>阮益忠</t>
        </is>
      </c>
      <c r="E51" s="291" t="inlineStr">
        <is>
          <t>SG/G</t>
        </is>
      </c>
      <c r="F51" s="63" t="inlineStr">
        <is>
          <t>SECU_G(D)</t>
        </is>
      </c>
      <c r="G51" s="182" t="n">
        <v>8</v>
      </c>
      <c r="H51" s="128" t="inlineStr">
        <is>
          <t>早</t>
        </is>
      </c>
      <c r="I51" s="300" t="inlineStr">
        <is>
          <t>FH</t>
        </is>
      </c>
      <c r="J51" s="301" t="n">
        <v>8</v>
      </c>
      <c r="K51" s="301" t="n">
        <v>8</v>
      </c>
      <c r="L51" s="301" t="inlineStr">
        <is>
          <t>RD</t>
        </is>
      </c>
      <c r="M51" s="301" t="n">
        <v>8</v>
      </c>
      <c r="N51" s="301" t="n">
        <v>8</v>
      </c>
      <c r="O51" s="301" t="n">
        <v>8</v>
      </c>
      <c r="P51" s="301" t="inlineStr">
        <is>
          <t>FH</t>
        </is>
      </c>
      <c r="Q51" s="301" t="n">
        <v>8</v>
      </c>
      <c r="R51" s="301" t="n">
        <v>8</v>
      </c>
      <c r="S51" s="301" t="n">
        <v>8</v>
      </c>
      <c r="T51" s="301" t="inlineStr">
        <is>
          <t>RD</t>
        </is>
      </c>
      <c r="U51" s="301" t="inlineStr">
        <is>
          <t>RD</t>
        </is>
      </c>
      <c r="V51" s="301" t="inlineStr">
        <is>
          <t>FH</t>
        </is>
      </c>
      <c r="W51" s="301" t="n">
        <v>8</v>
      </c>
      <c r="X51" s="301" t="n">
        <v>8</v>
      </c>
      <c r="Y51" s="301" t="n">
        <v>8</v>
      </c>
      <c r="Z51" s="301" t="n">
        <v>8</v>
      </c>
      <c r="AA51" s="301" t="inlineStr">
        <is>
          <t>RD</t>
        </is>
      </c>
      <c r="AB51" s="301" t="n">
        <v>8</v>
      </c>
      <c r="AC51" s="301" t="n">
        <v>8</v>
      </c>
      <c r="AD51" s="301" t="inlineStr">
        <is>
          <t>FH</t>
        </is>
      </c>
      <c r="AE51" s="301" t="n">
        <v>8</v>
      </c>
      <c r="AF51" s="301" t="inlineStr">
        <is>
          <t>RD</t>
        </is>
      </c>
      <c r="AG51" s="301" t="n">
        <v>8</v>
      </c>
      <c r="AH51" s="301" t="inlineStr">
        <is>
          <t>FH</t>
        </is>
      </c>
      <c r="AI51" s="301" t="n">
        <v>8</v>
      </c>
      <c r="AJ51" s="302" t="n">
        <v>8</v>
      </c>
      <c r="AK51" s="128">
        <f>COUNT(I51:AJ51)</f>
        <v/>
      </c>
      <c r="AL51" s="176">
        <f>SUM(I51:AJ51)</f>
        <v/>
      </c>
      <c r="AM51" s="291">
        <f>COUNTIFS($I51:$AJ51,$AM$6)</f>
        <v/>
      </c>
      <c r="AN51" s="63">
        <f>COUNTIFS($I51:$AJ51,$AN$6)</f>
        <v/>
      </c>
      <c r="AO51" s="63">
        <f>COUNTIFS($I51:$AJ51,$AO$6)</f>
        <v/>
      </c>
      <c r="AP51" s="63">
        <f>COUNTIFS($I51:$AJ51,$AP$6)</f>
        <v/>
      </c>
      <c r="AQ51" s="63">
        <f>COUNTIFS($I51:$AJ51,$AQ$6)</f>
        <v/>
      </c>
      <c r="AR51" s="63">
        <f>AR50</f>
        <v/>
      </c>
      <c r="AS51" s="221">
        <f>COUNTIF(I51:AJ51,"RD")</f>
        <v/>
      </c>
      <c r="AT51" s="221">
        <f>AR51-AS51</f>
        <v/>
      </c>
      <c r="AU51" s="221">
        <f>COUNTIF(H51:AJ51,"SH")</f>
        <v/>
      </c>
      <c r="AV51" s="221">
        <f>COUNTIF(I51:AJ51,"SL")</f>
        <v/>
      </c>
      <c r="AW51" s="221">
        <f>COUNTIF(I51:AJ51,"np")</f>
        <v/>
      </c>
      <c r="AX51" s="221">
        <f>COUNTIF(I51:AJ51,"AL*")</f>
        <v/>
      </c>
      <c r="AY51" s="221">
        <f>COUNTIF(I51:AJ51,"NC*")</f>
        <v/>
      </c>
      <c r="AZ51" s="360" t="n"/>
    </row>
    <row r="52" ht="25.5" customFormat="1" customHeight="1" s="75">
      <c r="B52" s="141" t="inlineStr">
        <is>
          <t>M35</t>
        </is>
      </c>
      <c r="C52" s="396" t="inlineStr">
        <is>
          <t>0004678</t>
        </is>
      </c>
      <c r="D52" s="128" t="inlineStr">
        <is>
          <t>冼順蓮</t>
        </is>
      </c>
      <c r="E52" s="291" t="inlineStr">
        <is>
          <t>SG/G</t>
        </is>
      </c>
      <c r="F52" s="63" t="inlineStr">
        <is>
          <t>SECU_G(D)</t>
        </is>
      </c>
      <c r="G52" s="182" t="n">
        <v>8</v>
      </c>
      <c r="H52" s="128" t="inlineStr">
        <is>
          <t>早</t>
        </is>
      </c>
      <c r="I52" s="300" t="inlineStr">
        <is>
          <t>EC</t>
        </is>
      </c>
      <c r="J52" s="301" t="inlineStr">
        <is>
          <t>EC</t>
        </is>
      </c>
      <c r="K52" s="301" t="inlineStr">
        <is>
          <t>EC</t>
        </is>
      </c>
      <c r="L52" s="301" t="inlineStr">
        <is>
          <t>EC</t>
        </is>
      </c>
      <c r="M52" s="301" t="inlineStr">
        <is>
          <t>EC</t>
        </is>
      </c>
      <c r="N52" s="301" t="inlineStr">
        <is>
          <t>EC</t>
        </is>
      </c>
      <c r="O52" s="301" t="inlineStr">
        <is>
          <t>EC</t>
        </is>
      </c>
      <c r="P52" s="301" t="inlineStr">
        <is>
          <t>EC</t>
        </is>
      </c>
      <c r="Q52" s="301" t="inlineStr">
        <is>
          <t>EC</t>
        </is>
      </c>
      <c r="R52" s="301" t="inlineStr">
        <is>
          <t>EC</t>
        </is>
      </c>
      <c r="S52" s="301" t="inlineStr">
        <is>
          <t>EC</t>
        </is>
      </c>
      <c r="T52" s="301" t="inlineStr">
        <is>
          <t>EC</t>
        </is>
      </c>
      <c r="U52" s="301" t="inlineStr">
        <is>
          <t>EC</t>
        </is>
      </c>
      <c r="V52" s="301" t="inlineStr">
        <is>
          <t>EC</t>
        </is>
      </c>
      <c r="W52" s="301" t="inlineStr">
        <is>
          <t>EC</t>
        </is>
      </c>
      <c r="X52" s="301" t="inlineStr">
        <is>
          <t>EC</t>
        </is>
      </c>
      <c r="Y52" s="301" t="inlineStr">
        <is>
          <t>EC</t>
        </is>
      </c>
      <c r="Z52" s="301" t="inlineStr">
        <is>
          <t>EC</t>
        </is>
      </c>
      <c r="AA52" s="301" t="inlineStr">
        <is>
          <t>EC</t>
        </is>
      </c>
      <c r="AB52" s="301" t="inlineStr">
        <is>
          <t>EC</t>
        </is>
      </c>
      <c r="AC52" s="301" t="inlineStr">
        <is>
          <t>EC</t>
        </is>
      </c>
      <c r="AD52" s="301" t="inlineStr">
        <is>
          <t>EC</t>
        </is>
      </c>
      <c r="AE52" s="301" t="inlineStr">
        <is>
          <t>EC</t>
        </is>
      </c>
      <c r="AF52" s="301" t="inlineStr">
        <is>
          <t>EC</t>
        </is>
      </c>
      <c r="AG52" s="301" t="inlineStr">
        <is>
          <t>EC</t>
        </is>
      </c>
      <c r="AH52" s="301" t="inlineStr">
        <is>
          <t>EC</t>
        </is>
      </c>
      <c r="AI52" s="301" t="inlineStr">
        <is>
          <t>EC</t>
        </is>
      </c>
      <c r="AJ52" s="302" t="inlineStr">
        <is>
          <t>EC</t>
        </is>
      </c>
      <c r="AK52" s="128">
        <f>COUNT(I52:AJ52)</f>
        <v/>
      </c>
      <c r="AL52" s="366">
        <f>SUM(I52:AJ52)</f>
        <v/>
      </c>
      <c r="AM52" s="291">
        <f>COUNTIFS($I52:$AJ52,$AM$6)</f>
        <v/>
      </c>
      <c r="AN52" s="63">
        <f>COUNTIFS($I52:$AJ52,$AN$6)</f>
        <v/>
      </c>
      <c r="AO52" s="63">
        <f>COUNTIFS($I52:$AJ52,$AO$6)</f>
        <v/>
      </c>
      <c r="AP52" s="63">
        <f>COUNTIFS($I52:$AJ52,$AP$6)</f>
        <v/>
      </c>
      <c r="AQ52" s="63">
        <f>COUNTIFS($I52:$AJ52,$AQ$6)</f>
        <v/>
      </c>
      <c r="AR52" s="63">
        <f>AR51</f>
        <v/>
      </c>
      <c r="AS52" s="221">
        <f>COUNTIF(I52:AJ52,"RD")</f>
        <v/>
      </c>
      <c r="AT52" s="221">
        <f>AR52-AS52</f>
        <v/>
      </c>
      <c r="AU52" s="221">
        <f>COUNTIF(H52:AJ52,"SH")</f>
        <v/>
      </c>
      <c r="AV52" s="221">
        <f>COUNTIF(I52:AJ52,"SL")</f>
        <v/>
      </c>
      <c r="AW52" s="221">
        <f>COUNTIF(I52:AJ52,"np")</f>
        <v/>
      </c>
      <c r="AX52" s="221">
        <f>COUNTIF(I52:AJ52,"AL*")</f>
        <v/>
      </c>
      <c r="AY52" s="221">
        <f>COUNTIF(I52:AJ52,"NC*")</f>
        <v/>
      </c>
      <c r="AZ52" s="360" t="n"/>
    </row>
    <row r="53" ht="25.5" customFormat="1" customHeight="1" s="75">
      <c r="B53" s="141" t="inlineStr">
        <is>
          <t>M36</t>
        </is>
      </c>
      <c r="C53" s="396" t="inlineStr">
        <is>
          <t>0004682</t>
        </is>
      </c>
      <c r="D53" s="128" t="inlineStr">
        <is>
          <t>黎美容</t>
        </is>
      </c>
      <c r="E53" s="291" t="n"/>
      <c r="F53" s="63" t="n"/>
      <c r="G53" s="182" t="n"/>
      <c r="H53" s="128" t="inlineStr">
        <is>
          <t>早</t>
        </is>
      </c>
      <c r="I53" s="300" t="n">
        <v>8</v>
      </c>
      <c r="J53" s="301" t="n">
        <v>8</v>
      </c>
      <c r="K53" s="301" t="n">
        <v>8</v>
      </c>
      <c r="L53" s="301" t="n">
        <v>8</v>
      </c>
      <c r="M53" s="301" t="inlineStr">
        <is>
          <t>RD</t>
        </is>
      </c>
      <c r="N53" s="301" t="n">
        <v>8</v>
      </c>
      <c r="O53" s="301" t="n">
        <v>8</v>
      </c>
      <c r="P53" s="301" t="n">
        <v>8</v>
      </c>
      <c r="Q53" s="301" t="n">
        <v>8</v>
      </c>
      <c r="R53" s="301" t="n">
        <v>8</v>
      </c>
      <c r="S53" s="301" t="inlineStr">
        <is>
          <t>RD</t>
        </is>
      </c>
      <c r="T53" s="301" t="inlineStr">
        <is>
          <t>RD</t>
        </is>
      </c>
      <c r="U53" s="301" t="n">
        <v>8</v>
      </c>
      <c r="V53" s="301" t="n">
        <v>8</v>
      </c>
      <c r="W53" s="301" t="n">
        <v>8</v>
      </c>
      <c r="X53" s="301" t="n">
        <v>8</v>
      </c>
      <c r="Y53" s="301" t="n">
        <v>8</v>
      </c>
      <c r="Z53" s="301" t="n">
        <v>8</v>
      </c>
      <c r="AA53" s="301" t="n">
        <v>8</v>
      </c>
      <c r="AB53" s="301" t="inlineStr">
        <is>
          <t>RD</t>
        </is>
      </c>
      <c r="AC53" s="301" t="n">
        <v>8</v>
      </c>
      <c r="AD53" s="301" t="n">
        <v>8</v>
      </c>
      <c r="AE53" s="301" t="n">
        <v>8</v>
      </c>
      <c r="AF53" s="301" t="inlineStr">
        <is>
          <t>RD</t>
        </is>
      </c>
      <c r="AG53" s="301" t="n">
        <v>8</v>
      </c>
      <c r="AH53" s="301" t="n">
        <v>8</v>
      </c>
      <c r="AI53" s="301" t="n">
        <v>8</v>
      </c>
      <c r="AJ53" s="302" t="n">
        <v>8</v>
      </c>
      <c r="AK53" s="128">
        <f>COUNT(I53:AJ53)</f>
        <v/>
      </c>
      <c r="AL53" s="176">
        <f>SUM(I53:AJ53)</f>
        <v/>
      </c>
      <c r="AM53" s="291">
        <f>COUNTIFS($I53:$AJ53,$AM$6)</f>
        <v/>
      </c>
      <c r="AN53" s="63">
        <f>COUNTIFS($I53:$AJ53,$AN$6)</f>
        <v/>
      </c>
      <c r="AO53" s="63">
        <f>COUNTIFS($I53:$AJ53,$AO$6)</f>
        <v/>
      </c>
      <c r="AP53" s="63">
        <f>COUNTIFS($I53:$AJ53,$AP$6)</f>
        <v/>
      </c>
      <c r="AQ53" s="63">
        <f>COUNTIFS($I53:$AJ53,$AQ$6)</f>
        <v/>
      </c>
      <c r="AR53" s="63">
        <f>AR52</f>
        <v/>
      </c>
      <c r="AS53" s="221">
        <f>COUNTIF(I53:AJ53,"RD")</f>
        <v/>
      </c>
      <c r="AT53" s="221">
        <f>AR53-AS53</f>
        <v/>
      </c>
      <c r="AU53" s="221">
        <f>COUNTIF(H53:AJ53,"SH")</f>
        <v/>
      </c>
      <c r="AV53" s="221">
        <f>COUNTIF(I53:AJ53,"SL")</f>
        <v/>
      </c>
      <c r="AW53" s="221">
        <f>COUNTIF(I53:AJ53,"np")</f>
        <v/>
      </c>
      <c r="AX53" s="221">
        <f>COUNTIF(I53:AJ53,"AL*")</f>
        <v/>
      </c>
      <c r="AY53" s="221">
        <f>COUNTIF(I53:AJ53,"NC*")</f>
        <v/>
      </c>
      <c r="AZ53" s="360" t="n"/>
    </row>
    <row r="54" ht="25.5" customFormat="1" customHeight="1" s="228" thickBot="1">
      <c r="B54" s="394" t="inlineStr">
        <is>
          <t>M37</t>
        </is>
      </c>
      <c r="C54" s="397" t="inlineStr">
        <is>
          <t>0004673</t>
        </is>
      </c>
      <c r="D54" s="128" t="inlineStr">
        <is>
          <t>林彩玲</t>
        </is>
      </c>
      <c r="E54" s="333" t="inlineStr">
        <is>
          <t>SG/G</t>
        </is>
      </c>
      <c r="F54" s="188" t="inlineStr">
        <is>
          <t>SECU_G(D)</t>
        </is>
      </c>
      <c r="G54" s="189" t="n">
        <v>8</v>
      </c>
      <c r="H54" s="128" t="inlineStr">
        <is>
          <t>早</t>
        </is>
      </c>
      <c r="I54" s="300" t="n">
        <v>8</v>
      </c>
      <c r="J54" s="301" t="inlineStr">
        <is>
          <t>RD</t>
        </is>
      </c>
      <c r="K54" s="301" t="n">
        <v>8</v>
      </c>
      <c r="L54" s="301" t="n">
        <v>8</v>
      </c>
      <c r="M54" s="301" t="n">
        <v>8</v>
      </c>
      <c r="N54" s="301" t="n">
        <v>8</v>
      </c>
      <c r="O54" s="301" t="n">
        <v>8</v>
      </c>
      <c r="P54" s="301" t="inlineStr">
        <is>
          <t>RD</t>
        </is>
      </c>
      <c r="Q54" s="301" t="inlineStr">
        <is>
          <t>RD</t>
        </is>
      </c>
      <c r="R54" s="301" t="n">
        <v>8</v>
      </c>
      <c r="S54" s="301" t="n">
        <v>8</v>
      </c>
      <c r="T54" s="301" t="n">
        <v>8</v>
      </c>
      <c r="U54" s="301" t="n">
        <v>8</v>
      </c>
      <c r="V54" s="301" t="n">
        <v>8</v>
      </c>
      <c r="W54" s="301" t="n">
        <v>8</v>
      </c>
      <c r="X54" s="301" t="n">
        <v>8</v>
      </c>
      <c r="Y54" s="301" t="inlineStr">
        <is>
          <t>RD</t>
        </is>
      </c>
      <c r="Z54" s="301" t="n">
        <v>8</v>
      </c>
      <c r="AA54" s="301" t="n">
        <v>8</v>
      </c>
      <c r="AB54" s="301" t="n">
        <v>8</v>
      </c>
      <c r="AC54" s="301" t="n">
        <v>8</v>
      </c>
      <c r="AD54" s="301" t="n">
        <v>8</v>
      </c>
      <c r="AE54" s="301" t="n">
        <v>8</v>
      </c>
      <c r="AF54" s="301" t="n">
        <v>8</v>
      </c>
      <c r="AG54" s="301" t="n">
        <v>8</v>
      </c>
      <c r="AH54" s="301" t="n">
        <v>8</v>
      </c>
      <c r="AI54" s="301" t="n">
        <v>8</v>
      </c>
      <c r="AJ54" s="302" t="n">
        <v>8</v>
      </c>
      <c r="AK54" s="128">
        <f>COUNT(I54:AJ54)</f>
        <v/>
      </c>
      <c r="AL54" s="185">
        <f>SUM(I54:AJ54)</f>
        <v/>
      </c>
      <c r="AM54" s="332">
        <f>COUNTIFS($I54:$AJ54,$AM$6)</f>
        <v/>
      </c>
      <c r="AN54" s="183">
        <f>COUNTIFS($I54:$AJ54,$AN$6)</f>
        <v/>
      </c>
      <c r="AO54" s="183">
        <f>COUNTIFS($I54:$AJ54,$AO$6)</f>
        <v/>
      </c>
      <c r="AP54" s="183">
        <f>COUNTIFS($I54:$AJ54,$AP$6)</f>
        <v/>
      </c>
      <c r="AQ54" s="183">
        <f>COUNTIFS($I54:$AJ54,$AQ$6)</f>
        <v/>
      </c>
      <c r="AR54" s="63">
        <f>AR53</f>
        <v/>
      </c>
      <c r="AS54" s="229">
        <f>COUNTIF(I54:AJ54,"RD")</f>
        <v/>
      </c>
      <c r="AT54" s="229">
        <f>AR54-AS54</f>
        <v/>
      </c>
      <c r="AU54" s="229">
        <f>COUNTIF(H54:AJ54,"SH")</f>
        <v/>
      </c>
      <c r="AV54" s="229">
        <f>COUNTIF(I54:AJ54,"SL")</f>
        <v/>
      </c>
      <c r="AW54" s="229">
        <f>COUNTIF(I54:AJ54,"np")</f>
        <v/>
      </c>
      <c r="AX54" s="229">
        <f>COUNTIF(I54:AJ54,"AL*")</f>
        <v/>
      </c>
      <c r="AY54" s="229">
        <f>COUNTIF(I54:AJ54,"NC*")</f>
        <v/>
      </c>
      <c r="AZ54" s="363" t="n"/>
    </row>
    <row r="55" ht="25.5" customFormat="1" customHeight="1" s="75" thickBot="1">
      <c r="B55" s="141" t="inlineStr">
        <is>
          <t>M38</t>
        </is>
      </c>
      <c r="C55" s="396" t="inlineStr">
        <is>
          <t>0004671</t>
        </is>
      </c>
      <c r="D55" s="128" t="inlineStr">
        <is>
          <t>鍾志偉</t>
        </is>
      </c>
      <c r="E55" s="321" t="inlineStr">
        <is>
          <t>SG/G</t>
        </is>
      </c>
      <c r="F55" s="186" t="inlineStr">
        <is>
          <t>SECU_G(D)</t>
        </is>
      </c>
      <c r="G55" s="187" t="n">
        <v>8</v>
      </c>
      <c r="H55" s="128" t="inlineStr">
        <is>
          <t>早</t>
        </is>
      </c>
      <c r="I55" s="300" t="n">
        <v>8</v>
      </c>
      <c r="J55" s="301" t="n">
        <v>8</v>
      </c>
      <c r="K55" s="301" t="n">
        <v>8</v>
      </c>
      <c r="L55" s="301" t="n">
        <v>8</v>
      </c>
      <c r="M55" s="301" t="n">
        <v>8</v>
      </c>
      <c r="N55" s="301" t="n">
        <v>8</v>
      </c>
      <c r="O55" s="301" t="inlineStr">
        <is>
          <t>RD</t>
        </is>
      </c>
      <c r="P55" s="301" t="n">
        <v>8</v>
      </c>
      <c r="Q55" s="301" t="n">
        <v>8</v>
      </c>
      <c r="R55" s="301" t="n">
        <v>8</v>
      </c>
      <c r="S55" s="301" t="n">
        <v>8</v>
      </c>
      <c r="T55" s="301" t="n">
        <v>8</v>
      </c>
      <c r="U55" s="301" t="inlineStr">
        <is>
          <t>RD</t>
        </is>
      </c>
      <c r="V55" s="301" t="inlineStr">
        <is>
          <t>RD</t>
        </is>
      </c>
      <c r="W55" s="301" t="n">
        <v>8</v>
      </c>
      <c r="X55" s="301" t="n">
        <v>8</v>
      </c>
      <c r="Y55" s="301" t="n">
        <v>8</v>
      </c>
      <c r="Z55" s="301" t="n">
        <v>8</v>
      </c>
      <c r="AA55" s="301" t="n">
        <v>8</v>
      </c>
      <c r="AB55" s="301" t="n">
        <v>8</v>
      </c>
      <c r="AC55" s="301" t="inlineStr">
        <is>
          <t>RD</t>
        </is>
      </c>
      <c r="AD55" s="301" t="n">
        <v>8</v>
      </c>
      <c r="AE55" s="301" t="n">
        <v>8</v>
      </c>
      <c r="AF55" s="301" t="inlineStr">
        <is>
          <t>RD</t>
        </is>
      </c>
      <c r="AG55" s="301" t="n">
        <v>8</v>
      </c>
      <c r="AH55" s="301" t="n">
        <v>8</v>
      </c>
      <c r="AI55" s="301" t="n">
        <v>8</v>
      </c>
      <c r="AJ55" s="302" t="n">
        <v>8</v>
      </c>
      <c r="AK55" s="128">
        <f>COUNT(I55:AJ55)</f>
        <v/>
      </c>
      <c r="AL55" s="176">
        <f>SUM(I55:AJ55)</f>
        <v/>
      </c>
      <c r="AM55" s="291">
        <f>COUNTIFS($I55:$AJ55,$AM$6)</f>
        <v/>
      </c>
      <c r="AN55" s="63">
        <f>COUNTIFS($I55:$AJ55,$AN$6)</f>
        <v/>
      </c>
      <c r="AO55" s="63">
        <f>COUNTIFS($I55:$AJ55,$AO$6)</f>
        <v/>
      </c>
      <c r="AP55" s="63">
        <f>COUNTIFS($I55:$AJ55,$AP$6)</f>
        <v/>
      </c>
      <c r="AQ55" s="63">
        <f>COUNTIFS($I55:$AJ55,$AQ$6)</f>
        <v/>
      </c>
      <c r="AR55" s="63">
        <f>AR54</f>
        <v/>
      </c>
      <c r="AS55" s="221">
        <f>COUNTIF(I55:AJ55,"RD")</f>
        <v/>
      </c>
      <c r="AT55" s="221">
        <f>AR55-AS55</f>
        <v/>
      </c>
      <c r="AU55" s="221">
        <f>COUNTIF(H55:AJ55,"SH")</f>
        <v/>
      </c>
      <c r="AV55" s="221">
        <f>COUNTIF(I55:AJ55,"SL")</f>
        <v/>
      </c>
      <c r="AW55" s="221">
        <f>COUNTIF(I55:AJ55,"np")</f>
        <v/>
      </c>
      <c r="AX55" s="221">
        <f>COUNTIF(I55:AJ55,"AL*")</f>
        <v/>
      </c>
      <c r="AY55" s="221">
        <f>COUNTIF(I55:AJ55,"NC*")</f>
        <v/>
      </c>
      <c r="AZ55" s="360" t="n"/>
    </row>
    <row r="56" ht="25.5" customFormat="1" customHeight="1" s="75" thickBot="1">
      <c r="B56" s="141" t="inlineStr">
        <is>
          <t>M39</t>
        </is>
      </c>
      <c r="C56" s="396" t="inlineStr">
        <is>
          <t>0004669</t>
        </is>
      </c>
      <c r="D56" s="128" t="inlineStr">
        <is>
          <t>鄧美玲</t>
        </is>
      </c>
      <c r="E56" s="321" t="inlineStr">
        <is>
          <t>SG/G</t>
        </is>
      </c>
      <c r="F56" s="186" t="inlineStr">
        <is>
          <t>SECU_G(D)</t>
        </is>
      </c>
      <c r="G56" s="187" t="n">
        <v>8</v>
      </c>
      <c r="H56" s="128" t="inlineStr">
        <is>
          <t>早</t>
        </is>
      </c>
      <c r="I56" s="300" t="n">
        <v>8</v>
      </c>
      <c r="J56" s="301" t="n">
        <v>8</v>
      </c>
      <c r="K56" s="301" t="n">
        <v>8</v>
      </c>
      <c r="L56" s="301" t="inlineStr">
        <is>
          <t>RD</t>
        </is>
      </c>
      <c r="M56" s="301" t="n">
        <v>8</v>
      </c>
      <c r="N56" s="301" t="n">
        <v>8</v>
      </c>
      <c r="O56" s="301" t="n">
        <v>8</v>
      </c>
      <c r="P56" s="301" t="n">
        <v>8</v>
      </c>
      <c r="Q56" s="301" t="n">
        <v>8</v>
      </c>
      <c r="R56" s="301" t="inlineStr">
        <is>
          <t>RD</t>
        </is>
      </c>
      <c r="S56" s="301" t="n">
        <v>8</v>
      </c>
      <c r="T56" s="301" t="n">
        <v>8</v>
      </c>
      <c r="U56" s="301" t="n">
        <v>8</v>
      </c>
      <c r="V56" s="301" t="n">
        <v>8</v>
      </c>
      <c r="W56" s="301" t="n">
        <v>8</v>
      </c>
      <c r="X56" s="301" t="inlineStr">
        <is>
          <t>RD</t>
        </is>
      </c>
      <c r="Y56" s="301" t="n">
        <v>8</v>
      </c>
      <c r="Z56" s="301" t="n">
        <v>8</v>
      </c>
      <c r="AA56" s="301" t="n">
        <v>8</v>
      </c>
      <c r="AB56" s="301" t="n">
        <v>8</v>
      </c>
      <c r="AC56" s="301" t="n">
        <v>8</v>
      </c>
      <c r="AD56" s="301" t="n">
        <v>8</v>
      </c>
      <c r="AE56" s="301" t="inlineStr">
        <is>
          <t>RD</t>
        </is>
      </c>
      <c r="AF56" s="301" t="n">
        <v>8</v>
      </c>
      <c r="AG56" s="301" t="inlineStr">
        <is>
          <t>RD</t>
        </is>
      </c>
      <c r="AH56" s="301" t="n">
        <v>8</v>
      </c>
      <c r="AI56" s="301" t="n">
        <v>8</v>
      </c>
      <c r="AJ56" s="302" t="n">
        <v>8</v>
      </c>
      <c r="AK56" s="128">
        <f>COUNT(I56:AJ56)</f>
        <v/>
      </c>
      <c r="AL56" s="176">
        <f>SUM(I56:AJ56)</f>
        <v/>
      </c>
      <c r="AM56" s="291">
        <f>COUNTIFS($I56:$AJ56,$AM$6)</f>
        <v/>
      </c>
      <c r="AN56" s="63">
        <f>COUNTIFS($I56:$AJ56,$AN$6)</f>
        <v/>
      </c>
      <c r="AO56" s="63">
        <f>COUNTIFS($I56:$AJ56,$AO$6)</f>
        <v/>
      </c>
      <c r="AP56" s="63">
        <f>COUNTIFS($I56:$AJ56,$AP$6)</f>
        <v/>
      </c>
      <c r="AQ56" s="63">
        <f>COUNTIFS($I56:$AJ56,$AQ$6)</f>
        <v/>
      </c>
      <c r="AR56" s="63">
        <f>AR55</f>
        <v/>
      </c>
      <c r="AS56" s="221">
        <f>COUNTIF(I56:AJ56,"RD")</f>
        <v/>
      </c>
      <c r="AT56" s="221">
        <f>AR56-AS56</f>
        <v/>
      </c>
      <c r="AU56" s="221">
        <f>COUNTIF(H56:AJ56,"SH")</f>
        <v/>
      </c>
      <c r="AV56" s="221">
        <f>COUNTIF(I56:AJ56,"SL")</f>
        <v/>
      </c>
      <c r="AW56" s="221">
        <f>COUNTIF(I56:AJ56,"np")</f>
        <v/>
      </c>
      <c r="AX56" s="221">
        <f>COUNTIF(I56:AJ56,"AL*")</f>
        <v/>
      </c>
      <c r="AY56" s="221">
        <f>COUNTIF(I56:AJ56,"NC*")</f>
        <v/>
      </c>
      <c r="AZ56" s="360" t="n"/>
    </row>
    <row r="57" ht="25.5" customFormat="1" customHeight="1" s="75" thickBot="1">
      <c r="B57" s="141" t="inlineStr">
        <is>
          <t>M40</t>
        </is>
      </c>
      <c r="C57" s="396" t="inlineStr">
        <is>
          <t>0005015</t>
        </is>
      </c>
      <c r="D57" s="128" t="inlineStr">
        <is>
          <t>鄧細萍</t>
        </is>
      </c>
      <c r="E57" s="321" t="inlineStr">
        <is>
          <t>SG/G</t>
        </is>
      </c>
      <c r="F57" s="186" t="inlineStr">
        <is>
          <t>SECU_G(D)</t>
        </is>
      </c>
      <c r="G57" s="187" t="n">
        <v>8</v>
      </c>
      <c r="H57" s="128" t="inlineStr">
        <is>
          <t>早</t>
        </is>
      </c>
      <c r="I57" s="300" t="inlineStr">
        <is>
          <t>RD</t>
        </is>
      </c>
      <c r="J57" s="301" t="n">
        <v>8</v>
      </c>
      <c r="K57" s="301" t="n">
        <v>8</v>
      </c>
      <c r="L57" s="301" t="n">
        <v>8</v>
      </c>
      <c r="M57" s="301" t="n">
        <v>8</v>
      </c>
      <c r="N57" s="301" t="n">
        <v>8</v>
      </c>
      <c r="O57" s="301" t="inlineStr">
        <is>
          <t>RD</t>
        </is>
      </c>
      <c r="P57" s="301" t="n">
        <v>8</v>
      </c>
      <c r="Q57" s="301" t="n">
        <v>8</v>
      </c>
      <c r="R57" s="301" t="n">
        <v>8</v>
      </c>
      <c r="S57" s="301" t="n">
        <v>8</v>
      </c>
      <c r="T57" s="301" t="n">
        <v>8</v>
      </c>
      <c r="U57" s="301" t="n">
        <v>8</v>
      </c>
      <c r="V57" s="301" t="inlineStr">
        <is>
          <t>RD</t>
        </is>
      </c>
      <c r="W57" s="301" t="n">
        <v>8</v>
      </c>
      <c r="X57" s="301" t="n">
        <v>8</v>
      </c>
      <c r="Y57" s="301" t="n">
        <v>8</v>
      </c>
      <c r="Z57" s="301" t="n">
        <v>8</v>
      </c>
      <c r="AA57" s="301" t="n">
        <v>8</v>
      </c>
      <c r="AB57" s="301" t="inlineStr">
        <is>
          <t>RD</t>
        </is>
      </c>
      <c r="AC57" s="301" t="n">
        <v>8</v>
      </c>
      <c r="AD57" s="301" t="n">
        <v>8</v>
      </c>
      <c r="AE57" s="301" t="n">
        <v>8</v>
      </c>
      <c r="AF57" s="301" t="inlineStr">
        <is>
          <t>RD</t>
        </is>
      </c>
      <c r="AG57" s="301" t="n">
        <v>8</v>
      </c>
      <c r="AH57" s="301" t="n">
        <v>8</v>
      </c>
      <c r="AI57" s="301" t="n">
        <v>8</v>
      </c>
      <c r="AJ57" s="302" t="n">
        <v>8</v>
      </c>
      <c r="AK57" s="128">
        <f>COUNT(I57:AJ57)</f>
        <v/>
      </c>
      <c r="AL57" s="176">
        <f>SUM(I57:AJ57)</f>
        <v/>
      </c>
      <c r="AM57" s="291">
        <f>COUNTIFS($I57:$AJ57,$AM$6)</f>
        <v/>
      </c>
      <c r="AN57" s="63">
        <f>COUNTIFS($I57:$AJ57,$AN$6)</f>
        <v/>
      </c>
      <c r="AO57" s="63">
        <f>COUNTIFS($I57:$AJ57,$AO$6)</f>
        <v/>
      </c>
      <c r="AP57" s="63">
        <f>COUNTIFS($I57:$AJ57,$AP$6)</f>
        <v/>
      </c>
      <c r="AQ57" s="63">
        <f>COUNTIFS($I57:$AJ57,$AQ$6)</f>
        <v/>
      </c>
      <c r="AR57" s="63">
        <f>AR56</f>
        <v/>
      </c>
      <c r="AS57" s="221">
        <f>COUNTIF(I57:AJ57,"RD")</f>
        <v/>
      </c>
      <c r="AT57" s="221">
        <f>AR57-AS57</f>
        <v/>
      </c>
      <c r="AU57" s="221">
        <f>COUNTIF(H57:AJ57,"SH")</f>
        <v/>
      </c>
      <c r="AV57" s="221">
        <f>COUNTIF(I57:AJ57,"SL")</f>
        <v/>
      </c>
      <c r="AW57" s="221">
        <f>COUNTIF(I57:AJ57,"np")</f>
        <v/>
      </c>
      <c r="AX57" s="221">
        <f>COUNTIF(I57:AJ57,"AL*")</f>
        <v/>
      </c>
      <c r="AY57" s="221">
        <f>COUNTIF(I57:AJ57,"NC*")</f>
        <v/>
      </c>
      <c r="AZ57" s="360" t="n"/>
    </row>
    <row r="58" ht="25.5" customFormat="1" customHeight="1" s="75" thickBot="1">
      <c r="B58" s="393" t="inlineStr">
        <is>
          <t>M41</t>
        </is>
      </c>
      <c r="C58" s="399" t="inlineStr">
        <is>
          <t>0005040</t>
        </is>
      </c>
      <c r="D58" s="135" t="inlineStr">
        <is>
          <t>葉玉霜</t>
        </is>
      </c>
      <c r="E58" s="321" t="inlineStr">
        <is>
          <t>SG/G</t>
        </is>
      </c>
      <c r="F58" s="186" t="inlineStr">
        <is>
          <t>SECU_G(D)</t>
        </is>
      </c>
      <c r="G58" s="187" t="n">
        <v>8</v>
      </c>
      <c r="H58" s="135" t="inlineStr">
        <is>
          <t>早</t>
        </is>
      </c>
      <c r="I58" s="306" t="n">
        <v>8</v>
      </c>
      <c r="J58" s="298" t="n">
        <v>8</v>
      </c>
      <c r="K58" s="298" t="n">
        <v>8</v>
      </c>
      <c r="L58" s="298" t="n">
        <v>8</v>
      </c>
      <c r="M58" s="298" t="n">
        <v>8</v>
      </c>
      <c r="N58" s="298" t="n">
        <v>8</v>
      </c>
      <c r="O58" s="298" t="inlineStr">
        <is>
          <t>RD</t>
        </is>
      </c>
      <c r="P58" s="298" t="n">
        <v>8</v>
      </c>
      <c r="Q58" s="298" t="n">
        <v>8</v>
      </c>
      <c r="R58" s="298" t="n">
        <v>8</v>
      </c>
      <c r="S58" s="298" t="n">
        <v>8</v>
      </c>
      <c r="T58" s="298" t="n">
        <v>8</v>
      </c>
      <c r="U58" s="298" t="inlineStr">
        <is>
          <t>RD</t>
        </is>
      </c>
      <c r="V58" s="298" t="n">
        <v>8</v>
      </c>
      <c r="W58" s="298" t="n">
        <v>8</v>
      </c>
      <c r="X58" s="298" t="n">
        <v>8</v>
      </c>
      <c r="Y58" s="298" t="n">
        <v>8</v>
      </c>
      <c r="Z58" s="298" t="inlineStr">
        <is>
          <t>RD</t>
        </is>
      </c>
      <c r="AA58" s="298" t="n">
        <v>8</v>
      </c>
      <c r="AB58" s="298" t="n">
        <v>8</v>
      </c>
      <c r="AC58" s="298" t="n">
        <v>8</v>
      </c>
      <c r="AD58" s="298" t="n">
        <v>8</v>
      </c>
      <c r="AE58" s="298" t="n">
        <v>8</v>
      </c>
      <c r="AF58" s="298" t="n">
        <v>8</v>
      </c>
      <c r="AG58" s="298" t="n">
        <v>8</v>
      </c>
      <c r="AH58" s="298" t="n">
        <v>8</v>
      </c>
      <c r="AI58" s="298" t="inlineStr">
        <is>
          <t>RD</t>
        </is>
      </c>
      <c r="AJ58" s="237" t="n">
        <v>8</v>
      </c>
      <c r="AK58" s="135">
        <f>COUNT(I58:AJ58)</f>
        <v/>
      </c>
      <c r="AL58" s="325">
        <f>SUM(I58:AJ58)</f>
        <v/>
      </c>
      <c r="AM58" s="136">
        <f>COUNTIFS($I58:$AJ58,$AM$6)</f>
        <v/>
      </c>
      <c r="AN58" s="137">
        <f>COUNTIFS($I58:$AJ58,$AN$6)</f>
        <v/>
      </c>
      <c r="AO58" s="137">
        <f>COUNTIFS($I58:$AJ58,$AO$6)</f>
        <v/>
      </c>
      <c r="AP58" s="137">
        <f>COUNTIFS($I58:$AJ58,$AP$6)</f>
        <v/>
      </c>
      <c r="AQ58" s="137">
        <f>COUNTIFS($I58:$AJ58,$AQ$6)</f>
        <v/>
      </c>
      <c r="AR58" s="137">
        <f>AR57</f>
        <v/>
      </c>
      <c r="AS58" s="72">
        <f>COUNTIF(I58:AJ58,"RD")</f>
        <v/>
      </c>
      <c r="AT58" s="72">
        <f>AR58-AS58</f>
        <v/>
      </c>
      <c r="AU58" s="72">
        <f>COUNTIF(H58:AJ58,"SH")</f>
        <v/>
      </c>
      <c r="AV58" s="72">
        <f>COUNTIF(I58:AJ58,"SL")</f>
        <v/>
      </c>
      <c r="AW58" s="72">
        <f>COUNTIF(I58:AJ58,"np")</f>
        <v/>
      </c>
      <c r="AX58" s="72">
        <f>COUNTIF(I58:AJ58,"AL*")</f>
        <v/>
      </c>
      <c r="AY58" s="72">
        <f>COUNTIF(I58:AJ58,"NC*")</f>
        <v/>
      </c>
      <c r="AZ58" s="362" t="n"/>
    </row>
    <row r="59" ht="25.5" customFormat="1" customHeight="1" s="40" thickBot="1">
      <c r="B59" s="456" t="inlineStr">
        <is>
          <t>合約要求每日人數: 31</t>
        </is>
      </c>
      <c r="C59" s="531" t="n"/>
      <c r="D59" s="458" t="inlineStr">
        <is>
          <t xml:space="preserve">每日出勤人數:  </t>
        </is>
      </c>
      <c r="I59" s="75">
        <f>COUNTIF((I20:I58),"8")</f>
        <v/>
      </c>
      <c r="J59" s="75">
        <f>COUNTIF((J20:J58),"8")</f>
        <v/>
      </c>
      <c r="K59" s="75">
        <f>COUNTIF((K20:K58),"8")</f>
        <v/>
      </c>
      <c r="L59" s="75">
        <f>COUNTIF((L20:L58),"8")</f>
        <v/>
      </c>
      <c r="M59" s="75">
        <f>COUNTIF((M20:M58),"8")</f>
        <v/>
      </c>
      <c r="N59" s="75">
        <f>COUNTIF((N20:N58),"8")</f>
        <v/>
      </c>
      <c r="O59" s="75">
        <f>COUNTIF((O20:O58),"8")</f>
        <v/>
      </c>
      <c r="P59" s="75">
        <f>COUNTIF((P20:P58),"8")</f>
        <v/>
      </c>
      <c r="Q59" s="75">
        <f>COUNTIF((Q20:Q58),"8")</f>
        <v/>
      </c>
      <c r="R59" s="75">
        <f>COUNTIF((R20:R58),"8")</f>
        <v/>
      </c>
      <c r="S59" s="75">
        <f>COUNTIF((S20:S58),"8")</f>
        <v/>
      </c>
      <c r="T59" s="75">
        <f>COUNTIF((T20:T58),"8")</f>
        <v/>
      </c>
      <c r="U59" s="75">
        <f>COUNTIF((U20:U58),"8")</f>
        <v/>
      </c>
      <c r="V59" s="75">
        <f>COUNTIF((V20:V58),"8")</f>
        <v/>
      </c>
      <c r="W59" s="75">
        <f>COUNTIF((W20:W58),"8")</f>
        <v/>
      </c>
      <c r="X59" s="75">
        <f>COUNTIF((X20:X58),"8")</f>
        <v/>
      </c>
      <c r="Y59" s="75">
        <f>COUNTIF((Y20:Y58),"8")</f>
        <v/>
      </c>
      <c r="Z59" s="75">
        <f>COUNTIF((Z20:Z58),"8")</f>
        <v/>
      </c>
      <c r="AA59" s="75">
        <f>COUNTIF((AA20:AA58),"8")</f>
        <v/>
      </c>
      <c r="AB59" s="75">
        <f>COUNTIF((AB20:AB58),"8")</f>
        <v/>
      </c>
      <c r="AC59" s="75">
        <f>COUNTIF((AC20:AC58),"8")</f>
        <v/>
      </c>
      <c r="AD59" s="75">
        <f>COUNTIF((AD20:AD58),"8")</f>
        <v/>
      </c>
      <c r="AE59" s="75">
        <f>COUNTIF((AE20:AE58),"8")</f>
        <v/>
      </c>
      <c r="AF59" s="75">
        <f>COUNTIF((AF20:AF58),"8")</f>
        <v/>
      </c>
      <c r="AG59" s="75">
        <f>COUNTIF((AG20:AG58),"8")</f>
        <v/>
      </c>
      <c r="AH59" s="75">
        <f>COUNTIF((AH20:AH58),"8")</f>
        <v/>
      </c>
      <c r="AI59" s="75">
        <f>COUNTIF((AI20:AI58),"8")</f>
        <v/>
      </c>
      <c r="AJ59" s="75">
        <f>COUNTIF((AJ20:AJ58),"8")</f>
        <v/>
      </c>
      <c r="AK59" s="190">
        <f>SUM(AK20:AK58)</f>
        <v/>
      </c>
      <c r="AL59" s="365">
        <f>SUM(AL20:AL58)</f>
        <v/>
      </c>
      <c r="AM59" s="78" t="n"/>
      <c r="AR59" s="75" t="n"/>
      <c r="AS59" s="69" t="n"/>
      <c r="AT59" s="69" t="n"/>
      <c r="AU59" s="69" t="n"/>
      <c r="AV59" s="69" t="n"/>
      <c r="AW59" s="69" t="n"/>
      <c r="AX59" s="69" t="n"/>
      <c r="AY59" s="69" t="n"/>
      <c r="AZ59" s="68" t="n"/>
    </row>
    <row r="60" ht="24.75" customFormat="1" customHeight="1" s="40" thickBot="1">
      <c r="B60" s="75" t="n"/>
      <c r="C60" s="75" t="n"/>
      <c r="D60" s="75" t="n"/>
      <c r="E60" s="75" t="n"/>
      <c r="F60" s="75" t="n"/>
      <c r="G60" s="75" t="n"/>
      <c r="H60" s="75" t="n"/>
      <c r="I60" s="88" t="n"/>
      <c r="J60" s="88" t="n"/>
      <c r="K60" s="88" t="n"/>
      <c r="L60" s="88" t="n"/>
      <c r="M60" s="88" t="n"/>
      <c r="N60" s="88" t="n"/>
      <c r="O60" s="88" t="n"/>
      <c r="P60" s="88" t="n"/>
      <c r="Q60" s="88" t="n"/>
      <c r="R60" s="88" t="n"/>
      <c r="S60" s="88" t="n"/>
      <c r="T60" s="88" t="n"/>
      <c r="U60" s="88" t="n"/>
      <c r="V60" s="88" t="n"/>
      <c r="W60" s="88" t="n"/>
      <c r="X60" s="88" t="n"/>
      <c r="Y60" s="88" t="n"/>
      <c r="Z60" s="88" t="n"/>
      <c r="AA60" s="88" t="n"/>
      <c r="AB60" s="88" t="n"/>
      <c r="AC60" s="88" t="n"/>
      <c r="AD60" s="88" t="n"/>
      <c r="AE60" s="88" t="n"/>
      <c r="AF60" s="191" t="n"/>
      <c r="AG60" s="88" t="n"/>
      <c r="AH60" s="88" t="n"/>
      <c r="AI60" s="88" t="n"/>
      <c r="AJ60" s="88" t="n"/>
      <c r="AK60" s="75" t="n"/>
      <c r="AL60" s="75" t="n"/>
      <c r="AM60" s="78" t="n"/>
      <c r="AR60" s="75" t="n"/>
      <c r="AS60" s="69" t="n"/>
      <c r="AT60" s="69" t="n"/>
      <c r="AU60" s="69" t="n"/>
      <c r="AV60" s="69" t="n"/>
      <c r="AW60" s="69" t="n"/>
      <c r="AX60" s="69" t="n"/>
      <c r="AY60" s="69" t="n"/>
      <c r="AZ60" s="68" t="n"/>
    </row>
    <row r="61" ht="21.95" customHeight="1" s="506" thickBot="1">
      <c r="B61" s="192" t="n"/>
      <c r="C61" s="75" t="n"/>
      <c r="D61" s="75" t="n"/>
      <c r="E61" s="75" t="n"/>
      <c r="F61" s="75" t="n"/>
      <c r="G61" s="75" t="n"/>
      <c r="H61" s="192" t="n"/>
      <c r="I61" s="192" t="n"/>
      <c r="J61" s="192" t="n"/>
      <c r="K61" s="192" t="n"/>
      <c r="L61" s="192" t="n"/>
      <c r="M61" s="192" t="n"/>
      <c r="N61" s="192" t="n"/>
      <c r="O61" s="192" t="n"/>
      <c r="P61" s="192" t="n"/>
      <c r="Q61" s="192" t="n"/>
      <c r="R61" s="192" t="n"/>
      <c r="S61" s="192" t="n"/>
      <c r="T61" s="192" t="n"/>
      <c r="U61" s="192" t="n"/>
      <c r="V61" s="192" t="n"/>
      <c r="W61" s="192" t="n"/>
      <c r="X61" s="192" t="n"/>
      <c r="Y61" s="192" t="n"/>
      <c r="Z61" s="192" t="n"/>
      <c r="AA61" s="192" t="n"/>
      <c r="AB61" s="192" t="n"/>
      <c r="AC61" s="192" t="n"/>
      <c r="AD61" s="192" t="n"/>
      <c r="AE61" s="192" t="n"/>
      <c r="AF61" s="192" t="n"/>
      <c r="AG61" s="192" t="n"/>
      <c r="AH61" s="192" t="n"/>
      <c r="AI61" s="192" t="n"/>
      <c r="AJ61" s="192" t="n"/>
      <c r="AK61" s="193" t="inlineStr">
        <is>
          <t>總日數</t>
        </is>
      </c>
      <c r="AL61" s="149" t="inlineStr">
        <is>
          <t>總時數</t>
        </is>
      </c>
    </row>
    <row r="62" ht="21.95" customHeight="1" s="506">
      <c r="B62" s="532" t="inlineStr">
        <is>
          <t>特別保安員每日工作(實際)總人數</t>
        </is>
      </c>
      <c r="C62" s="519" t="n"/>
      <c r="D62" s="520" t="n"/>
      <c r="E62" s="438" t="n"/>
      <c r="F62" s="438" t="n"/>
      <c r="G62" s="438" t="n"/>
      <c r="H62" s="153" t="inlineStr">
        <is>
          <t>SG</t>
        </is>
      </c>
      <c r="I62" s="154" t="n">
        <v>2</v>
      </c>
      <c r="J62" s="154" t="n">
        <v>2</v>
      </c>
      <c r="K62" s="154" t="n">
        <v>2</v>
      </c>
      <c r="L62" s="154" t="n">
        <v>2</v>
      </c>
      <c r="M62" s="154" t="n">
        <v>2</v>
      </c>
      <c r="N62" s="154" t="n">
        <v>2</v>
      </c>
      <c r="O62" s="154" t="n">
        <v>2</v>
      </c>
      <c r="P62" s="154" t="n">
        <v>2</v>
      </c>
      <c r="Q62" s="154" t="n">
        <v>2</v>
      </c>
      <c r="R62" s="154" t="n">
        <v>2</v>
      </c>
      <c r="S62" s="154" t="n">
        <v>2</v>
      </c>
      <c r="T62" s="154" t="n">
        <v>2</v>
      </c>
      <c r="U62" s="154" t="n">
        <v>2</v>
      </c>
      <c r="V62" s="154" t="n">
        <v>2</v>
      </c>
      <c r="W62" s="154" t="n">
        <v>2</v>
      </c>
      <c r="X62" s="154" t="n">
        <v>2</v>
      </c>
      <c r="Y62" s="154" t="n">
        <v>2</v>
      </c>
      <c r="Z62" s="154" t="n">
        <v>2</v>
      </c>
      <c r="AA62" s="154" t="n">
        <v>2</v>
      </c>
      <c r="AB62" s="154" t="n">
        <v>2</v>
      </c>
      <c r="AC62" s="154" t="n">
        <v>2</v>
      </c>
      <c r="AD62" s="154" t="n">
        <v>2</v>
      </c>
      <c r="AE62" s="154" t="n">
        <v>2</v>
      </c>
      <c r="AF62" s="154" t="n">
        <v>2</v>
      </c>
      <c r="AG62" s="154" t="n">
        <v>2</v>
      </c>
      <c r="AH62" s="154" t="n">
        <v>2</v>
      </c>
      <c r="AI62" s="154" t="n">
        <v>2</v>
      </c>
      <c r="AJ62" s="154" t="n">
        <v>2</v>
      </c>
      <c r="AK62" s="194">
        <f>SUM(I62:AJ62)</f>
        <v/>
      </c>
      <c r="AL62" s="195">
        <f>AK62*8</f>
        <v/>
      </c>
    </row>
    <row r="63" ht="21.95" customHeight="1" s="506">
      <c r="B63" s="533" t="inlineStr">
        <is>
          <t>特別保安員每日工作(要求)總人數</t>
        </is>
      </c>
      <c r="C63" s="522" t="n"/>
      <c r="D63" s="523" t="n"/>
      <c r="E63" s="441" t="n"/>
      <c r="F63" s="441" t="n"/>
      <c r="G63" s="441" t="n"/>
      <c r="H63" s="158" t="n"/>
      <c r="I63" s="159" t="n">
        <v>2</v>
      </c>
      <c r="J63" s="160" t="n">
        <v>2</v>
      </c>
      <c r="K63" s="160" t="n">
        <v>2</v>
      </c>
      <c r="L63" s="160" t="n">
        <v>2</v>
      </c>
      <c r="M63" s="160" t="n">
        <v>2</v>
      </c>
      <c r="N63" s="160" t="n">
        <v>2</v>
      </c>
      <c r="O63" s="160" t="n">
        <v>2</v>
      </c>
      <c r="P63" s="160" t="n">
        <v>2</v>
      </c>
      <c r="Q63" s="160" t="n">
        <v>2</v>
      </c>
      <c r="R63" s="160" t="n">
        <v>2</v>
      </c>
      <c r="S63" s="160" t="n">
        <v>2</v>
      </c>
      <c r="T63" s="160" t="n">
        <v>2</v>
      </c>
      <c r="U63" s="160" t="n">
        <v>2</v>
      </c>
      <c r="V63" s="160" t="n">
        <v>2</v>
      </c>
      <c r="W63" s="160" t="n">
        <v>2</v>
      </c>
      <c r="X63" s="160" t="n">
        <v>2</v>
      </c>
      <c r="Y63" s="160" t="n">
        <v>2</v>
      </c>
      <c r="Z63" s="160" t="n">
        <v>2</v>
      </c>
      <c r="AA63" s="160" t="n">
        <v>2</v>
      </c>
      <c r="AB63" s="160" t="n">
        <v>2</v>
      </c>
      <c r="AC63" s="160" t="n">
        <v>2</v>
      </c>
      <c r="AD63" s="160" t="n">
        <v>2</v>
      </c>
      <c r="AE63" s="160" t="n">
        <v>2</v>
      </c>
      <c r="AF63" s="160" t="n">
        <v>2</v>
      </c>
      <c r="AG63" s="160" t="n">
        <v>2</v>
      </c>
      <c r="AH63" s="160" t="n">
        <v>2</v>
      </c>
      <c r="AI63" s="160" t="n">
        <v>2</v>
      </c>
      <c r="AJ63" s="160" t="n">
        <v>2</v>
      </c>
      <c r="AK63" s="196">
        <f>SUM(I63:AJ63)</f>
        <v/>
      </c>
      <c r="AL63" s="158">
        <f>AK63*8</f>
        <v/>
      </c>
    </row>
    <row r="64" ht="21.95" customHeight="1" s="506" thickBot="1">
      <c r="B64" s="534" t="inlineStr">
        <is>
          <t>特別保安員每日工作(缺勤)總人數</t>
        </is>
      </c>
      <c r="C64" s="525" t="n"/>
      <c r="D64" s="526" t="n"/>
      <c r="E64" s="444" t="n"/>
      <c r="F64" s="444" t="n"/>
      <c r="G64" s="444" t="n"/>
      <c r="H64" s="164" t="n"/>
      <c r="I64" s="527">
        <f>IF((I62-I63)&lt;0,I62-I63,0)</f>
        <v/>
      </c>
      <c r="J64" s="535">
        <f>IF((J62-J63)&lt;0,J62-J63,0)</f>
        <v/>
      </c>
      <c r="K64" s="535">
        <f>IF((K62-K63)&lt;0,K62-K63,0)</f>
        <v/>
      </c>
      <c r="L64" s="535">
        <f>IF((L62-L63)&lt;0,L62-L63,0)</f>
        <v/>
      </c>
      <c r="M64" s="535">
        <f>IF((M62-M63)&lt;0,M62-M63,0)</f>
        <v/>
      </c>
      <c r="N64" s="535">
        <f>IF((N62-N63)&lt;0,N62-N63,0)</f>
        <v/>
      </c>
      <c r="O64" s="535">
        <f>IF((O62-O63)&lt;0,O62-O63,0)</f>
        <v/>
      </c>
      <c r="P64" s="535">
        <f>IF((P62-P63)&lt;0,P62-P63,0)</f>
        <v/>
      </c>
      <c r="Q64" s="535">
        <f>IF((Q62-Q63)&lt;0,Q62-Q63,0)</f>
        <v/>
      </c>
      <c r="R64" s="535">
        <f>IF((R62-R63)&lt;0,R62-R63,0)</f>
        <v/>
      </c>
      <c r="S64" s="535">
        <f>IF((S62-S63)&lt;0,S62-S63,0)</f>
        <v/>
      </c>
      <c r="T64" s="535">
        <f>IF((T62-T63)&lt;0,T62-T63,0)</f>
        <v/>
      </c>
      <c r="U64" s="535">
        <f>IF((U62-U63)&lt;0,U62-U63,0)</f>
        <v/>
      </c>
      <c r="V64" s="535">
        <f>IF((V62-V63)&lt;0,V62-V63,0)</f>
        <v/>
      </c>
      <c r="W64" s="535">
        <f>IF((W62-W63)&lt;0,W62-W63,0)</f>
        <v/>
      </c>
      <c r="X64" s="535">
        <f>IF((X62-X63)&lt;0,X62-X63,0)</f>
        <v/>
      </c>
      <c r="Y64" s="535">
        <f>IF((Y62-Y63)&lt;0,Y62-Y63,0)</f>
        <v/>
      </c>
      <c r="Z64" s="535">
        <f>IF((Z62-Z63)&lt;0,Z62-Z63,0)</f>
        <v/>
      </c>
      <c r="AA64" s="535">
        <f>IF((AA62-AA63)&lt;0,AA62-AA63,0)</f>
        <v/>
      </c>
      <c r="AB64" s="535">
        <f>IF((AB62-AB63)&lt;0,AB62-AB63,0)</f>
        <v/>
      </c>
      <c r="AC64" s="535">
        <f>IF((AC62-AC63)&lt;0,AC62-AC63,0)</f>
        <v/>
      </c>
      <c r="AD64" s="535">
        <f>IF((AD62-AD63)&lt;0,AD62-AD63,0)</f>
        <v/>
      </c>
      <c r="AE64" s="535">
        <f>IF((AE62-AE63)&lt;0,AE62-AE63,0)</f>
        <v/>
      </c>
      <c r="AF64" s="535">
        <f>IF((AF62-AF63)&lt;0,AF62-AF63,0)</f>
        <v/>
      </c>
      <c r="AG64" s="535">
        <f>IF((AG62-AG63)&lt;0,AG62-AG63,0)</f>
        <v/>
      </c>
      <c r="AH64" s="535">
        <f>IF((AH62-AH63)&lt;0,AH62-AH63,0)</f>
        <v/>
      </c>
      <c r="AI64" s="535">
        <f>IF((AI62-AI63)&lt;0,AI62-AI63,0)</f>
        <v/>
      </c>
      <c r="AJ64" s="535">
        <f>IF((AJ62-AJ63)&lt;0,AJ62-AJ63,0)</f>
        <v/>
      </c>
      <c r="AK64" s="198">
        <f>SUM(I64:AJ64)</f>
        <v/>
      </c>
      <c r="AL64" s="536">
        <f>AK64*8</f>
        <v/>
      </c>
    </row>
    <row r="65" ht="21.95" customHeight="1" s="506">
      <c r="B65" s="532" t="inlineStr">
        <is>
          <t>普通保安每日工作(實際)總人數</t>
        </is>
      </c>
      <c r="C65" s="519" t="n"/>
      <c r="D65" s="520" t="n"/>
      <c r="E65" s="200" t="n"/>
      <c r="F65" s="200" t="n"/>
      <c r="G65" s="200" t="n"/>
      <c r="H65" s="195" t="inlineStr">
        <is>
          <t>G</t>
        </is>
      </c>
      <c r="I65" s="374">
        <f>I59-I62</f>
        <v/>
      </c>
      <c r="J65" s="202">
        <f>J59-J62</f>
        <v/>
      </c>
      <c r="K65" s="202">
        <f>K59-K62</f>
        <v/>
      </c>
      <c r="L65" s="202">
        <f>L59-L62</f>
        <v/>
      </c>
      <c r="M65" s="202">
        <f>M59-M62</f>
        <v/>
      </c>
      <c r="N65" s="202">
        <f>N59-N62</f>
        <v/>
      </c>
      <c r="O65" s="202">
        <f>O59-O62</f>
        <v/>
      </c>
      <c r="P65" s="202">
        <f>P59-P62</f>
        <v/>
      </c>
      <c r="Q65" s="202">
        <f>Q59-Q62</f>
        <v/>
      </c>
      <c r="R65" s="202">
        <f>R59-R62</f>
        <v/>
      </c>
      <c r="S65" s="202">
        <f>S59-S62</f>
        <v/>
      </c>
      <c r="T65" s="202">
        <f>T59-T62</f>
        <v/>
      </c>
      <c r="U65" s="202">
        <f>U59-U62</f>
        <v/>
      </c>
      <c r="V65" s="202">
        <f>V59-V62</f>
        <v/>
      </c>
      <c r="W65" s="202">
        <f>W59-W62</f>
        <v/>
      </c>
      <c r="X65" s="202">
        <f>X59-X62</f>
        <v/>
      </c>
      <c r="Y65" s="202">
        <f>Y59-Y62</f>
        <v/>
      </c>
      <c r="Z65" s="202">
        <f>Z59-Z62</f>
        <v/>
      </c>
      <c r="AA65" s="202">
        <f>AA59-AA62</f>
        <v/>
      </c>
      <c r="AB65" s="202">
        <f>AB59-AB62</f>
        <v/>
      </c>
      <c r="AC65" s="202">
        <f>AC59-AC62</f>
        <v/>
      </c>
      <c r="AD65" s="202">
        <f>AD59-AD62</f>
        <v/>
      </c>
      <c r="AE65" s="202">
        <f>AE59-AE62</f>
        <v/>
      </c>
      <c r="AF65" s="202">
        <f>AF59-AF62</f>
        <v/>
      </c>
      <c r="AG65" s="202">
        <f>AG59-AG62</f>
        <v/>
      </c>
      <c r="AH65" s="202">
        <f>AH59-AH62</f>
        <v/>
      </c>
      <c r="AI65" s="202">
        <f>AI59-AI62</f>
        <v/>
      </c>
      <c r="AJ65" s="202">
        <f>AJ59-AJ62</f>
        <v/>
      </c>
      <c r="AK65" s="210">
        <f>SUM(I65:AJ65)</f>
        <v/>
      </c>
      <c r="AL65" s="195">
        <f>AK65*8</f>
        <v/>
      </c>
    </row>
    <row r="66" ht="21.95" customHeight="1" s="506">
      <c r="B66" s="533" t="inlineStr">
        <is>
          <t>普通保安每日工作(要求)總人數</t>
        </is>
      </c>
      <c r="C66" s="522" t="n"/>
      <c r="D66" s="523" t="n"/>
      <c r="E66" s="441" t="n"/>
      <c r="F66" s="441" t="n"/>
      <c r="G66" s="441" t="n"/>
      <c r="H66" s="158" t="n"/>
      <c r="I66" s="159" t="n">
        <v>29</v>
      </c>
      <c r="J66" s="160" t="n">
        <v>29</v>
      </c>
      <c r="K66" s="160" t="n">
        <v>29</v>
      </c>
      <c r="L66" s="160" t="n">
        <v>29</v>
      </c>
      <c r="M66" s="160" t="n">
        <v>29</v>
      </c>
      <c r="N66" s="160" t="n">
        <v>29</v>
      </c>
      <c r="O66" s="160" t="n">
        <v>29</v>
      </c>
      <c r="P66" s="160" t="n">
        <v>29</v>
      </c>
      <c r="Q66" s="160" t="n">
        <v>29</v>
      </c>
      <c r="R66" s="160" t="n">
        <v>29</v>
      </c>
      <c r="S66" s="160" t="n">
        <v>29</v>
      </c>
      <c r="T66" s="160" t="n">
        <v>29</v>
      </c>
      <c r="U66" s="160" t="n">
        <v>29</v>
      </c>
      <c r="V66" s="160" t="n">
        <v>29</v>
      </c>
      <c r="W66" s="160" t="n">
        <v>29</v>
      </c>
      <c r="X66" s="160" t="n">
        <v>29</v>
      </c>
      <c r="Y66" s="160" t="n">
        <v>29</v>
      </c>
      <c r="Z66" s="160" t="n">
        <v>29</v>
      </c>
      <c r="AA66" s="160" t="n">
        <v>29</v>
      </c>
      <c r="AB66" s="160" t="n">
        <v>29</v>
      </c>
      <c r="AC66" s="160" t="n">
        <v>29</v>
      </c>
      <c r="AD66" s="160" t="n">
        <v>29</v>
      </c>
      <c r="AE66" s="160" t="n">
        <v>29</v>
      </c>
      <c r="AF66" s="160" t="n">
        <v>29</v>
      </c>
      <c r="AG66" s="160" t="n">
        <v>29</v>
      </c>
      <c r="AH66" s="160" t="n">
        <v>29</v>
      </c>
      <c r="AI66" s="160" t="n">
        <v>29</v>
      </c>
      <c r="AJ66" s="160" t="n">
        <v>29</v>
      </c>
      <c r="AK66" s="196">
        <f>SUM(I66:AJ66)</f>
        <v/>
      </c>
      <c r="AL66" s="158">
        <f>AK66*8</f>
        <v/>
      </c>
    </row>
    <row r="67" ht="21.95" customHeight="1" s="506" thickBot="1">
      <c r="B67" s="534" t="inlineStr">
        <is>
          <t>普通保安每日工作(缺勤)總人數</t>
        </is>
      </c>
      <c r="C67" s="525" t="n"/>
      <c r="D67" s="526" t="n"/>
      <c r="E67" s="203" t="n"/>
      <c r="F67" s="203" t="n"/>
      <c r="G67" s="203" t="n"/>
      <c r="H67" s="377" t="n"/>
      <c r="I67" s="537">
        <f>IF((I65-I66)&lt;2,I65-I66,2)</f>
        <v/>
      </c>
      <c r="J67" s="538">
        <f>IF((J65-J66)&lt;2,J65-J66,2)</f>
        <v/>
      </c>
      <c r="K67" s="538">
        <f>IF((K65-K66)&lt;2,K65-K66,2)</f>
        <v/>
      </c>
      <c r="L67" s="538">
        <f>IF((L65-L66)&lt;2,L65-L66,2)</f>
        <v/>
      </c>
      <c r="M67" s="538">
        <f>IF((M65-M66)&lt;2,M65-M66,2)</f>
        <v/>
      </c>
      <c r="N67" s="538">
        <f>IF((N65-N66)&lt;2,N65-N66,2)</f>
        <v/>
      </c>
      <c r="O67" s="538">
        <f>IF((O65-O66)&lt;2,O65-O66,2)</f>
        <v/>
      </c>
      <c r="P67" s="538">
        <f>IF((P65-P66)&lt;2,P65-P66,2)</f>
        <v/>
      </c>
      <c r="Q67" s="538">
        <f>IF((Q65-Q66)&lt;2,Q65-Q66,2)</f>
        <v/>
      </c>
      <c r="R67" s="538">
        <f>IF((R65-R66)&lt;2,R65-R66,2)</f>
        <v/>
      </c>
      <c r="S67" s="538">
        <f>IF((S65-S66)&lt;2,S65-S66,2)</f>
        <v/>
      </c>
      <c r="T67" s="538">
        <f>IF((T65-T66)&lt;2,T65-T66,2)</f>
        <v/>
      </c>
      <c r="U67" s="538">
        <f>IF((U65-U66)&lt;2,U65-U66,2)</f>
        <v/>
      </c>
      <c r="V67" s="538">
        <f>IF((V65-V66)&lt;2,V65-V66,2)</f>
        <v/>
      </c>
      <c r="W67" s="538">
        <f>IF((W65-W66)&lt;2,W65-W66,2)</f>
        <v/>
      </c>
      <c r="X67" s="538">
        <f>IF((X65-X66)&lt;2,X65-X66,2)</f>
        <v/>
      </c>
      <c r="Y67" s="538">
        <f>IF((Y65-Y66)&lt;2,Y65-Y66,2)</f>
        <v/>
      </c>
      <c r="Z67" s="538">
        <f>IF((Z65-Z66)&lt;2,Z65-Z66,2)</f>
        <v/>
      </c>
      <c r="AA67" s="538">
        <f>IF((AA65-AA66)&lt;2,AA65-AA66,2)</f>
        <v/>
      </c>
      <c r="AB67" s="538">
        <f>IF((AB65-AB66)&lt;2,AB65-AB66,2)</f>
        <v/>
      </c>
      <c r="AC67" s="538">
        <f>IF((AC65-AC66)&lt;2,AC65-AC66,2)</f>
        <v/>
      </c>
      <c r="AD67" s="538">
        <f>IF((AD65-AD66)&lt;2,AD65-AD66,2)</f>
        <v/>
      </c>
      <c r="AE67" s="538">
        <f>IF((AE65-AE66)&lt;2,AE65-AE66,2)</f>
        <v/>
      </c>
      <c r="AF67" s="538">
        <f>IF((AF65-AF66)&lt;2,AF65-AF66,2)</f>
        <v/>
      </c>
      <c r="AG67" s="538">
        <f>IF((AG65-AG66)&lt;2,AG65-AG66,2)</f>
        <v/>
      </c>
      <c r="AH67" s="538">
        <f>IF((AH65-AH66)&lt;2,AH65-AH66,2)</f>
        <v/>
      </c>
      <c r="AI67" s="538">
        <f>IF((AI65-AI66)&lt;2,AI65-AI66,2)</f>
        <v/>
      </c>
      <c r="AJ67" s="538">
        <f>IF((AJ65-AJ66)&lt;2,AJ65-AJ66,2)</f>
        <v/>
      </c>
      <c r="AK67" s="539">
        <f>SUM(I67:AJ67)</f>
        <v/>
      </c>
      <c r="AL67" s="540">
        <f>AK67*8</f>
        <v/>
      </c>
    </row>
    <row r="68" ht="21.95" customHeight="1" s="506">
      <c r="B68" s="532" t="inlineStr">
        <is>
          <t>保安每日工作(實際)總人數</t>
        </is>
      </c>
      <c r="C68" s="519" t="n"/>
      <c r="D68" s="520" t="n"/>
      <c r="E68" s="438" t="n"/>
      <c r="F68" s="438" t="n"/>
      <c r="G68" s="438" t="n"/>
      <c r="H68" s="153" t="n"/>
      <c r="I68" s="541">
        <f>SUM(I15+I62+I65)</f>
        <v/>
      </c>
      <c r="J68" s="542">
        <f>SUM(J15+J62+J65)</f>
        <v/>
      </c>
      <c r="K68" s="542">
        <f>SUM(K15+K62+K65)</f>
        <v/>
      </c>
      <c r="L68" s="542">
        <f>SUM(L15+L62+L65)</f>
        <v/>
      </c>
      <c r="M68" s="542">
        <f>SUM(M15+M62+M65)</f>
        <v/>
      </c>
      <c r="N68" s="542">
        <f>SUM(N15+N62+N65)</f>
        <v/>
      </c>
      <c r="O68" s="542">
        <f>SUM(O15+O62+O65)</f>
        <v/>
      </c>
      <c r="P68" s="542">
        <f>SUM(P15+P62+P65)</f>
        <v/>
      </c>
      <c r="Q68" s="542">
        <f>SUM(Q15+Q62+Q65)</f>
        <v/>
      </c>
      <c r="R68" s="542">
        <f>SUM(R15+R62+R65)</f>
        <v/>
      </c>
      <c r="S68" s="542">
        <f>SUM(S15+S62+S65)</f>
        <v/>
      </c>
      <c r="T68" s="542">
        <f>SUM(T15+T62+T65)</f>
        <v/>
      </c>
      <c r="U68" s="542">
        <f>SUM(U15+U62+U65)</f>
        <v/>
      </c>
      <c r="V68" s="542">
        <f>SUM(V15+V62+V65)</f>
        <v/>
      </c>
      <c r="W68" s="542">
        <f>SUM(W15+W62+W65)</f>
        <v/>
      </c>
      <c r="X68" s="542">
        <f>SUM(X15+X62+X65)</f>
        <v/>
      </c>
      <c r="Y68" s="542">
        <f>SUM(Y15+Y62+Y65)</f>
        <v/>
      </c>
      <c r="Z68" s="542">
        <f>SUM(Z15+Z62+Z65)</f>
        <v/>
      </c>
      <c r="AA68" s="542">
        <f>SUM(AA15+AA62+AA65)</f>
        <v/>
      </c>
      <c r="AB68" s="542">
        <f>SUM(AB15+AB62+AB65)</f>
        <v/>
      </c>
      <c r="AC68" s="542">
        <f>SUM(AC15+AC62+AC65)</f>
        <v/>
      </c>
      <c r="AD68" s="542">
        <f>SUM(AD15+AD62+AD65)</f>
        <v/>
      </c>
      <c r="AE68" s="542">
        <f>SUM(AE15+AE62+AE65)</f>
        <v/>
      </c>
      <c r="AF68" s="542">
        <f>SUM(AF15+AF62+AF65)</f>
        <v/>
      </c>
      <c r="AG68" s="542">
        <f>SUM(AG15+AG62+AG65)</f>
        <v/>
      </c>
      <c r="AH68" s="542">
        <f>SUM(AH15+AH62+AH65)</f>
        <v/>
      </c>
      <c r="AI68" s="542">
        <f>SUM(AI15+AI62+AI65)</f>
        <v/>
      </c>
      <c r="AJ68" s="542">
        <f>SUM(AJ15+AJ62+AJ65)</f>
        <v/>
      </c>
      <c r="AK68" s="208">
        <f>SUM(I68:AJ68)</f>
        <v/>
      </c>
      <c r="AL68" s="155">
        <f>AK68*8</f>
        <v/>
      </c>
    </row>
    <row r="69" ht="21.95" customHeight="1" s="506">
      <c r="B69" s="533" t="inlineStr">
        <is>
          <t>保安每日工作(要求)總人數</t>
        </is>
      </c>
      <c r="C69" s="522" t="n"/>
      <c r="D69" s="523" t="n"/>
      <c r="E69" s="441" t="n"/>
      <c r="F69" s="441" t="n"/>
      <c r="G69" s="441" t="n"/>
      <c r="H69" s="158" t="n"/>
      <c r="I69" s="159">
        <f>SUM(I16+I63+I66)</f>
        <v/>
      </c>
      <c r="J69" s="160">
        <f>SUM(J16+J63+J66)</f>
        <v/>
      </c>
      <c r="K69" s="160">
        <f>SUM(K16+K63+K66)</f>
        <v/>
      </c>
      <c r="L69" s="160">
        <f>SUM(L16+L63+L66)</f>
        <v/>
      </c>
      <c r="M69" s="160">
        <f>SUM(M16+M63+M66)</f>
        <v/>
      </c>
      <c r="N69" s="160">
        <f>SUM(N16+N63+N66)</f>
        <v/>
      </c>
      <c r="O69" s="160">
        <f>SUM(O16+O63+O66)</f>
        <v/>
      </c>
      <c r="P69" s="160">
        <f>SUM(P16+P63+P66)</f>
        <v/>
      </c>
      <c r="Q69" s="160">
        <f>SUM(Q16+Q63+Q66)</f>
        <v/>
      </c>
      <c r="R69" s="160">
        <f>SUM(R16+R63+R66)</f>
        <v/>
      </c>
      <c r="S69" s="160">
        <f>SUM(S16+S63+S66)</f>
        <v/>
      </c>
      <c r="T69" s="160">
        <f>SUM(T16+T63+T66)</f>
        <v/>
      </c>
      <c r="U69" s="160">
        <f>SUM(U16+U63+U66)</f>
        <v/>
      </c>
      <c r="V69" s="160">
        <f>SUM(V16+V63+V66)</f>
        <v/>
      </c>
      <c r="W69" s="160">
        <f>SUM(W16+W63+W66)</f>
        <v/>
      </c>
      <c r="X69" s="160">
        <f>SUM(X16+X63+X66)</f>
        <v/>
      </c>
      <c r="Y69" s="160">
        <f>SUM(Y16+Y63+Y66)</f>
        <v/>
      </c>
      <c r="Z69" s="160">
        <f>SUM(Z16+Z63+Z66)</f>
        <v/>
      </c>
      <c r="AA69" s="160">
        <f>SUM(AA16+AA63+AA66)</f>
        <v/>
      </c>
      <c r="AB69" s="160">
        <f>SUM(AB16+AB63+AB66)</f>
        <v/>
      </c>
      <c r="AC69" s="160">
        <f>SUM(AC16+AC63+AC66)</f>
        <v/>
      </c>
      <c r="AD69" s="160">
        <f>SUM(AD16+AD63+AD66)</f>
        <v/>
      </c>
      <c r="AE69" s="160">
        <f>SUM(AE16+AE63+AE66)</f>
        <v/>
      </c>
      <c r="AF69" s="160">
        <f>SUM(AF16+AF63+AF66)</f>
        <v/>
      </c>
      <c r="AG69" s="160">
        <f>SUM(AG16+AG63+AG66)</f>
        <v/>
      </c>
      <c r="AH69" s="160">
        <f>SUM(AH16+AH63+AH66)</f>
        <v/>
      </c>
      <c r="AI69" s="160">
        <f>SUM(AI16+AI63+AI66)</f>
        <v/>
      </c>
      <c r="AJ69" s="160">
        <f>SUM(AJ16+AJ63+AJ66)</f>
        <v/>
      </c>
      <c r="AK69" s="196">
        <f>SUM(I69:AJ69)</f>
        <v/>
      </c>
      <c r="AL69" s="158">
        <f>AK69*8</f>
        <v/>
      </c>
    </row>
    <row r="70" ht="21.95" customHeight="1" s="506" thickBot="1">
      <c r="B70" s="534" t="inlineStr">
        <is>
          <t>保安每日工作(缺勤)總人數</t>
        </is>
      </c>
      <c r="C70" s="525" t="n"/>
      <c r="D70" s="526" t="n"/>
      <c r="E70" s="444" t="n"/>
      <c r="F70" s="444" t="n"/>
      <c r="G70" s="444" t="n"/>
      <c r="H70" s="164" t="n"/>
      <c r="I70" s="527">
        <f>I68-I69</f>
        <v/>
      </c>
      <c r="J70" s="535">
        <f>J68-J69</f>
        <v/>
      </c>
      <c r="K70" s="535">
        <f>K68-K69</f>
        <v/>
      </c>
      <c r="L70" s="535">
        <f>L68-L69</f>
        <v/>
      </c>
      <c r="M70" s="535">
        <f>M68-M69</f>
        <v/>
      </c>
      <c r="N70" s="535">
        <f>N68-N69</f>
        <v/>
      </c>
      <c r="O70" s="535">
        <f>O68-O69</f>
        <v/>
      </c>
      <c r="P70" s="535">
        <f>P68-P69</f>
        <v/>
      </c>
      <c r="Q70" s="535">
        <f>Q68-Q69</f>
        <v/>
      </c>
      <c r="R70" s="535">
        <f>R68-R69</f>
        <v/>
      </c>
      <c r="S70" s="535">
        <f>S68-S69</f>
        <v/>
      </c>
      <c r="T70" s="535">
        <f>T68-T69</f>
        <v/>
      </c>
      <c r="U70" s="535">
        <f>U68-U69</f>
        <v/>
      </c>
      <c r="V70" s="535">
        <f>V68-V69</f>
        <v/>
      </c>
      <c r="W70" s="535">
        <f>W68-W69</f>
        <v/>
      </c>
      <c r="X70" s="535">
        <f>X68-X69</f>
        <v/>
      </c>
      <c r="Y70" s="535">
        <f>Y68-Y69</f>
        <v/>
      </c>
      <c r="Z70" s="535">
        <f>Z68-Z69</f>
        <v/>
      </c>
      <c r="AA70" s="535">
        <f>AA68-AA69</f>
        <v/>
      </c>
      <c r="AB70" s="535">
        <f>AB68-AB69</f>
        <v/>
      </c>
      <c r="AC70" s="535">
        <f>AC68-AC69</f>
        <v/>
      </c>
      <c r="AD70" s="535">
        <f>AD68-AD69</f>
        <v/>
      </c>
      <c r="AE70" s="535">
        <f>AE68-AE69</f>
        <v/>
      </c>
      <c r="AF70" s="535">
        <f>AF68-AF69</f>
        <v/>
      </c>
      <c r="AG70" s="535">
        <f>AG68-AG69</f>
        <v/>
      </c>
      <c r="AH70" s="535">
        <f>AH68-AH69</f>
        <v/>
      </c>
      <c r="AI70" s="535">
        <f>AI68-AI69</f>
        <v/>
      </c>
      <c r="AJ70" s="535">
        <f>AJ68-AJ69</f>
        <v/>
      </c>
      <c r="AK70" s="543">
        <f>SUM(I70:AJ70)</f>
        <v/>
      </c>
      <c r="AL70" s="544">
        <f>AL68-AL69</f>
        <v/>
      </c>
    </row>
    <row r="71" ht="21.95" customHeight="1" s="506"/>
    <row r="72" ht="21.95" customHeight="1" s="506">
      <c r="D72" s="115" t="inlineStr">
        <is>
          <t>備註：</t>
        </is>
      </c>
      <c r="I72" s="3" t="inlineStr">
        <is>
          <t xml:space="preserve"> GS=Guard Supervisor     SG=Special Guard      G=Security Guard</t>
        </is>
      </c>
      <c r="J72" s="545" t="n"/>
      <c r="K72" s="545" t="n"/>
      <c r="L72" s="545" t="n"/>
      <c r="M72" s="545" t="n"/>
      <c r="N72" s="545" t="n"/>
      <c r="O72" s="545" t="n"/>
      <c r="P72" s="545" t="n"/>
      <c r="Q72" s="545" t="n"/>
      <c r="R72" s="67" t="n"/>
      <c r="S72" s="40" t="n"/>
      <c r="X72" s="40" t="n"/>
      <c r="Y72" s="40" t="n"/>
      <c r="Z72" s="40" t="n"/>
      <c r="AA72" s="434" t="inlineStr">
        <is>
          <t>NSH/SH</t>
        </is>
      </c>
      <c r="AB72" s="546" t="n"/>
      <c r="AC72" s="44" t="inlineStr">
        <is>
          <t>RD</t>
        </is>
      </c>
      <c r="AD72" s="364" t="inlineStr">
        <is>
          <t>NP</t>
        </is>
      </c>
      <c r="AE72" s="45" t="inlineStr">
        <is>
          <t>SL</t>
        </is>
      </c>
      <c r="AF72" s="547" t="inlineStr">
        <is>
          <t>TY/FS/FH/WTT/POH</t>
        </is>
      </c>
      <c r="AG72" s="522" t="n"/>
      <c r="AH72" s="546" t="n"/>
      <c r="AI72" s="40" t="n"/>
      <c r="AJ72" s="40" t="n"/>
    </row>
    <row r="73" ht="21.95" customHeight="1" s="506">
      <c r="I73" s="3" t="inlineStr">
        <is>
          <t>【AL=年假】【SH=法定假】【NSH=無薪法定假】【NP=無薪假期】【RD=例假】【SL=病假】【NC=非合約期】【ND=休班】【EC=工傷休假】</t>
        </is>
      </c>
      <c r="O73" s="40" t="n"/>
    </row>
    <row r="74" ht="21.95" customHeight="1" s="506">
      <c r="C74" s="5" t="n"/>
    </row>
    <row r="75" ht="21.95" customHeight="1" s="506">
      <c r="B75" s="116" t="n"/>
      <c r="C75" s="117" t="n"/>
      <c r="D75" s="117" t="n"/>
      <c r="F75" s="82" t="n"/>
      <c r="G75" s="83" t="n"/>
      <c r="H75" s="118" t="n"/>
      <c r="AF75" s="85" t="n"/>
      <c r="AK75" s="3" t="n"/>
      <c r="AL75" s="3" t="n"/>
    </row>
    <row r="76" ht="21.95" customHeight="1" s="506">
      <c r="F76" s="82" t="n"/>
      <c r="G76" s="78" t="n"/>
      <c r="H76" s="107" t="n"/>
      <c r="AK76" s="3" t="n"/>
      <c r="AL76" s="3" t="n"/>
    </row>
    <row r="77" ht="21.95" customHeight="1" s="506">
      <c r="D77" s="3" t="n"/>
      <c r="H77" s="40" t="n"/>
      <c r="I77" s="40" t="n"/>
      <c r="J77" s="40" t="n"/>
    </row>
    <row r="78" ht="21.95" customHeight="1" s="506">
      <c r="D78" s="3" t="n"/>
      <c r="H78" s="40" t="n"/>
    </row>
    <row r="79" ht="21.95" customHeight="1" s="506">
      <c r="AF79" s="4" t="n"/>
      <c r="AG79" s="4" t="n"/>
      <c r="AH79" s="4" t="n"/>
      <c r="AI79" s="4" t="n"/>
      <c r="AJ79" s="4" t="n"/>
      <c r="AK79" s="4" t="n"/>
      <c r="AL79" s="4" t="n"/>
    </row>
    <row r="80" ht="21.95" customHeight="1" s="506">
      <c r="I80" s="32" t="n"/>
      <c r="AF80" s="4" t="n"/>
      <c r="AG80" s="4" t="n"/>
      <c r="AH80" s="4" t="n"/>
      <c r="AI80" s="4" t="n"/>
      <c r="AJ80" s="4" t="n"/>
      <c r="AK80" s="4" t="n"/>
      <c r="AL80" s="4" t="n"/>
    </row>
    <row r="81" ht="21.95" customHeight="1" s="506">
      <c r="AF81" s="4" t="n"/>
      <c r="AG81" s="4" t="n"/>
      <c r="AH81" s="4" t="n"/>
      <c r="AI81" s="4" t="n"/>
      <c r="AJ81" s="4" t="n"/>
      <c r="AK81" s="2" t="n"/>
      <c r="AL81" s="2" t="n"/>
    </row>
    <row r="82" ht="21.95" customHeight="1" s="506">
      <c r="AF82" s="4" t="n"/>
      <c r="AG82" s="4" t="n"/>
      <c r="AH82" s="4" t="n"/>
      <c r="AI82" s="4" t="n"/>
      <c r="AJ82" s="4" t="n"/>
      <c r="AK82" s="2" t="n"/>
      <c r="AL82" s="2" t="n"/>
    </row>
    <row r="83" ht="21.95" customHeight="1" s="506">
      <c r="AF83" s="86" t="n"/>
      <c r="AG83" s="120" t="n"/>
      <c r="AH83" s="120" t="n"/>
      <c r="AI83" s="120" t="n"/>
      <c r="AJ83" s="120" t="n"/>
      <c r="AK83" s="120" t="n"/>
      <c r="AL83" s="120" t="n"/>
    </row>
    <row r="84" ht="21.95" customHeight="1" s="506"/>
    <row r="85" ht="21.95" customHeight="1" s="506"/>
    <row r="86" ht="21.95" customHeight="1" s="506"/>
    <row r="87" ht="21.95" customHeight="1" s="506"/>
    <row r="88" ht="21.95" customHeight="1" s="506"/>
    <row r="89" ht="21.95" customHeight="1" s="506"/>
    <row r="90" ht="21.95" customHeight="1" s="506"/>
    <row r="91" ht="21.95" customHeight="1" s="506"/>
    <row r="92" ht="21.95" customHeight="1" s="506"/>
    <row r="93" ht="21.95" customHeight="1" s="506"/>
    <row r="94" ht="21.95" customHeight="1" s="506"/>
    <row r="95" ht="21.95" customHeight="1" s="506"/>
    <row r="96" ht="21.95" customHeight="1" s="506"/>
    <row r="97" ht="21.95" customHeight="1" s="506"/>
    <row r="98" ht="21.95" customHeight="1" s="506"/>
    <row r="99" ht="21.95" customHeight="1" s="506"/>
    <row r="100" ht="21.95" customHeight="1" s="506"/>
    <row r="101" ht="21.95" customHeight="1" s="506"/>
    <row r="102" ht="21.95" customHeight="1" s="506"/>
    <row r="103" ht="21.95" customHeight="1" s="506"/>
    <row r="104" ht="21.95" customHeight="1" s="506"/>
    <row r="105" ht="21.95" customHeight="1" s="506"/>
    <row r="106" ht="21.95" customHeight="1" s="506"/>
    <row r="107" ht="21.95" customHeight="1" s="506"/>
    <row r="108" ht="21.95" customHeight="1" s="506"/>
    <row r="109" ht="21.95" customHeight="1" s="506"/>
    <row r="110" ht="21.95" customHeight="1" s="506"/>
    <row r="111" ht="21.95" customHeight="1" s="506"/>
    <row r="112" ht="21.95" customHeight="1" s="506"/>
    <row r="113" ht="21.95" customHeight="1" s="506"/>
    <row r="114" ht="21.95" customHeight="1" s="506"/>
    <row r="115" ht="21.95" customHeight="1" s="506"/>
    <row r="116" ht="21.95" customHeight="1" s="506"/>
    <row r="117" ht="21.95" customHeight="1" s="506"/>
    <row r="118" ht="21.95" customHeight="1" s="506"/>
    <row r="119" ht="21.95" customHeight="1" s="506"/>
    <row r="120" ht="21.95" customHeight="1" s="506"/>
    <row r="121" ht="21.95" customHeight="1" s="506"/>
    <row r="122" ht="21.95" customHeight="1" s="506"/>
    <row r="123" ht="21.95" customHeight="1" s="506"/>
    <row r="124" ht="21.95" customHeight="1" s="506"/>
    <row r="125" ht="21.95" customHeight="1" s="506"/>
    <row r="126" ht="21.95" customHeight="1" s="506"/>
    <row r="127" ht="21.95" customHeight="1" s="506"/>
    <row r="128" ht="21.95" customHeight="1" s="506"/>
    <row r="129" ht="21.95" customHeight="1" s="506"/>
    <row r="130" ht="21.95" customHeight="1" s="506"/>
    <row r="131" ht="21.95" customHeight="1" s="506"/>
    <row r="132" ht="21.95" customHeight="1" s="506"/>
    <row r="133" ht="21.95" customHeight="1" s="506"/>
    <row r="134" ht="21.95" customHeight="1" s="506"/>
    <row r="135" ht="21.95" customHeight="1" s="506"/>
    <row r="136" ht="21.95" customHeight="1" s="506"/>
    <row r="137" ht="21.95" customHeight="1" s="506"/>
    <row r="138" ht="21.95" customHeight="1" s="506"/>
    <row r="139" ht="21.95" customHeight="1" s="506"/>
    <row r="140" ht="21.95" customHeight="1" s="506"/>
    <row r="141" ht="21.95" customHeight="1" s="506"/>
    <row r="142" ht="21.95" customHeight="1" s="506"/>
    <row r="143" ht="21.95" customHeight="1" s="506"/>
    <row r="144" ht="21.95" customHeight="1" s="506"/>
    <row r="145" ht="21.95" customHeight="1" s="506"/>
    <row r="146" ht="21.95" customHeight="1" s="506"/>
    <row r="147" ht="21.95" customHeight="1" s="506"/>
    <row r="148" ht="21.95" customHeight="1" s="506"/>
    <row r="149" ht="21.95" customHeight="1" s="506"/>
    <row r="150" ht="21.95" customHeight="1" s="506"/>
    <row r="151" ht="21.95" customHeight="1" s="506"/>
    <row r="152" ht="21.95" customHeight="1" s="506"/>
    <row r="153" ht="21.95" customHeight="1" s="506"/>
    <row r="154" ht="21.95" customHeight="1" s="506"/>
    <row r="155" ht="21.95" customHeight="1" s="506"/>
    <row r="156" ht="21.95" customHeight="1" s="506"/>
    <row r="157" ht="21.95" customHeight="1" s="506"/>
    <row r="158" ht="21.95" customHeight="1" s="506"/>
    <row r="159" ht="21.95" customHeight="1" s="506"/>
    <row r="160" ht="21.95" customHeight="1" s="506"/>
    <row r="161" ht="21.95" customHeight="1" s="506"/>
    <row r="162" ht="21.95" customHeight="1" s="506"/>
    <row r="163" ht="21.95" customHeight="1" s="506"/>
    <row r="164" ht="21.95" customHeight="1" s="506"/>
    <row r="165" ht="21.95" customHeight="1" s="506"/>
    <row r="166" ht="21.95" customHeight="1" s="506"/>
    <row r="167" ht="21.95" customHeight="1" s="506"/>
  </sheetData>
  <mergeCells count="23">
    <mergeCell ref="D59:H59"/>
    <mergeCell ref="AZ6:AZ7"/>
    <mergeCell ref="B67:D67"/>
    <mergeCell ref="B59:C59"/>
    <mergeCell ref="AA72:AB72"/>
    <mergeCell ref="B17:D17"/>
    <mergeCell ref="B69:D69"/>
    <mergeCell ref="B68:D68"/>
    <mergeCell ref="B65:D65"/>
    <mergeCell ref="B15:D15"/>
    <mergeCell ref="B64:D64"/>
    <mergeCell ref="B4:AL4"/>
    <mergeCell ref="AF72:AH72"/>
    <mergeCell ref="AK6:AK7"/>
    <mergeCell ref="B63:D63"/>
    <mergeCell ref="B3:AL3"/>
    <mergeCell ref="B62:D62"/>
    <mergeCell ref="B16:D16"/>
    <mergeCell ref="B66:D66"/>
    <mergeCell ref="B2:AL2"/>
    <mergeCell ref="B70:D70"/>
    <mergeCell ref="AL6:AL7"/>
    <mergeCell ref="B1:AL1"/>
  </mergeCells>
  <conditionalFormatting sqref="B1:B2">
    <cfRule type="cellIs" priority="817" operator="equal" dxfId="1753" stopIfTrue="1">
      <formula>"NC"</formula>
    </cfRule>
    <cfRule type="cellIs" priority="818" operator="equal" dxfId="1752" stopIfTrue="1">
      <formula>"R"</formula>
    </cfRule>
    <cfRule type="cellIs" priority="819" operator="equal" dxfId="1731" stopIfTrue="1">
      <formula>"RD"</formula>
    </cfRule>
  </conditionalFormatting>
  <conditionalFormatting sqref="B4:AO4">
    <cfRule type="cellIs" priority="2" operator="equal" dxfId="1645">
      <formula>"NSH"</formula>
    </cfRule>
  </conditionalFormatting>
  <conditionalFormatting sqref="C74">
    <cfRule type="cellIs" priority="758" operator="equal" dxfId="9" stopIfTrue="1">
      <formula>"NC"</formula>
    </cfRule>
    <cfRule type="cellIs" priority="759" operator="equal" dxfId="10" stopIfTrue="1">
      <formula>"NP"</formula>
    </cfRule>
    <cfRule type="cellIs" priority="760" operator="equal" dxfId="1731" stopIfTrue="1">
      <formula>"RD"</formula>
    </cfRule>
  </conditionalFormatting>
  <conditionalFormatting sqref="I8">
    <cfRule type="cellIs" priority="755" operator="equal" dxfId="11">
      <formula>"SEC"</formula>
    </cfRule>
    <cfRule type="cellIs" priority="823" operator="equal" dxfId="9" stopIfTrue="1">
      <formula>"SG"</formula>
    </cfRule>
    <cfRule type="cellIs" priority="824" operator="equal" dxfId="9" stopIfTrue="1">
      <formula>"GS"</formula>
    </cfRule>
  </conditionalFormatting>
  <conditionalFormatting sqref="I10:I11">
    <cfRule type="cellIs" priority="748" operator="equal" dxfId="11">
      <formula>"SEC"</formula>
    </cfRule>
    <cfRule type="cellIs" priority="749" operator="equal" dxfId="9" stopIfTrue="1">
      <formula>"SG"</formula>
    </cfRule>
    <cfRule type="cellIs" priority="750" operator="equal" dxfId="9" stopIfTrue="1">
      <formula>"GS"</formula>
    </cfRule>
  </conditionalFormatting>
  <conditionalFormatting sqref="I20:I21">
    <cfRule type="cellIs" priority="702" operator="equal" dxfId="11">
      <formula>"SEC"</formula>
    </cfRule>
    <cfRule type="cellIs" priority="703" operator="equal" dxfId="9" stopIfTrue="1">
      <formula>"SG"</formula>
    </cfRule>
    <cfRule type="cellIs" priority="704" operator="equal" dxfId="9" stopIfTrue="1">
      <formula>"GS"</formula>
    </cfRule>
  </conditionalFormatting>
  <conditionalFormatting sqref="I23">
    <cfRule type="containsText" priority="662" operator="containsText" dxfId="74" text="G">
      <formula>NOT(ISERROR(SEARCH("G",I23)))</formula>
    </cfRule>
    <cfRule type="cellIs" priority="663" operator="equal" dxfId="11">
      <formula>"SEC"</formula>
    </cfRule>
    <cfRule type="cellIs" priority="664" operator="equal" dxfId="9" stopIfTrue="1">
      <formula>"SG"</formula>
    </cfRule>
    <cfRule type="cellIs" priority="665" operator="equal" dxfId="9" stopIfTrue="1">
      <formula>"GS"</formula>
    </cfRule>
  </conditionalFormatting>
  <conditionalFormatting sqref="I43">
    <cfRule type="containsText" priority="298" operator="containsText" dxfId="74" text="G">
      <formula>NOT(ISERROR(SEARCH("G",I43)))</formula>
    </cfRule>
    <cfRule type="cellIs" priority="299" operator="equal" dxfId="11">
      <formula>"SEC"</formula>
    </cfRule>
    <cfRule type="cellIs" priority="300" operator="equal" dxfId="9" stopIfTrue="1">
      <formula>"SG"</formula>
    </cfRule>
    <cfRule type="cellIs" priority="301" operator="equal" dxfId="9" stopIfTrue="1">
      <formula>"GS"</formula>
    </cfRule>
  </conditionalFormatting>
  <conditionalFormatting sqref="I57">
    <cfRule type="containsText" priority="56" operator="containsText" dxfId="74" text="G">
      <formula>NOT(ISERROR(SEARCH("G",I57)))</formula>
    </cfRule>
    <cfRule type="cellIs" priority="57" operator="equal" dxfId="11">
      <formula>"SEC"</formula>
    </cfRule>
    <cfRule type="cellIs" priority="58" operator="equal" dxfId="9" stopIfTrue="1">
      <formula>"SG"</formula>
    </cfRule>
    <cfRule type="cellIs" priority="59" operator="equal" dxfId="9" stopIfTrue="1">
      <formula>"GS"</formula>
    </cfRule>
  </conditionalFormatting>
  <conditionalFormatting sqref="I73">
    <cfRule type="cellIs" priority="756" operator="equal" dxfId="1660">
      <formula>"NP"</formula>
    </cfRule>
  </conditionalFormatting>
  <conditionalFormatting sqref="I48:J48">
    <cfRule type="containsText" priority="210" operator="containsText" dxfId="74" text="G">
      <formula>NOT(ISERROR(SEARCH("G",I48)))</formula>
    </cfRule>
    <cfRule type="cellIs" priority="211" operator="equal" dxfId="11">
      <formula>"SEC"</formula>
    </cfRule>
    <cfRule type="cellIs" priority="212" operator="equal" dxfId="9" stopIfTrue="1">
      <formula>"SG"</formula>
    </cfRule>
    <cfRule type="cellIs" priority="213" operator="equal" dxfId="9" stopIfTrue="1">
      <formula>"GS"</formula>
    </cfRule>
  </conditionalFormatting>
  <conditionalFormatting sqref="I6:K7 M6:AM7">
    <cfRule type="expression" priority="1809" dxfId="1646" stopIfTrue="1">
      <formula>(WEEKDAY($I1048574,5)&gt;1)</formula>
    </cfRule>
    <cfRule type="expression" priority="1810" dxfId="1646" stopIfTrue="1">
      <formula>LEFT(#REF!,1)="H"</formula>
    </cfRule>
    <cfRule type="expression" priority="1811" dxfId="1646" stopIfTrue="1">
      <formula>WEEKDAY(I$6,2)&gt;6</formula>
    </cfRule>
  </conditionalFormatting>
  <conditionalFormatting sqref="I8:AM9 I12:AM13">
    <cfRule type="cellIs" priority="763" operator="equal" dxfId="11">
      <formula>"SEC"</formula>
    </cfRule>
  </conditionalFormatting>
  <conditionalFormatting sqref="I8:AM11 I20:AM51 I53:AM58">
    <cfRule type="cellIs" priority="757" operator="equal" dxfId="1633">
      <formula>"NSH"</formula>
    </cfRule>
  </conditionalFormatting>
  <conditionalFormatting sqref="I8:AM51 I53:AM58">
    <cfRule type="containsText" priority="801" operator="containsText" dxfId="74" text="WTT">
      <formula>NOT(ISERROR(SEARCH("WTT",I8)))</formula>
    </cfRule>
    <cfRule type="containsText" priority="802" operator="containsText" dxfId="1644" text="RD">
      <formula>NOT(ISERROR(SEARCH("RD",I8)))</formula>
    </cfRule>
    <cfRule type="containsText" priority="807" operator="containsText" dxfId="1633" text="NP">
      <formula>NOT(ISERROR(SEARCH("NP",I8)))</formula>
    </cfRule>
    <cfRule type="containsText" priority="808" operator="containsText" dxfId="74" text="GS">
      <formula>NOT(ISERROR(SEARCH("GS",I8)))</formula>
    </cfRule>
    <cfRule type="containsText" priority="809" operator="containsText" dxfId="74" text="SEC">
      <formula>NOT(ISERROR(SEARCH("SEC",I8)))</formula>
    </cfRule>
    <cfRule type="containsText" priority="810" operator="containsText" dxfId="74" text="FS">
      <formula>NOT(ISERROR(SEARCH("FS",I8)))</formula>
    </cfRule>
    <cfRule type="containsText" priority="811" operator="containsText" dxfId="74" text="FH">
      <formula>NOT(ISERROR(SEARCH("FH",I8)))</formula>
    </cfRule>
    <cfRule type="containsText" priority="812" operator="containsText" dxfId="1639" text="RD">
      <formula>NOT(ISERROR(SEARCH("RD",I8)))</formula>
    </cfRule>
    <cfRule type="containsText" priority="813" operator="containsText" dxfId="1633" text="SHNP">
      <formula>NOT(ISERROR(SEARCH("SHNP",I8)))</formula>
    </cfRule>
    <cfRule type="cellIs" priority="846" operator="equal" dxfId="1731" stopIfTrue="1">
      <formula>"CL"</formula>
    </cfRule>
  </conditionalFormatting>
  <conditionalFormatting sqref="I8:AM70">
    <cfRule type="cellIs" priority="1" operator="equal" dxfId="1645">
      <formula>"NSH"</formula>
    </cfRule>
  </conditionalFormatting>
  <conditionalFormatting sqref="I10:AM11">
    <cfRule type="containsText" priority="728" operator="containsText" dxfId="74" text="G">
      <formula>NOT(ISERROR(SEARCH("G",I10)))</formula>
    </cfRule>
  </conditionalFormatting>
  <conditionalFormatting sqref="I20:AM21">
    <cfRule type="containsText" priority="682" operator="containsText" dxfId="74" text="G">
      <formula>NOT(ISERROR(SEARCH("G",I20)))</formula>
    </cfRule>
  </conditionalFormatting>
  <conditionalFormatting sqref="I52:AM52">
    <cfRule type="containsText" priority="128" operator="containsText" dxfId="2445" text="EC">
      <formula>NOT(ISERROR(SEARCH("EC",I52)))</formula>
    </cfRule>
  </conditionalFormatting>
  <conditionalFormatting sqref="I60:AM60 I80">
    <cfRule type="expression" priority="862" dxfId="2441" stopIfTrue="1">
      <formula>NOT(ISERROR(SEARCH("OTE",I60)))</formula>
    </cfRule>
    <cfRule type="expression" priority="863" dxfId="9" stopIfTrue="1">
      <formula>NOT(ISERROR(SEARCH("AL",I60)))</formula>
    </cfRule>
    <cfRule type="expression" priority="864" dxfId="6" stopIfTrue="1">
      <formula>NOT(ISERROR(SEARCH("SL",I60)))</formula>
    </cfRule>
  </conditionalFormatting>
  <conditionalFormatting sqref="I12:Y14 I15:AM15 I16:Y19 I60:AM60 Z17 AA12:AM14 AA16:AL18 AA19:AM19 AM15:AM18">
    <cfRule type="expression" priority="865" dxfId="2441" stopIfTrue="1">
      <formula>NOT(ISERROR(SEARCH("OTE",I12)))</formula>
    </cfRule>
  </conditionalFormatting>
  <conditionalFormatting sqref="I60:AM60">
    <cfRule type="cellIs" priority="866" operator="equal" dxfId="9" stopIfTrue="1">
      <formula>"TPN"</formula>
    </cfRule>
    <cfRule type="cellIs" priority="867" operator="equal" dxfId="1731" stopIfTrue="1">
      <formula>"CL"</formula>
    </cfRule>
    <cfRule type="cellIs" priority="868" operator="equal" dxfId="9" stopIfTrue="1">
      <formula>"GS"</formula>
    </cfRule>
  </conditionalFormatting>
  <conditionalFormatting sqref="J26">
    <cfRule type="containsText" priority="602" operator="containsText" dxfId="74" text="G">
      <formula>NOT(ISERROR(SEARCH("G",J26)))</formula>
    </cfRule>
    <cfRule type="cellIs" priority="603" operator="equal" dxfId="11">
      <formula>"SEC"</formula>
    </cfRule>
    <cfRule type="cellIs" priority="604" operator="equal" dxfId="9" stopIfTrue="1">
      <formula>"SG"</formula>
    </cfRule>
    <cfRule type="cellIs" priority="605" operator="equal" dxfId="9" stopIfTrue="1">
      <formula>"GS"</formula>
    </cfRule>
  </conditionalFormatting>
  <conditionalFormatting sqref="J31:J32">
    <cfRule type="containsText" priority="498" operator="containsText" dxfId="74" text="G">
      <formula>NOT(ISERROR(SEARCH("G",J31)))</formula>
    </cfRule>
    <cfRule type="cellIs" priority="499" operator="equal" dxfId="11">
      <formula>"SEC"</formula>
    </cfRule>
    <cfRule type="cellIs" priority="500" operator="equal" dxfId="9" stopIfTrue="1">
      <formula>"SG"</formula>
    </cfRule>
    <cfRule type="cellIs" priority="501" operator="equal" dxfId="9" stopIfTrue="1">
      <formula>"GS"</formula>
    </cfRule>
  </conditionalFormatting>
  <conditionalFormatting sqref="J39">
    <cfRule type="containsText" priority="374" operator="containsText" dxfId="74" text="G">
      <formula>NOT(ISERROR(SEARCH("G",J39)))</formula>
    </cfRule>
    <cfRule type="cellIs" priority="375" operator="equal" dxfId="11">
      <formula>"SEC"</formula>
    </cfRule>
    <cfRule type="cellIs" priority="376" operator="equal" dxfId="9" stopIfTrue="1">
      <formula>"SG"</formula>
    </cfRule>
    <cfRule type="cellIs" priority="377" operator="equal" dxfId="9" stopIfTrue="1">
      <formula>"GS"</formula>
    </cfRule>
  </conditionalFormatting>
  <conditionalFormatting sqref="J54">
    <cfRule type="containsText" priority="108" operator="containsText" dxfId="74" text="G">
      <formula>NOT(ISERROR(SEARCH("G",J54)))</formula>
    </cfRule>
    <cfRule type="cellIs" priority="109" operator="equal" dxfId="11">
      <formula>"SEC"</formula>
    </cfRule>
    <cfRule type="cellIs" priority="110" operator="equal" dxfId="9" stopIfTrue="1">
      <formula>"SG"</formula>
    </cfRule>
    <cfRule type="cellIs" priority="111" operator="equal" dxfId="9" stopIfTrue="1">
      <formula>"GS"</formula>
    </cfRule>
  </conditionalFormatting>
  <conditionalFormatting sqref="K8:K9">
    <cfRule type="cellIs" priority="886" operator="equal" dxfId="9" stopIfTrue="1">
      <formula>"SG"</formula>
    </cfRule>
    <cfRule type="cellIs" priority="887" operator="equal" dxfId="9" stopIfTrue="1">
      <formula>"GS"</formula>
    </cfRule>
  </conditionalFormatting>
  <conditionalFormatting sqref="K28">
    <cfRule type="containsText" priority="570" operator="containsText" dxfId="74" text="G">
      <formula>NOT(ISERROR(SEARCH("G",K28)))</formula>
    </cfRule>
    <cfRule type="cellIs" priority="571" operator="equal" dxfId="11">
      <formula>"SEC"</formula>
    </cfRule>
    <cfRule type="cellIs" priority="572" operator="equal" dxfId="9" stopIfTrue="1">
      <formula>"SG"</formula>
    </cfRule>
    <cfRule type="cellIs" priority="573" operator="equal" dxfId="9" stopIfTrue="1">
      <formula>"GS"</formula>
    </cfRule>
  </conditionalFormatting>
  <conditionalFormatting sqref="K30">
    <cfRule type="containsText" priority="530" operator="containsText" dxfId="74" text="G">
      <formula>NOT(ISERROR(SEARCH("G",K30)))</formula>
    </cfRule>
    <cfRule type="cellIs" priority="531" operator="equal" dxfId="11">
      <formula>"SEC"</formula>
    </cfRule>
    <cfRule type="cellIs" priority="532" operator="equal" dxfId="9" stopIfTrue="1">
      <formula>"SG"</formula>
    </cfRule>
    <cfRule type="cellIs" priority="533" operator="equal" dxfId="9" stopIfTrue="1">
      <formula>"GS"</formula>
    </cfRule>
  </conditionalFormatting>
  <conditionalFormatting sqref="K34">
    <cfRule type="containsText" priority="466" operator="containsText" dxfId="74" text="G">
      <formula>NOT(ISERROR(SEARCH("G",K34)))</formula>
    </cfRule>
    <cfRule type="cellIs" priority="467" operator="equal" dxfId="11">
      <formula>"SEC"</formula>
    </cfRule>
    <cfRule type="cellIs" priority="468" operator="equal" dxfId="9" stopIfTrue="1">
      <formula>"SG"</formula>
    </cfRule>
    <cfRule type="cellIs" priority="469" operator="equal" dxfId="9" stopIfTrue="1">
      <formula>"GS"</formula>
    </cfRule>
  </conditionalFormatting>
  <conditionalFormatting sqref="K37">
    <cfRule type="containsText" priority="410" operator="containsText" dxfId="74" text="G">
      <formula>NOT(ISERROR(SEARCH("G",K37)))</formula>
    </cfRule>
    <cfRule type="cellIs" priority="411" operator="equal" dxfId="11">
      <formula>"SEC"</formula>
    </cfRule>
    <cfRule type="cellIs" priority="412" operator="equal" dxfId="9" stopIfTrue="1">
      <formula>"SG"</formula>
    </cfRule>
    <cfRule type="cellIs" priority="413" operator="equal" dxfId="9" stopIfTrue="1">
      <formula>"GS"</formula>
    </cfRule>
  </conditionalFormatting>
  <conditionalFormatting sqref="K40">
    <cfRule type="containsText" priority="354" operator="containsText" dxfId="74" text="G">
      <formula>NOT(ISERROR(SEARCH("G",K40)))</formula>
    </cfRule>
    <cfRule type="cellIs" priority="355" operator="equal" dxfId="11">
      <formula>"SEC"</formula>
    </cfRule>
    <cfRule type="cellIs" priority="356" operator="equal" dxfId="9" stopIfTrue="1">
      <formula>"SG"</formula>
    </cfRule>
    <cfRule type="cellIs" priority="357" operator="equal" dxfId="9" stopIfTrue="1">
      <formula>"GS"</formula>
    </cfRule>
  </conditionalFormatting>
  <conditionalFormatting sqref="K42">
    <cfRule type="containsText" priority="314" operator="containsText" dxfId="74" text="G">
      <formula>NOT(ISERROR(SEARCH("G",K42)))</formula>
    </cfRule>
    <cfRule type="cellIs" priority="315" operator="equal" dxfId="11">
      <formula>"SEC"</formula>
    </cfRule>
    <cfRule type="cellIs" priority="316" operator="equal" dxfId="9" stopIfTrue="1">
      <formula>"SG"</formula>
    </cfRule>
    <cfRule type="cellIs" priority="317" operator="equal" dxfId="9" stopIfTrue="1">
      <formula>"GS"</formula>
    </cfRule>
  </conditionalFormatting>
  <conditionalFormatting sqref="K46">
    <cfRule type="containsText" priority="178" operator="containsText" dxfId="74" text="G">
      <formula>NOT(ISERROR(SEARCH("G",K46)))</formula>
    </cfRule>
    <cfRule type="cellIs" priority="179" operator="equal" dxfId="11">
      <formula>"SEC"</formula>
    </cfRule>
    <cfRule type="cellIs" priority="180" operator="equal" dxfId="9" stopIfTrue="1">
      <formula>"SG"</formula>
    </cfRule>
    <cfRule type="cellIs" priority="181" operator="equal" dxfId="9" stopIfTrue="1">
      <formula>"GS"</formula>
    </cfRule>
  </conditionalFormatting>
  <conditionalFormatting sqref="L25">
    <cfRule type="containsText" priority="622" operator="containsText" dxfId="74" text="G">
      <formula>NOT(ISERROR(SEARCH("G",L25)))</formula>
    </cfRule>
    <cfRule type="cellIs" priority="623" operator="equal" dxfId="11">
      <formula>"SEC"</formula>
    </cfRule>
    <cfRule type="cellIs" priority="624" operator="equal" dxfId="9" stopIfTrue="1">
      <formula>"SG"</formula>
    </cfRule>
    <cfRule type="cellIs" priority="625" operator="equal" dxfId="9" stopIfTrue="1">
      <formula>"GS"</formula>
    </cfRule>
  </conditionalFormatting>
  <conditionalFormatting sqref="L27">
    <cfRule type="containsText" priority="586" operator="containsText" dxfId="74" text="G">
      <formula>NOT(ISERROR(SEARCH("G",L27)))</formula>
    </cfRule>
    <cfRule type="cellIs" priority="587" operator="equal" dxfId="11">
      <formula>"SEC"</formula>
    </cfRule>
    <cfRule type="cellIs" priority="588" operator="equal" dxfId="9" stopIfTrue="1">
      <formula>"SG"</formula>
    </cfRule>
    <cfRule type="cellIs" priority="589" operator="equal" dxfId="9" stopIfTrue="1">
      <formula>"GS"</formula>
    </cfRule>
  </conditionalFormatting>
  <conditionalFormatting sqref="L29">
    <cfRule type="containsText" priority="550" operator="containsText" dxfId="74" text="G">
      <formula>NOT(ISERROR(SEARCH("G",L29)))</formula>
    </cfRule>
    <cfRule type="cellIs" priority="551" operator="equal" dxfId="11">
      <formula>"SEC"</formula>
    </cfRule>
    <cfRule type="cellIs" priority="552" operator="equal" dxfId="9" stopIfTrue="1">
      <formula>"SG"</formula>
    </cfRule>
    <cfRule type="cellIs" priority="553" operator="equal" dxfId="9" stopIfTrue="1">
      <formula>"GS"</formula>
    </cfRule>
  </conditionalFormatting>
  <conditionalFormatting sqref="L33">
    <cfRule type="containsText" priority="478" operator="containsText" dxfId="74" text="G">
      <formula>NOT(ISERROR(SEARCH("G",L33)))</formula>
    </cfRule>
    <cfRule type="cellIs" priority="479" operator="equal" dxfId="11">
      <formula>"SEC"</formula>
    </cfRule>
    <cfRule type="cellIs" priority="480" operator="equal" dxfId="9" stopIfTrue="1">
      <formula>"SG"</formula>
    </cfRule>
    <cfRule type="cellIs" priority="481" operator="equal" dxfId="9" stopIfTrue="1">
      <formula>"GS"</formula>
    </cfRule>
  </conditionalFormatting>
  <conditionalFormatting sqref="L51">
    <cfRule type="containsText" priority="142" operator="containsText" dxfId="74" text="G">
      <formula>NOT(ISERROR(SEARCH("G",L51)))</formula>
    </cfRule>
    <cfRule type="cellIs" priority="143" operator="equal" dxfId="11">
      <formula>"SEC"</formula>
    </cfRule>
    <cfRule type="cellIs" priority="144" operator="equal" dxfId="9" stopIfTrue="1">
      <formula>"SG"</formula>
    </cfRule>
    <cfRule type="cellIs" priority="145" operator="equal" dxfId="9" stopIfTrue="1">
      <formula>"GS"</formula>
    </cfRule>
  </conditionalFormatting>
  <conditionalFormatting sqref="L56">
    <cfRule type="containsText" priority="76" operator="containsText" dxfId="74" text="G">
      <formula>NOT(ISERROR(SEARCH("G",L56)))</formula>
    </cfRule>
    <cfRule type="cellIs" priority="77" operator="equal" dxfId="11">
      <formula>"SEC"</formula>
    </cfRule>
    <cfRule type="cellIs" priority="78" operator="equal" dxfId="9" stopIfTrue="1">
      <formula>"SG"</formula>
    </cfRule>
    <cfRule type="cellIs" priority="79" operator="equal" dxfId="9" stopIfTrue="1">
      <formula>"GS"</formula>
    </cfRule>
  </conditionalFormatting>
  <conditionalFormatting sqref="M35">
    <cfRule type="containsText" priority="446" operator="containsText" dxfId="74" text="G">
      <formula>NOT(ISERROR(SEARCH("G",M35)))</formula>
    </cfRule>
    <cfRule type="cellIs" priority="447" operator="equal" dxfId="11">
      <formula>"SEC"</formula>
    </cfRule>
    <cfRule type="cellIs" priority="448" operator="equal" dxfId="9" stopIfTrue="1">
      <formula>"SG"</formula>
    </cfRule>
    <cfRule type="cellIs" priority="449" operator="equal" dxfId="9" stopIfTrue="1">
      <formula>"GS"</formula>
    </cfRule>
  </conditionalFormatting>
  <conditionalFormatting sqref="M41">
    <cfRule type="containsText" priority="334" operator="containsText" dxfId="74" text="G">
      <formula>NOT(ISERROR(SEARCH("G",M41)))</formula>
    </cfRule>
    <cfRule type="cellIs" priority="335" operator="equal" dxfId="11">
      <formula>"SEC"</formula>
    </cfRule>
    <cfRule type="cellIs" priority="336" operator="equal" dxfId="9" stopIfTrue="1">
      <formula>"SG"</formula>
    </cfRule>
    <cfRule type="cellIs" priority="337" operator="equal" dxfId="9" stopIfTrue="1">
      <formula>"GS"</formula>
    </cfRule>
  </conditionalFormatting>
  <conditionalFormatting sqref="M45">
    <cfRule type="containsText" priority="262" operator="containsText" dxfId="74" text="G">
      <formula>NOT(ISERROR(SEARCH("G",M45)))</formula>
    </cfRule>
    <cfRule type="cellIs" priority="263" operator="equal" dxfId="11">
      <formula>"SEC"</formula>
    </cfRule>
    <cfRule type="cellIs" priority="264" operator="equal" dxfId="9" stopIfTrue="1">
      <formula>"SG"</formula>
    </cfRule>
    <cfRule type="cellIs" priority="265" operator="equal" dxfId="9" stopIfTrue="1">
      <formula>"GS"</formula>
    </cfRule>
  </conditionalFormatting>
  <conditionalFormatting sqref="M53">
    <cfRule type="containsText" priority="124" operator="containsText" dxfId="74" text="G">
      <formula>NOT(ISERROR(SEARCH("G",M53)))</formula>
    </cfRule>
    <cfRule type="cellIs" priority="125" operator="equal" dxfId="11">
      <formula>"SEC"</formula>
    </cfRule>
    <cfRule type="cellIs" priority="126" operator="equal" dxfId="9" stopIfTrue="1">
      <formula>"SG"</formula>
    </cfRule>
    <cfRule type="cellIs" priority="127" operator="equal" dxfId="9" stopIfTrue="1">
      <formula>"GS"</formula>
    </cfRule>
  </conditionalFormatting>
  <conditionalFormatting sqref="M22:N22">
    <cfRule type="containsText" priority="678" operator="containsText" dxfId="74" text="G">
      <formula>NOT(ISERROR(SEARCH("G",M22)))</formula>
    </cfRule>
    <cfRule type="cellIs" priority="679" operator="equal" dxfId="11">
      <formula>"SEC"</formula>
    </cfRule>
    <cfRule type="cellIs" priority="680" operator="equal" dxfId="9" stopIfTrue="1">
      <formula>"SG"</formula>
    </cfRule>
    <cfRule type="cellIs" priority="681" operator="equal" dxfId="9" stopIfTrue="1">
      <formula>"GS"</formula>
    </cfRule>
  </conditionalFormatting>
  <conditionalFormatting sqref="M50:N50">
    <cfRule type="containsText" priority="158" operator="containsText" dxfId="74" text="G">
      <formula>NOT(ISERROR(SEARCH("G",M50)))</formula>
    </cfRule>
    <cfRule type="cellIs" priority="159" operator="equal" dxfId="11">
      <formula>"SEC"</formula>
    </cfRule>
    <cfRule type="cellIs" priority="160" operator="equal" dxfId="9" stopIfTrue="1">
      <formula>"SG"</formula>
    </cfRule>
    <cfRule type="cellIs" priority="161" operator="equal" dxfId="9" stopIfTrue="1">
      <formula>"GS"</formula>
    </cfRule>
  </conditionalFormatting>
  <conditionalFormatting sqref="N5">
    <cfRule type="cellIs" priority="764" operator="equal" dxfId="11">
      <formula>"SEC"</formula>
    </cfRule>
  </conditionalFormatting>
  <conditionalFormatting sqref="N36">
    <cfRule type="containsText" priority="426" operator="containsText" dxfId="74" text="G">
      <formula>NOT(ISERROR(SEARCH("G",N36)))</formula>
    </cfRule>
    <cfRule type="cellIs" priority="427" operator="equal" dxfId="11">
      <formula>"SEC"</formula>
    </cfRule>
    <cfRule type="cellIs" priority="428" operator="equal" dxfId="9" stopIfTrue="1">
      <formula>"SG"</formula>
    </cfRule>
    <cfRule type="cellIs" priority="429" operator="equal" dxfId="9" stopIfTrue="1">
      <formula>"GS"</formula>
    </cfRule>
  </conditionalFormatting>
  <conditionalFormatting sqref="N38">
    <cfRule type="containsText" priority="390" operator="containsText" dxfId="74" text="G">
      <formula>NOT(ISERROR(SEARCH("G",N38)))</formula>
    </cfRule>
    <cfRule type="cellIs" priority="391" operator="equal" dxfId="11">
      <formula>"SEC"</formula>
    </cfRule>
    <cfRule type="cellIs" priority="392" operator="equal" dxfId="9" stopIfTrue="1">
      <formula>"SG"</formula>
    </cfRule>
    <cfRule type="cellIs" priority="393" operator="equal" dxfId="9" stopIfTrue="1">
      <formula>"GS"</formula>
    </cfRule>
  </conditionalFormatting>
  <conditionalFormatting sqref="N44">
    <cfRule type="containsText" priority="278" operator="containsText" dxfId="74" text="G">
      <formula>NOT(ISERROR(SEARCH("G",N44)))</formula>
    </cfRule>
    <cfRule type="cellIs" priority="279" operator="equal" dxfId="11">
      <formula>"SEC"</formula>
    </cfRule>
    <cfRule type="cellIs" priority="280" operator="equal" dxfId="9" stopIfTrue="1">
      <formula>"SG"</formula>
    </cfRule>
    <cfRule type="cellIs" priority="281" operator="equal" dxfId="9" stopIfTrue="1">
      <formula>"GS"</formula>
    </cfRule>
  </conditionalFormatting>
  <conditionalFormatting sqref="N47">
    <cfRule type="containsText" priority="246" operator="containsText" dxfId="74" text="G">
      <formula>NOT(ISERROR(SEARCH("G",N47)))</formula>
    </cfRule>
    <cfRule type="cellIs" priority="247" operator="equal" dxfId="11">
      <formula>"SEC"</formula>
    </cfRule>
    <cfRule type="cellIs" priority="248" operator="equal" dxfId="9" stopIfTrue="1">
      <formula>"SG"</formula>
    </cfRule>
    <cfRule type="cellIs" priority="249" operator="equal" dxfId="9" stopIfTrue="1">
      <formula>"GS"</formula>
    </cfRule>
  </conditionalFormatting>
  <conditionalFormatting sqref="N49">
    <cfRule type="containsText" priority="194" operator="containsText" dxfId="74" text="G">
      <formula>NOT(ISERROR(SEARCH("G",N49)))</formula>
    </cfRule>
    <cfRule type="cellIs" priority="195" operator="equal" dxfId="11">
      <formula>"SEC"</formula>
    </cfRule>
    <cfRule type="cellIs" priority="196" operator="equal" dxfId="9" stopIfTrue="1">
      <formula>"SG"</formula>
    </cfRule>
    <cfRule type="cellIs" priority="197" operator="equal" dxfId="9" stopIfTrue="1">
      <formula>"GS"</formula>
    </cfRule>
  </conditionalFormatting>
  <conditionalFormatting sqref="O9">
    <cfRule type="cellIs" priority="962" operator="equal" dxfId="9" stopIfTrue="1">
      <formula>"SG"</formula>
    </cfRule>
    <cfRule type="cellIs" priority="963" operator="equal" dxfId="9" stopIfTrue="1">
      <formula>"GS"</formula>
    </cfRule>
  </conditionalFormatting>
  <conditionalFormatting sqref="O11">
    <cfRule type="cellIs" priority="741" operator="equal" dxfId="11">
      <formula>"SEC"</formula>
    </cfRule>
    <cfRule type="cellIs" priority="742" operator="equal" dxfId="9" stopIfTrue="1">
      <formula>"SG"</formula>
    </cfRule>
    <cfRule type="cellIs" priority="743" operator="equal" dxfId="9" stopIfTrue="1">
      <formula>"GS"</formula>
    </cfRule>
  </conditionalFormatting>
  <conditionalFormatting sqref="O21">
    <cfRule type="cellIs" priority="695" operator="equal" dxfId="11">
      <formula>"SEC"</formula>
    </cfRule>
    <cfRule type="cellIs" priority="696" operator="equal" dxfId="9" stopIfTrue="1">
      <formula>"SG"</formula>
    </cfRule>
    <cfRule type="cellIs" priority="697" operator="equal" dxfId="9" stopIfTrue="1">
      <formula>"GS"</formula>
    </cfRule>
  </conditionalFormatting>
  <conditionalFormatting sqref="O23:O24">
    <cfRule type="containsText" priority="642" operator="containsText" dxfId="74" text="G">
      <formula>NOT(ISERROR(SEARCH("G",O23)))</formula>
    </cfRule>
    <cfRule type="cellIs" priority="643" operator="equal" dxfId="11">
      <formula>"SEC"</formula>
    </cfRule>
    <cfRule type="cellIs" priority="644" operator="equal" dxfId="9" stopIfTrue="1">
      <formula>"SG"</formula>
    </cfRule>
    <cfRule type="cellIs" priority="645" operator="equal" dxfId="9" stopIfTrue="1">
      <formula>"GS"</formula>
    </cfRule>
  </conditionalFormatting>
  <conditionalFormatting sqref="O39">
    <cfRule type="containsText" priority="370" operator="containsText" dxfId="74" text="G">
      <formula>NOT(ISERROR(SEARCH("G",O39)))</formula>
    </cfRule>
    <cfRule type="cellIs" priority="371" operator="equal" dxfId="11">
      <formula>"SEC"</formula>
    </cfRule>
    <cfRule type="cellIs" priority="372" operator="equal" dxfId="9" stopIfTrue="1">
      <formula>"SG"</formula>
    </cfRule>
    <cfRule type="cellIs" priority="373" operator="equal" dxfId="9" stopIfTrue="1">
      <formula>"GS"</formula>
    </cfRule>
  </conditionalFormatting>
  <conditionalFormatting sqref="O55">
    <cfRule type="containsText" priority="92" operator="containsText" dxfId="74" text="G">
      <formula>NOT(ISERROR(SEARCH("G",O55)))</formula>
    </cfRule>
    <cfRule type="cellIs" priority="93" operator="equal" dxfId="11">
      <formula>"SEC"</formula>
    </cfRule>
    <cfRule type="cellIs" priority="94" operator="equal" dxfId="9" stopIfTrue="1">
      <formula>"SG"</formula>
    </cfRule>
    <cfRule type="cellIs" priority="95" operator="equal" dxfId="9" stopIfTrue="1">
      <formula>"GS"</formula>
    </cfRule>
  </conditionalFormatting>
  <conditionalFormatting sqref="O57:O58">
    <cfRule type="containsText" priority="36" operator="containsText" dxfId="74" text="G">
      <formula>NOT(ISERROR(SEARCH("G",O57)))</formula>
    </cfRule>
    <cfRule type="cellIs" priority="37" operator="equal" dxfId="11">
      <formula>"SEC"</formula>
    </cfRule>
    <cfRule type="cellIs" priority="38" operator="equal" dxfId="9" stopIfTrue="1">
      <formula>"SG"</formula>
    </cfRule>
    <cfRule type="cellIs" priority="39" operator="equal" dxfId="9" stopIfTrue="1">
      <formula>"GS"</formula>
    </cfRule>
  </conditionalFormatting>
  <conditionalFormatting sqref="P8">
    <cfRule type="cellIs" priority="754" operator="equal" dxfId="11">
      <formula>"SEC"</formula>
    </cfRule>
  </conditionalFormatting>
  <conditionalFormatting sqref="P10:P11">
    <cfRule type="cellIs" priority="747" operator="equal" dxfId="11">
      <formula>"SEC"</formula>
    </cfRule>
  </conditionalFormatting>
  <conditionalFormatting sqref="P20:P21">
    <cfRule type="cellIs" priority="701" operator="equal" dxfId="11">
      <formula>"SEC"</formula>
    </cfRule>
  </conditionalFormatting>
  <conditionalFormatting sqref="P28">
    <cfRule type="containsText" priority="566" operator="containsText" dxfId="74" text="G">
      <formula>NOT(ISERROR(SEARCH("G",P28)))</formula>
    </cfRule>
    <cfRule type="cellIs" priority="567" operator="equal" dxfId="11">
      <formula>"SEC"</formula>
    </cfRule>
    <cfRule type="cellIs" priority="568" operator="equal" dxfId="9" stopIfTrue="1">
      <formula>"SG"</formula>
    </cfRule>
    <cfRule type="cellIs" priority="569" operator="equal" dxfId="9" stopIfTrue="1">
      <formula>"GS"</formula>
    </cfRule>
  </conditionalFormatting>
  <conditionalFormatting sqref="P43">
    <cfRule type="containsText" priority="294" operator="containsText" dxfId="74" text="G">
      <formula>NOT(ISERROR(SEARCH("G",P43)))</formula>
    </cfRule>
    <cfRule type="cellIs" priority="295" operator="equal" dxfId="11">
      <formula>"SEC"</formula>
    </cfRule>
    <cfRule type="cellIs" priority="296" operator="equal" dxfId="9" stopIfTrue="1">
      <formula>"SG"</formula>
    </cfRule>
    <cfRule type="cellIs" priority="297" operator="equal" dxfId="9" stopIfTrue="1">
      <formula>"GS"</formula>
    </cfRule>
  </conditionalFormatting>
  <conditionalFormatting sqref="P42:Q42">
    <cfRule type="containsText" priority="310" operator="containsText" dxfId="74" text="G">
      <formula>NOT(ISERROR(SEARCH("G",P42)))</formula>
    </cfRule>
    <cfRule type="cellIs" priority="311" operator="equal" dxfId="11">
      <formula>"SEC"</formula>
    </cfRule>
    <cfRule type="cellIs" priority="312" operator="equal" dxfId="9" stopIfTrue="1">
      <formula>"SG"</formula>
    </cfRule>
    <cfRule type="cellIs" priority="313" operator="equal" dxfId="9" stopIfTrue="1">
      <formula>"GS"</formula>
    </cfRule>
  </conditionalFormatting>
  <conditionalFormatting sqref="P54:Q54">
    <cfRule type="containsText" priority="104" operator="containsText" dxfId="74" text="G">
      <formula>NOT(ISERROR(SEARCH("G",P54)))</formula>
    </cfRule>
    <cfRule type="cellIs" priority="105" operator="equal" dxfId="11">
      <formula>"SEC"</formula>
    </cfRule>
    <cfRule type="cellIs" priority="106" operator="equal" dxfId="9" stopIfTrue="1">
      <formula>"SG"</formula>
    </cfRule>
    <cfRule type="cellIs" priority="107" operator="equal" dxfId="9" stopIfTrue="1">
      <formula>"GS"</formula>
    </cfRule>
  </conditionalFormatting>
  <conditionalFormatting sqref="Q31">
    <cfRule type="containsText" priority="514" operator="containsText" dxfId="74" text="G">
      <formula>NOT(ISERROR(SEARCH("G",Q31)))</formula>
    </cfRule>
    <cfRule type="cellIs" priority="515" operator="equal" dxfId="11">
      <formula>"SEC"</formula>
    </cfRule>
    <cfRule type="cellIs" priority="516" operator="equal" dxfId="9" stopIfTrue="1">
      <formula>"SG"</formula>
    </cfRule>
    <cfRule type="cellIs" priority="517" operator="equal" dxfId="9" stopIfTrue="1">
      <formula>"GS"</formula>
    </cfRule>
  </conditionalFormatting>
  <conditionalFormatting sqref="Q40">
    <cfRule type="containsText" priority="350" operator="containsText" dxfId="74" text="G">
      <formula>NOT(ISERROR(SEARCH("G",Q40)))</formula>
    </cfRule>
    <cfRule type="cellIs" priority="351" operator="equal" dxfId="11">
      <formula>"SEC"</formula>
    </cfRule>
    <cfRule type="cellIs" priority="352" operator="equal" dxfId="9" stopIfTrue="1">
      <formula>"SG"</formula>
    </cfRule>
    <cfRule type="cellIs" priority="353" operator="equal" dxfId="9" stopIfTrue="1">
      <formula>"GS"</formula>
    </cfRule>
  </conditionalFormatting>
  <conditionalFormatting sqref="Q46">
    <cfRule type="containsText" priority="174" operator="containsText" dxfId="74" text="G">
      <formula>NOT(ISERROR(SEARCH("G",Q46)))</formula>
    </cfRule>
    <cfRule type="cellIs" priority="175" operator="equal" dxfId="11">
      <formula>"SEC"</formula>
    </cfRule>
    <cfRule type="cellIs" priority="176" operator="equal" dxfId="9" stopIfTrue="1">
      <formula>"SG"</formula>
    </cfRule>
    <cfRule type="cellIs" priority="177" operator="equal" dxfId="9" stopIfTrue="1">
      <formula>"GS"</formula>
    </cfRule>
  </conditionalFormatting>
  <conditionalFormatting sqref="Q26:R26">
    <cfRule type="containsText" priority="598" operator="containsText" dxfId="74" text="G">
      <formula>NOT(ISERROR(SEARCH("G",Q26)))</formula>
    </cfRule>
    <cfRule type="cellIs" priority="599" operator="equal" dxfId="11">
      <formula>"SEC"</formula>
    </cfRule>
    <cfRule type="cellIs" priority="600" operator="equal" dxfId="9" stopIfTrue="1">
      <formula>"SG"</formula>
    </cfRule>
    <cfRule type="cellIs" priority="601" operator="equal" dxfId="9" stopIfTrue="1">
      <formula>"GS"</formula>
    </cfRule>
  </conditionalFormatting>
  <conditionalFormatting sqref="R25">
    <cfRule type="containsText" priority="618" operator="containsText" dxfId="74" text="G">
      <formula>NOT(ISERROR(SEARCH("G",R25)))</formula>
    </cfRule>
    <cfRule type="cellIs" priority="619" operator="equal" dxfId="11">
      <formula>"SEC"</formula>
    </cfRule>
    <cfRule type="cellIs" priority="620" operator="equal" dxfId="9" stopIfTrue="1">
      <formula>"SG"</formula>
    </cfRule>
    <cfRule type="cellIs" priority="621" operator="equal" dxfId="9" stopIfTrue="1">
      <formula>"GS"</formula>
    </cfRule>
  </conditionalFormatting>
  <conditionalFormatting sqref="R29">
    <cfRule type="containsText" priority="546" operator="containsText" dxfId="74" text="G">
      <formula>NOT(ISERROR(SEARCH("G",R29)))</formula>
    </cfRule>
    <cfRule type="cellIs" priority="547" operator="equal" dxfId="11">
      <formula>"SEC"</formula>
    </cfRule>
    <cfRule type="cellIs" priority="548" operator="equal" dxfId="9" stopIfTrue="1">
      <formula>"SG"</formula>
    </cfRule>
    <cfRule type="cellIs" priority="549" operator="equal" dxfId="9" stopIfTrue="1">
      <formula>"GS"</formula>
    </cfRule>
  </conditionalFormatting>
  <conditionalFormatting sqref="R34">
    <cfRule type="containsText" priority="462" operator="containsText" dxfId="74" text="G">
      <formula>NOT(ISERROR(SEARCH("G",R34)))</formula>
    </cfRule>
    <cfRule type="cellIs" priority="463" operator="equal" dxfId="11">
      <formula>"SEC"</formula>
    </cfRule>
    <cfRule type="cellIs" priority="464" operator="equal" dxfId="9" stopIfTrue="1">
      <formula>"SG"</formula>
    </cfRule>
    <cfRule type="cellIs" priority="465" operator="equal" dxfId="9" stopIfTrue="1">
      <formula>"GS"</formula>
    </cfRule>
  </conditionalFormatting>
  <conditionalFormatting sqref="R37">
    <cfRule type="containsText" priority="406" operator="containsText" dxfId="74" text="G">
      <formula>NOT(ISERROR(SEARCH("G",R37)))</formula>
    </cfRule>
    <cfRule type="cellIs" priority="407" operator="equal" dxfId="11">
      <formula>"SEC"</formula>
    </cfRule>
    <cfRule type="cellIs" priority="408" operator="equal" dxfId="9" stopIfTrue="1">
      <formula>"SG"</formula>
    </cfRule>
    <cfRule type="cellIs" priority="409" operator="equal" dxfId="9" stopIfTrue="1">
      <formula>"GS"</formula>
    </cfRule>
  </conditionalFormatting>
  <conditionalFormatting sqref="R48">
    <cfRule type="containsText" priority="206" operator="containsText" dxfId="74" text="G">
      <formula>NOT(ISERROR(SEARCH("G",R48)))</formula>
    </cfRule>
    <cfRule type="cellIs" priority="207" operator="equal" dxfId="11">
      <formula>"SEC"</formula>
    </cfRule>
    <cfRule type="cellIs" priority="208" operator="equal" dxfId="9" stopIfTrue="1">
      <formula>"SG"</formula>
    </cfRule>
    <cfRule type="cellIs" priority="209" operator="equal" dxfId="9" stopIfTrue="1">
      <formula>"GS"</formula>
    </cfRule>
  </conditionalFormatting>
  <conditionalFormatting sqref="R56">
    <cfRule type="containsText" priority="72" operator="containsText" dxfId="74" text="G">
      <formula>NOT(ISERROR(SEARCH("G",R56)))</formula>
    </cfRule>
    <cfRule type="cellIs" priority="73" operator="equal" dxfId="11">
      <formula>"SEC"</formula>
    </cfRule>
    <cfRule type="cellIs" priority="74" operator="equal" dxfId="9" stopIfTrue="1">
      <formula>"SG"</formula>
    </cfRule>
    <cfRule type="cellIs" priority="75" operator="equal" dxfId="9" stopIfTrue="1">
      <formula>"GS"</formula>
    </cfRule>
  </conditionalFormatting>
  <conditionalFormatting sqref="S24">
    <cfRule type="containsText" priority="638" operator="containsText" dxfId="74" text="G">
      <formula>NOT(ISERROR(SEARCH("G",S24)))</formula>
    </cfRule>
    <cfRule type="cellIs" priority="639" operator="equal" dxfId="11">
      <formula>"SEC"</formula>
    </cfRule>
    <cfRule type="cellIs" priority="640" operator="equal" dxfId="9" stopIfTrue="1">
      <formula>"SG"</formula>
    </cfRule>
    <cfRule type="cellIs" priority="641" operator="equal" dxfId="9" stopIfTrue="1">
      <formula>"GS"</formula>
    </cfRule>
  </conditionalFormatting>
  <conditionalFormatting sqref="S30">
    <cfRule type="containsText" priority="526" operator="containsText" dxfId="74" text="G">
      <formula>NOT(ISERROR(SEARCH("G",S30)))</formula>
    </cfRule>
    <cfRule type="cellIs" priority="527" operator="equal" dxfId="11">
      <formula>"SEC"</formula>
    </cfRule>
    <cfRule type="cellIs" priority="528" operator="equal" dxfId="9" stopIfTrue="1">
      <formula>"SG"</formula>
    </cfRule>
    <cfRule type="cellIs" priority="529" operator="equal" dxfId="9" stopIfTrue="1">
      <formula>"GS"</formula>
    </cfRule>
  </conditionalFormatting>
  <conditionalFormatting sqref="S32">
    <cfRule type="containsText" priority="494" operator="containsText" dxfId="74" text="G">
      <formula>NOT(ISERROR(SEARCH("G",S32)))</formula>
    </cfRule>
    <cfRule type="cellIs" priority="495" operator="equal" dxfId="11">
      <formula>"SEC"</formula>
    </cfRule>
    <cfRule type="cellIs" priority="496" operator="equal" dxfId="9" stopIfTrue="1">
      <formula>"SG"</formula>
    </cfRule>
    <cfRule type="cellIs" priority="497" operator="equal" dxfId="9" stopIfTrue="1">
      <formula>"GS"</formula>
    </cfRule>
  </conditionalFormatting>
  <conditionalFormatting sqref="S45">
    <cfRule type="containsText" priority="258" operator="containsText" dxfId="74" text="G">
      <formula>NOT(ISERROR(SEARCH("G",S45)))</formula>
    </cfRule>
    <cfRule type="cellIs" priority="259" operator="equal" dxfId="11">
      <formula>"SEC"</formula>
    </cfRule>
    <cfRule type="cellIs" priority="260" operator="equal" dxfId="9" stopIfTrue="1">
      <formula>"SG"</formula>
    </cfRule>
    <cfRule type="cellIs" priority="261" operator="equal" dxfId="9" stopIfTrue="1">
      <formula>"GS"</formula>
    </cfRule>
  </conditionalFormatting>
  <conditionalFormatting sqref="S27:T27">
    <cfRule type="containsText" priority="582" operator="containsText" dxfId="74" text="G">
      <formula>NOT(ISERROR(SEARCH("G",S27)))</formula>
    </cfRule>
    <cfRule type="cellIs" priority="583" operator="equal" dxfId="11">
      <formula>"SEC"</formula>
    </cfRule>
    <cfRule type="cellIs" priority="584" operator="equal" dxfId="9" stopIfTrue="1">
      <formula>"SG"</formula>
    </cfRule>
    <cfRule type="cellIs" priority="585" operator="equal" dxfId="9" stopIfTrue="1">
      <formula>"GS"</formula>
    </cfRule>
  </conditionalFormatting>
  <conditionalFormatting sqref="S53:T53">
    <cfRule type="containsText" priority="120" operator="containsText" dxfId="74" text="G">
      <formula>NOT(ISERROR(SEARCH("G",S53)))</formula>
    </cfRule>
    <cfRule type="cellIs" priority="121" operator="equal" dxfId="11">
      <formula>"SEC"</formula>
    </cfRule>
    <cfRule type="cellIs" priority="122" operator="equal" dxfId="9" stopIfTrue="1">
      <formula>"SG"</formula>
    </cfRule>
    <cfRule type="cellIs" priority="123" operator="equal" dxfId="9" stopIfTrue="1">
      <formula>"GS"</formula>
    </cfRule>
  </conditionalFormatting>
  <conditionalFormatting sqref="T36">
    <cfRule type="containsText" priority="422" operator="containsText" dxfId="74" text="G">
      <formula>NOT(ISERROR(SEARCH("G",T36)))</formula>
    </cfRule>
    <cfRule type="cellIs" priority="423" operator="equal" dxfId="11">
      <formula>"SEC"</formula>
    </cfRule>
    <cfRule type="cellIs" priority="424" operator="equal" dxfId="9" stopIfTrue="1">
      <formula>"SG"</formula>
    </cfRule>
    <cfRule type="cellIs" priority="425" operator="equal" dxfId="9" stopIfTrue="1">
      <formula>"GS"</formula>
    </cfRule>
  </conditionalFormatting>
  <conditionalFormatting sqref="T41">
    <cfRule type="containsText" priority="330" operator="containsText" dxfId="74" text="G">
      <formula>NOT(ISERROR(SEARCH("G",T41)))</formula>
    </cfRule>
    <cfRule type="cellIs" priority="331" operator="equal" dxfId="11">
      <formula>"SEC"</formula>
    </cfRule>
    <cfRule type="cellIs" priority="332" operator="equal" dxfId="9" stopIfTrue="1">
      <formula>"SG"</formula>
    </cfRule>
    <cfRule type="cellIs" priority="333" operator="equal" dxfId="9" stopIfTrue="1">
      <formula>"GS"</formula>
    </cfRule>
  </conditionalFormatting>
  <conditionalFormatting sqref="T49">
    <cfRule type="containsText" priority="190" operator="containsText" dxfId="74" text="G">
      <formula>NOT(ISERROR(SEARCH("G",T49)))</formula>
    </cfRule>
    <cfRule type="cellIs" priority="191" operator="equal" dxfId="11">
      <formula>"SEC"</formula>
    </cfRule>
    <cfRule type="cellIs" priority="192" operator="equal" dxfId="9" stopIfTrue="1">
      <formula>"SG"</formula>
    </cfRule>
    <cfRule type="cellIs" priority="193" operator="equal" dxfId="9" stopIfTrue="1">
      <formula>"GS"</formula>
    </cfRule>
  </conditionalFormatting>
  <conditionalFormatting sqref="T51:U51">
    <cfRule type="containsText" priority="138" operator="containsText" dxfId="74" text="G">
      <formula>NOT(ISERROR(SEARCH("G",T51)))</formula>
    </cfRule>
    <cfRule type="cellIs" priority="139" operator="equal" dxfId="11">
      <formula>"SEC"</formula>
    </cfRule>
    <cfRule type="cellIs" priority="140" operator="equal" dxfId="9" stopIfTrue="1">
      <formula>"SG"</formula>
    </cfRule>
    <cfRule type="cellIs" priority="141" operator="equal" dxfId="9" stopIfTrue="1">
      <formula>"GS"</formula>
    </cfRule>
  </conditionalFormatting>
  <conditionalFormatting sqref="U11">
    <cfRule type="cellIs" priority="738" operator="equal" dxfId="11">
      <formula>"SEC"</formula>
    </cfRule>
    <cfRule type="cellIs" priority="739" operator="equal" dxfId="9" stopIfTrue="1">
      <formula>"SG"</formula>
    </cfRule>
    <cfRule type="cellIs" priority="740" operator="equal" dxfId="9" stopIfTrue="1">
      <formula>"GS"</formula>
    </cfRule>
  </conditionalFormatting>
  <conditionalFormatting sqref="U21">
    <cfRule type="cellIs" priority="692" operator="equal" dxfId="11">
      <formula>"SEC"</formula>
    </cfRule>
    <cfRule type="cellIs" priority="693" operator="equal" dxfId="9" stopIfTrue="1">
      <formula>"SG"</formula>
    </cfRule>
    <cfRule type="cellIs" priority="694" operator="equal" dxfId="9" stopIfTrue="1">
      <formula>"GS"</formula>
    </cfRule>
  </conditionalFormatting>
  <conditionalFormatting sqref="U35">
    <cfRule type="containsText" priority="442" operator="containsText" dxfId="74" text="G">
      <formula>NOT(ISERROR(SEARCH("G",U35)))</formula>
    </cfRule>
    <cfRule type="cellIs" priority="443" operator="equal" dxfId="11">
      <formula>"SEC"</formula>
    </cfRule>
    <cfRule type="cellIs" priority="444" operator="equal" dxfId="9" stopIfTrue="1">
      <formula>"SG"</formula>
    </cfRule>
    <cfRule type="cellIs" priority="445" operator="equal" dxfId="9" stopIfTrue="1">
      <formula>"GS"</formula>
    </cfRule>
  </conditionalFormatting>
  <conditionalFormatting sqref="U38">
    <cfRule type="containsText" priority="386" operator="containsText" dxfId="74" text="G">
      <formula>NOT(ISERROR(SEARCH("G",U38)))</formula>
    </cfRule>
    <cfRule type="cellIs" priority="387" operator="equal" dxfId="11">
      <formula>"SEC"</formula>
    </cfRule>
    <cfRule type="cellIs" priority="388" operator="equal" dxfId="9" stopIfTrue="1">
      <formula>"SG"</formula>
    </cfRule>
    <cfRule type="cellIs" priority="389" operator="equal" dxfId="9" stopIfTrue="1">
      <formula>"GS"</formula>
    </cfRule>
  </conditionalFormatting>
  <conditionalFormatting sqref="U44">
    <cfRule type="containsText" priority="274" operator="containsText" dxfId="74" text="G">
      <formula>NOT(ISERROR(SEARCH("G",U44)))</formula>
    </cfRule>
    <cfRule type="cellIs" priority="275" operator="equal" dxfId="11">
      <formula>"SEC"</formula>
    </cfRule>
    <cfRule type="cellIs" priority="276" operator="equal" dxfId="9" stopIfTrue="1">
      <formula>"SG"</formula>
    </cfRule>
    <cfRule type="cellIs" priority="277" operator="equal" dxfId="9" stopIfTrue="1">
      <formula>"GS"</formula>
    </cfRule>
  </conditionalFormatting>
  <conditionalFormatting sqref="U58">
    <cfRule type="containsText" priority="32" operator="containsText" dxfId="74" text="G">
      <formula>NOT(ISERROR(SEARCH("G",U58)))</formula>
    </cfRule>
    <cfRule type="cellIs" priority="33" operator="equal" dxfId="11">
      <formula>"SEC"</formula>
    </cfRule>
    <cfRule type="cellIs" priority="34" operator="equal" dxfId="9" stopIfTrue="1">
      <formula>"SG"</formula>
    </cfRule>
    <cfRule type="cellIs" priority="35" operator="equal" dxfId="9" stopIfTrue="1">
      <formula>"GS"</formula>
    </cfRule>
  </conditionalFormatting>
  <conditionalFormatting sqref="U55:V55">
    <cfRule type="containsText" priority="88" operator="containsText" dxfId="74" text="G">
      <formula>NOT(ISERROR(SEARCH("G",U55)))</formula>
    </cfRule>
    <cfRule type="cellIs" priority="89" operator="equal" dxfId="11">
      <formula>"SEC"</formula>
    </cfRule>
    <cfRule type="cellIs" priority="90" operator="equal" dxfId="9" stopIfTrue="1">
      <formula>"SG"</formula>
    </cfRule>
    <cfRule type="cellIs" priority="91" operator="equal" dxfId="9" stopIfTrue="1">
      <formula>"GS"</formula>
    </cfRule>
  </conditionalFormatting>
  <conditionalFormatting sqref="V22">
    <cfRule type="containsText" priority="674" operator="containsText" dxfId="74" text="G">
      <formula>NOT(ISERROR(SEARCH("G",V22)))</formula>
    </cfRule>
    <cfRule type="cellIs" priority="675" operator="equal" dxfId="11">
      <formula>"SEC"</formula>
    </cfRule>
    <cfRule type="cellIs" priority="676" operator="equal" dxfId="9" stopIfTrue="1">
      <formula>"SG"</formula>
    </cfRule>
    <cfRule type="cellIs" priority="677" operator="equal" dxfId="9" stopIfTrue="1">
      <formula>"GS"</formula>
    </cfRule>
  </conditionalFormatting>
  <conditionalFormatting sqref="V25">
    <cfRule type="containsText" priority="614" operator="containsText" dxfId="74" text="G">
      <formula>NOT(ISERROR(SEARCH("G",V25)))</formula>
    </cfRule>
    <cfRule type="cellIs" priority="615" operator="equal" dxfId="11">
      <formula>"SEC"</formula>
    </cfRule>
    <cfRule type="cellIs" priority="616" operator="equal" dxfId="9" stopIfTrue="1">
      <formula>"SG"</formula>
    </cfRule>
    <cfRule type="cellIs" priority="617" operator="equal" dxfId="9" stopIfTrue="1">
      <formula>"GS"</formula>
    </cfRule>
  </conditionalFormatting>
  <conditionalFormatting sqref="V28">
    <cfRule type="containsText" priority="562" operator="containsText" dxfId="74" text="G">
      <formula>NOT(ISERROR(SEARCH("G",V28)))</formula>
    </cfRule>
    <cfRule type="cellIs" priority="563" operator="equal" dxfId="11">
      <formula>"SEC"</formula>
    </cfRule>
    <cfRule type="cellIs" priority="564" operator="equal" dxfId="9" stopIfTrue="1">
      <formula>"SG"</formula>
    </cfRule>
    <cfRule type="cellIs" priority="565" operator="equal" dxfId="9" stopIfTrue="1">
      <formula>"GS"</formula>
    </cfRule>
  </conditionalFormatting>
  <conditionalFormatting sqref="V46">
    <cfRule type="containsText" priority="170" operator="containsText" dxfId="74" text="G">
      <formula>NOT(ISERROR(SEARCH("G",V46)))</formula>
    </cfRule>
    <cfRule type="cellIs" priority="171" operator="equal" dxfId="11">
      <formula>"SEC"</formula>
    </cfRule>
    <cfRule type="cellIs" priority="172" operator="equal" dxfId="9" stopIfTrue="1">
      <formula>"SG"</formula>
    </cfRule>
    <cfRule type="cellIs" priority="173" operator="equal" dxfId="9" stopIfTrue="1">
      <formula>"GS"</formula>
    </cfRule>
  </conditionalFormatting>
  <conditionalFormatting sqref="V57">
    <cfRule type="containsText" priority="48" operator="containsText" dxfId="74" text="G">
      <formula>NOT(ISERROR(SEARCH("G",V57)))</formula>
    </cfRule>
    <cfRule type="cellIs" priority="49" operator="equal" dxfId="11">
      <formula>"SEC"</formula>
    </cfRule>
    <cfRule type="cellIs" priority="50" operator="equal" dxfId="9" stopIfTrue="1">
      <formula>"SG"</formula>
    </cfRule>
    <cfRule type="cellIs" priority="51" operator="equal" dxfId="9" stopIfTrue="1">
      <formula>"GS"</formula>
    </cfRule>
  </conditionalFormatting>
  <conditionalFormatting sqref="V33:W33">
    <cfRule type="containsText" priority="474" operator="containsText" dxfId="74" text="G">
      <formula>NOT(ISERROR(SEARCH("G",V33)))</formula>
    </cfRule>
    <cfRule type="cellIs" priority="475" operator="equal" dxfId="11">
      <formula>"SEC"</formula>
    </cfRule>
    <cfRule type="cellIs" priority="476" operator="equal" dxfId="9" stopIfTrue="1">
      <formula>"SG"</formula>
    </cfRule>
    <cfRule type="cellIs" priority="477" operator="equal" dxfId="9" stopIfTrue="1">
      <formula>"GS"</formula>
    </cfRule>
  </conditionalFormatting>
  <conditionalFormatting sqref="W8">
    <cfRule type="cellIs" priority="753" operator="equal" dxfId="11">
      <formula>"SEC"</formula>
    </cfRule>
  </conditionalFormatting>
  <conditionalFormatting sqref="W10:W11">
    <cfRule type="cellIs" priority="746" operator="equal" dxfId="11">
      <formula>"SEC"</formula>
    </cfRule>
  </conditionalFormatting>
  <conditionalFormatting sqref="W18">
    <cfRule type="cellIs" priority="773" operator="equal" dxfId="792">
      <formula>"NC"</formula>
    </cfRule>
  </conditionalFormatting>
  <conditionalFormatting sqref="W20:W21">
    <cfRule type="cellIs" priority="700" operator="equal" dxfId="11">
      <formula>"SEC"</formula>
    </cfRule>
  </conditionalFormatting>
  <conditionalFormatting sqref="W29">
    <cfRule type="containsText" priority="542" operator="containsText" dxfId="74" text="G">
      <formula>NOT(ISERROR(SEARCH("G",W29)))</formula>
    </cfRule>
    <cfRule type="cellIs" priority="543" operator="equal" dxfId="11">
      <formula>"SEC"</formula>
    </cfRule>
    <cfRule type="cellIs" priority="544" operator="equal" dxfId="9" stopIfTrue="1">
      <formula>"SG"</formula>
    </cfRule>
    <cfRule type="cellIs" priority="545" operator="equal" dxfId="9" stopIfTrue="1">
      <formula>"GS"</formula>
    </cfRule>
  </conditionalFormatting>
  <conditionalFormatting sqref="W39">
    <cfRule type="containsText" priority="366" operator="containsText" dxfId="74" text="G">
      <formula>NOT(ISERROR(SEARCH("G",W39)))</formula>
    </cfRule>
    <cfRule type="cellIs" priority="367" operator="equal" dxfId="11">
      <formula>"SEC"</formula>
    </cfRule>
    <cfRule type="cellIs" priority="368" operator="equal" dxfId="9" stopIfTrue="1">
      <formula>"SG"</formula>
    </cfRule>
    <cfRule type="cellIs" priority="369" operator="equal" dxfId="9" stopIfTrue="1">
      <formula>"GS"</formula>
    </cfRule>
  </conditionalFormatting>
  <conditionalFormatting sqref="W42">
    <cfRule type="containsText" priority="306" operator="containsText" dxfId="74" text="G">
      <formula>NOT(ISERROR(SEARCH("G",W42)))</formula>
    </cfRule>
    <cfRule type="cellIs" priority="307" operator="equal" dxfId="11">
      <formula>"SEC"</formula>
    </cfRule>
    <cfRule type="cellIs" priority="308" operator="equal" dxfId="9" stopIfTrue="1">
      <formula>"SG"</formula>
    </cfRule>
    <cfRule type="cellIs" priority="309" operator="equal" dxfId="9" stopIfTrue="1">
      <formula>"GS"</formula>
    </cfRule>
  </conditionalFormatting>
  <conditionalFormatting sqref="W47">
    <cfRule type="containsText" priority="242" operator="containsText" dxfId="74" text="G">
      <formula>NOT(ISERROR(SEARCH("G",W47)))</formula>
    </cfRule>
    <cfRule type="cellIs" priority="243" operator="equal" dxfId="11">
      <formula>"SEC"</formula>
    </cfRule>
    <cfRule type="cellIs" priority="244" operator="equal" dxfId="9" stopIfTrue="1">
      <formula>"SG"</formula>
    </cfRule>
    <cfRule type="cellIs" priority="245" operator="equal" dxfId="9" stopIfTrue="1">
      <formula>"GS"</formula>
    </cfRule>
  </conditionalFormatting>
  <conditionalFormatting sqref="W50">
    <cfRule type="containsText" priority="154" operator="containsText" dxfId="74" text="G">
      <formula>NOT(ISERROR(SEARCH("G",W50)))</formula>
    </cfRule>
    <cfRule type="cellIs" priority="155" operator="equal" dxfId="11">
      <formula>"SEC"</formula>
    </cfRule>
    <cfRule type="cellIs" priority="156" operator="equal" dxfId="9" stopIfTrue="1">
      <formula>"SG"</formula>
    </cfRule>
    <cfRule type="cellIs" priority="157" operator="equal" dxfId="9" stopIfTrue="1">
      <formula>"GS"</formula>
    </cfRule>
  </conditionalFormatting>
  <conditionalFormatting sqref="X23">
    <cfRule type="containsText" priority="654" operator="containsText" dxfId="74" text="G">
      <formula>NOT(ISERROR(SEARCH("G",X23)))</formula>
    </cfRule>
    <cfRule type="cellIs" priority="655" operator="equal" dxfId="11">
      <formula>"SEC"</formula>
    </cfRule>
    <cfRule type="cellIs" priority="656" operator="equal" dxfId="9" stopIfTrue="1">
      <formula>"SG"</formula>
    </cfRule>
    <cfRule type="cellIs" priority="657" operator="equal" dxfId="9" stopIfTrue="1">
      <formula>"GS"</formula>
    </cfRule>
  </conditionalFormatting>
  <conditionalFormatting sqref="X31">
    <cfRule type="containsText" priority="510" operator="containsText" dxfId="74" text="G">
      <formula>NOT(ISERROR(SEARCH("G",X31)))</formula>
    </cfRule>
    <cfRule type="cellIs" priority="511" operator="equal" dxfId="11">
      <formula>"SEC"</formula>
    </cfRule>
    <cfRule type="cellIs" priority="512" operator="equal" dxfId="9" stopIfTrue="1">
      <formula>"SG"</formula>
    </cfRule>
    <cfRule type="cellIs" priority="513" operator="equal" dxfId="9" stopIfTrue="1">
      <formula>"GS"</formula>
    </cfRule>
  </conditionalFormatting>
  <conditionalFormatting sqref="X37">
    <cfRule type="containsText" priority="402" operator="containsText" dxfId="74" text="G">
      <formula>NOT(ISERROR(SEARCH("G",X37)))</formula>
    </cfRule>
    <cfRule type="cellIs" priority="403" operator="equal" dxfId="11">
      <formula>"SEC"</formula>
    </cfRule>
    <cfRule type="cellIs" priority="404" operator="equal" dxfId="9" stopIfTrue="1">
      <formula>"SG"</formula>
    </cfRule>
    <cfRule type="cellIs" priority="405" operator="equal" dxfId="9" stopIfTrue="1">
      <formula>"GS"</formula>
    </cfRule>
  </conditionalFormatting>
  <conditionalFormatting sqref="X40">
    <cfRule type="containsText" priority="346" operator="containsText" dxfId="74" text="G">
      <formula>NOT(ISERROR(SEARCH("G",X40)))</formula>
    </cfRule>
    <cfRule type="cellIs" priority="347" operator="equal" dxfId="11">
      <formula>"SEC"</formula>
    </cfRule>
    <cfRule type="cellIs" priority="348" operator="equal" dxfId="9" stopIfTrue="1">
      <formula>"SG"</formula>
    </cfRule>
    <cfRule type="cellIs" priority="349" operator="equal" dxfId="9" stopIfTrue="1">
      <formula>"GS"</formula>
    </cfRule>
  </conditionalFormatting>
  <conditionalFormatting sqref="X56">
    <cfRule type="containsText" priority="68" operator="containsText" dxfId="74" text="G">
      <formula>NOT(ISERROR(SEARCH("G",X56)))</formula>
    </cfRule>
    <cfRule type="cellIs" priority="69" operator="equal" dxfId="11">
      <formula>"SEC"</formula>
    </cfRule>
    <cfRule type="cellIs" priority="70" operator="equal" dxfId="9" stopIfTrue="1">
      <formula>"SG"</formula>
    </cfRule>
    <cfRule type="cellIs" priority="71" operator="equal" dxfId="9" stopIfTrue="1">
      <formula>"GS"</formula>
    </cfRule>
  </conditionalFormatting>
  <conditionalFormatting sqref="Y26">
    <cfRule type="containsText" priority="594" operator="containsText" dxfId="74" text="G">
      <formula>NOT(ISERROR(SEARCH("G",Y26)))</formula>
    </cfRule>
    <cfRule type="cellIs" priority="595" operator="equal" dxfId="11">
      <formula>"SEC"</formula>
    </cfRule>
    <cfRule type="cellIs" priority="596" operator="equal" dxfId="9" stopIfTrue="1">
      <formula>"SG"</formula>
    </cfRule>
    <cfRule type="cellIs" priority="597" operator="equal" dxfId="9" stopIfTrue="1">
      <formula>"GS"</formula>
    </cfRule>
  </conditionalFormatting>
  <conditionalFormatting sqref="Y34">
    <cfRule type="containsText" priority="458" operator="containsText" dxfId="74" text="G">
      <formula>NOT(ISERROR(SEARCH("G",Y34)))</formula>
    </cfRule>
    <cfRule type="cellIs" priority="459" operator="equal" dxfId="11">
      <formula>"SEC"</formula>
    </cfRule>
    <cfRule type="cellIs" priority="460" operator="equal" dxfId="9" stopIfTrue="1">
      <formula>"SG"</formula>
    </cfRule>
    <cfRule type="cellIs" priority="461" operator="equal" dxfId="9" stopIfTrue="1">
      <formula>"GS"</formula>
    </cfRule>
  </conditionalFormatting>
  <conditionalFormatting sqref="Y46">
    <cfRule type="containsText" priority="166" operator="containsText" dxfId="74" text="G">
      <formula>NOT(ISERROR(SEARCH("G",Y46)))</formula>
    </cfRule>
    <cfRule type="cellIs" priority="167" operator="equal" dxfId="11">
      <formula>"SEC"</formula>
    </cfRule>
    <cfRule type="cellIs" priority="168" operator="equal" dxfId="9" stopIfTrue="1">
      <formula>"SG"</formula>
    </cfRule>
    <cfRule type="cellIs" priority="169" operator="equal" dxfId="9" stopIfTrue="1">
      <formula>"GS"</formula>
    </cfRule>
  </conditionalFormatting>
  <conditionalFormatting sqref="Y48">
    <cfRule type="containsText" priority="202" operator="containsText" dxfId="74" text="G">
      <formula>NOT(ISERROR(SEARCH("G",Y48)))</formula>
    </cfRule>
    <cfRule type="cellIs" priority="203" operator="equal" dxfId="11">
      <formula>"SEC"</formula>
    </cfRule>
    <cfRule type="cellIs" priority="204" operator="equal" dxfId="9" stopIfTrue="1">
      <formula>"SG"</formula>
    </cfRule>
    <cfRule type="cellIs" priority="205" operator="equal" dxfId="9" stopIfTrue="1">
      <formula>"GS"</formula>
    </cfRule>
  </conditionalFormatting>
  <conditionalFormatting sqref="Y54">
    <cfRule type="containsText" priority="100" operator="containsText" dxfId="74" text="G">
      <formula>NOT(ISERROR(SEARCH("G",Y54)))</formula>
    </cfRule>
    <cfRule type="cellIs" priority="101" operator="equal" dxfId="11">
      <formula>"SEC"</formula>
    </cfRule>
    <cfRule type="cellIs" priority="102" operator="equal" dxfId="9" stopIfTrue="1">
      <formula>"SG"</formula>
    </cfRule>
    <cfRule type="cellIs" priority="103" operator="equal" dxfId="9" stopIfTrue="1">
      <formula>"GS"</formula>
    </cfRule>
  </conditionalFormatting>
  <conditionalFormatting sqref="Y49:Z49">
    <cfRule type="containsText" priority="186" operator="containsText" dxfId="74" text="G">
      <formula>NOT(ISERROR(SEARCH("G",Y49)))</formula>
    </cfRule>
    <cfRule type="cellIs" priority="187" operator="equal" dxfId="11">
      <formula>"SEC"</formula>
    </cfRule>
    <cfRule type="cellIs" priority="188" operator="equal" dxfId="9" stopIfTrue="1">
      <formula>"SG"</formula>
    </cfRule>
    <cfRule type="cellIs" priority="189" operator="equal" dxfId="9" stopIfTrue="1">
      <formula>"GS"</formula>
    </cfRule>
  </conditionalFormatting>
  <conditionalFormatting sqref="Z11">
    <cfRule type="cellIs" priority="735" operator="equal" dxfId="11">
      <formula>"SEC"</formula>
    </cfRule>
    <cfRule type="cellIs" priority="736" operator="equal" dxfId="9" stopIfTrue="1">
      <formula>"SG"</formula>
    </cfRule>
    <cfRule type="cellIs" priority="737" operator="equal" dxfId="9" stopIfTrue="1">
      <formula>"GS"</formula>
    </cfRule>
  </conditionalFormatting>
  <conditionalFormatting sqref="Z21">
    <cfRule type="cellIs" priority="689" operator="equal" dxfId="11">
      <formula>"SEC"</formula>
    </cfRule>
    <cfRule type="cellIs" priority="690" operator="equal" dxfId="9" stopIfTrue="1">
      <formula>"SG"</formula>
    </cfRule>
    <cfRule type="cellIs" priority="691" operator="equal" dxfId="9" stopIfTrue="1">
      <formula>"GS"</formula>
    </cfRule>
  </conditionalFormatting>
  <conditionalFormatting sqref="Z24">
    <cfRule type="containsText" priority="634" operator="containsText" dxfId="74" text="G">
      <formula>NOT(ISERROR(SEARCH("G",Z24)))</formula>
    </cfRule>
    <cfRule type="cellIs" priority="635" operator="equal" dxfId="11">
      <formula>"SEC"</formula>
    </cfRule>
    <cfRule type="cellIs" priority="636" operator="equal" dxfId="9" stopIfTrue="1">
      <formula>"SG"</formula>
    </cfRule>
    <cfRule type="cellIs" priority="637" operator="equal" dxfId="9" stopIfTrue="1">
      <formula>"GS"</formula>
    </cfRule>
  </conditionalFormatting>
  <conditionalFormatting sqref="Z32">
    <cfRule type="containsText" priority="490" operator="containsText" dxfId="74" text="G">
      <formula>NOT(ISERROR(SEARCH("G",Z32)))</formula>
    </cfRule>
    <cfRule type="cellIs" priority="491" operator="equal" dxfId="11">
      <formula>"SEC"</formula>
    </cfRule>
    <cfRule type="cellIs" priority="492" operator="equal" dxfId="9" stopIfTrue="1">
      <formula>"SG"</formula>
    </cfRule>
    <cfRule type="cellIs" priority="493" operator="equal" dxfId="9" stopIfTrue="1">
      <formula>"GS"</formula>
    </cfRule>
  </conditionalFormatting>
  <conditionalFormatting sqref="Z43">
    <cfRule type="containsText" priority="290" operator="containsText" dxfId="74" text="G">
      <formula>NOT(ISERROR(SEARCH("G",Z43)))</formula>
    </cfRule>
    <cfRule type="cellIs" priority="291" operator="equal" dxfId="11">
      <formula>"SEC"</formula>
    </cfRule>
    <cfRule type="cellIs" priority="292" operator="equal" dxfId="9" stopIfTrue="1">
      <formula>"SG"</formula>
    </cfRule>
    <cfRule type="cellIs" priority="293" operator="equal" dxfId="9" stopIfTrue="1">
      <formula>"GS"</formula>
    </cfRule>
  </conditionalFormatting>
  <conditionalFormatting sqref="Z45">
    <cfRule type="containsText" priority="254" operator="containsText" dxfId="74" text="G">
      <formula>NOT(ISERROR(SEARCH("G",Z45)))</formula>
    </cfRule>
    <cfRule type="cellIs" priority="255" operator="equal" dxfId="11">
      <formula>"SEC"</formula>
    </cfRule>
    <cfRule type="cellIs" priority="256" operator="equal" dxfId="9" stopIfTrue="1">
      <formula>"SG"</formula>
    </cfRule>
    <cfRule type="cellIs" priority="257" operator="equal" dxfId="9" stopIfTrue="1">
      <formula>"GS"</formula>
    </cfRule>
  </conditionalFormatting>
  <conditionalFormatting sqref="Z58">
    <cfRule type="containsText" priority="28" operator="containsText" dxfId="74" text="G">
      <formula>NOT(ISERROR(SEARCH("G",Z58)))</formula>
    </cfRule>
    <cfRule type="cellIs" priority="29" operator="equal" dxfId="11">
      <formula>"SEC"</formula>
    </cfRule>
    <cfRule type="cellIs" priority="30" operator="equal" dxfId="9" stopIfTrue="1">
      <formula>"SG"</formula>
    </cfRule>
    <cfRule type="cellIs" priority="31" operator="equal" dxfId="9" stopIfTrue="1">
      <formula>"GS"</formula>
    </cfRule>
  </conditionalFormatting>
  <conditionalFormatting sqref="AA27:AA29">
    <cfRule type="containsText" priority="538" operator="containsText" dxfId="74" text="G">
      <formula>NOT(ISERROR(SEARCH("G",AA27)))</formula>
    </cfRule>
    <cfRule type="cellIs" priority="539" operator="equal" dxfId="11">
      <formula>"SEC"</formula>
    </cfRule>
    <cfRule type="cellIs" priority="540" operator="equal" dxfId="9" stopIfTrue="1">
      <formula>"SG"</formula>
    </cfRule>
    <cfRule type="cellIs" priority="541" operator="equal" dxfId="9" stopIfTrue="1">
      <formula>"GS"</formula>
    </cfRule>
  </conditionalFormatting>
  <conditionalFormatting sqref="AA35">
    <cfRule type="containsText" priority="438" operator="containsText" dxfId="74" text="G">
      <formula>NOT(ISERROR(SEARCH("G",AA35)))</formula>
    </cfRule>
    <cfRule type="cellIs" priority="439" operator="equal" dxfId="11">
      <formula>"SEC"</formula>
    </cfRule>
    <cfRule type="cellIs" priority="440" operator="equal" dxfId="9" stopIfTrue="1">
      <formula>"SG"</formula>
    </cfRule>
    <cfRule type="cellIs" priority="441" operator="equal" dxfId="9" stopIfTrue="1">
      <formula>"GS"</formula>
    </cfRule>
  </conditionalFormatting>
  <conditionalFormatting sqref="AA37">
    <cfRule type="containsText" priority="398" operator="containsText" dxfId="74" text="G">
      <formula>NOT(ISERROR(SEARCH("G",AA37)))</formula>
    </cfRule>
    <cfRule type="cellIs" priority="399" operator="equal" dxfId="11">
      <formula>"SEC"</formula>
    </cfRule>
    <cfRule type="cellIs" priority="400" operator="equal" dxfId="9" stopIfTrue="1">
      <formula>"SG"</formula>
    </cfRule>
    <cfRule type="cellIs" priority="401" operator="equal" dxfId="9" stopIfTrue="1">
      <formula>"GS"</formula>
    </cfRule>
  </conditionalFormatting>
  <conditionalFormatting sqref="AA41">
    <cfRule type="containsText" priority="326" operator="containsText" dxfId="74" text="G">
      <formula>NOT(ISERROR(SEARCH("G",AA41)))</formula>
    </cfRule>
    <cfRule type="cellIs" priority="327" operator="equal" dxfId="11">
      <formula>"SEC"</formula>
    </cfRule>
    <cfRule type="cellIs" priority="328" operator="equal" dxfId="9" stopIfTrue="1">
      <formula>"SG"</formula>
    </cfRule>
    <cfRule type="cellIs" priority="329" operator="equal" dxfId="9" stopIfTrue="1">
      <formula>"GS"</formula>
    </cfRule>
  </conditionalFormatting>
  <conditionalFormatting sqref="AA51">
    <cfRule type="containsText" priority="134" operator="containsText" dxfId="74" text="G">
      <formula>NOT(ISERROR(SEARCH("G",AA51)))</formula>
    </cfRule>
    <cfRule type="cellIs" priority="135" operator="equal" dxfId="11">
      <formula>"SEC"</formula>
    </cfRule>
    <cfRule type="cellIs" priority="136" operator="equal" dxfId="9" stopIfTrue="1">
      <formula>"SG"</formula>
    </cfRule>
    <cfRule type="cellIs" priority="137" operator="equal" dxfId="9" stopIfTrue="1">
      <formula>"GS"</formula>
    </cfRule>
  </conditionalFormatting>
  <conditionalFormatting sqref="AA73">
    <cfRule type="cellIs" priority="1205" operator="equal" dxfId="9" stopIfTrue="1">
      <formula>"TPN"</formula>
    </cfRule>
  </conditionalFormatting>
  <conditionalFormatting sqref="AB22">
    <cfRule type="containsText" priority="670" operator="containsText" dxfId="74" text="G">
      <formula>NOT(ISERROR(SEARCH("G",AB22)))</formula>
    </cfRule>
    <cfRule type="cellIs" priority="671" operator="equal" dxfId="11">
      <formula>"SEC"</formula>
    </cfRule>
    <cfRule type="cellIs" priority="672" operator="equal" dxfId="9" stopIfTrue="1">
      <formula>"SG"</formula>
    </cfRule>
    <cfRule type="cellIs" priority="673" operator="equal" dxfId="9" stopIfTrue="1">
      <formula>"GS"</formula>
    </cfRule>
  </conditionalFormatting>
  <conditionalFormatting sqref="AB25">
    <cfRule type="containsText" priority="610" operator="containsText" dxfId="74" text="G">
      <formula>NOT(ISERROR(SEARCH("G",AB25)))</formula>
    </cfRule>
    <cfRule type="cellIs" priority="611" operator="equal" dxfId="11">
      <formula>"SEC"</formula>
    </cfRule>
    <cfRule type="cellIs" priority="612" operator="equal" dxfId="9" stopIfTrue="1">
      <formula>"SG"</formula>
    </cfRule>
    <cfRule type="cellIs" priority="613" operator="equal" dxfId="9" stopIfTrue="1">
      <formula>"GS"</formula>
    </cfRule>
  </conditionalFormatting>
  <conditionalFormatting sqref="AB29">
    <cfRule type="containsText" priority="7" operator="containsText" dxfId="74" text="G">
      <formula>NOT(ISERROR(SEARCH("G",AB29)))</formula>
    </cfRule>
    <cfRule type="cellIs" priority="8" operator="equal" dxfId="11">
      <formula>"SEC"</formula>
    </cfRule>
    <cfRule type="cellIs" priority="9" operator="equal" dxfId="9" stopIfTrue="1">
      <formula>"SG"</formula>
    </cfRule>
    <cfRule type="cellIs" priority="10" operator="equal" dxfId="9" stopIfTrue="1">
      <formula>"GS"</formula>
    </cfRule>
  </conditionalFormatting>
  <conditionalFormatting sqref="AB53">
    <cfRule type="containsText" priority="116" operator="containsText" dxfId="74" text="G">
      <formula>NOT(ISERROR(SEARCH("G",AB53)))</formula>
    </cfRule>
    <cfRule type="cellIs" priority="117" operator="equal" dxfId="11">
      <formula>"SEC"</formula>
    </cfRule>
    <cfRule type="cellIs" priority="118" operator="equal" dxfId="9" stopIfTrue="1">
      <formula>"SG"</formula>
    </cfRule>
    <cfRule type="cellIs" priority="119" operator="equal" dxfId="9" stopIfTrue="1">
      <formula>"GS"</formula>
    </cfRule>
  </conditionalFormatting>
  <conditionalFormatting sqref="AB57">
    <cfRule type="containsText" priority="44" operator="containsText" dxfId="74" text="G">
      <formula>NOT(ISERROR(SEARCH("G",AB57)))</formula>
    </cfRule>
    <cfRule type="cellIs" priority="45" operator="equal" dxfId="11">
      <formula>"SEC"</formula>
    </cfRule>
    <cfRule type="cellIs" priority="46" operator="equal" dxfId="9" stopIfTrue="1">
      <formula>"SG"</formula>
    </cfRule>
    <cfRule type="cellIs" priority="47" operator="equal" dxfId="9" stopIfTrue="1">
      <formula>"GS"</formula>
    </cfRule>
  </conditionalFormatting>
  <conditionalFormatting sqref="AB38:AC38">
    <cfRule type="containsText" priority="382" operator="containsText" dxfId="74" text="G">
      <formula>NOT(ISERROR(SEARCH("G",AB38)))</formula>
    </cfRule>
    <cfRule type="cellIs" priority="383" operator="equal" dxfId="11">
      <formula>"SEC"</formula>
    </cfRule>
    <cfRule type="cellIs" priority="384" operator="equal" dxfId="9" stopIfTrue="1">
      <formula>"SG"</formula>
    </cfRule>
    <cfRule type="cellIs" priority="385" operator="equal" dxfId="9" stopIfTrue="1">
      <formula>"GS"</formula>
    </cfRule>
  </conditionalFormatting>
  <conditionalFormatting sqref="AB55:AC55">
    <cfRule type="containsText" priority="84" operator="containsText" dxfId="74" text="G">
      <formula>NOT(ISERROR(SEARCH("G",AB55)))</formula>
    </cfRule>
    <cfRule type="cellIs" priority="85" operator="equal" dxfId="11">
      <formula>"SEC"</formula>
    </cfRule>
    <cfRule type="cellIs" priority="86" operator="equal" dxfId="9" stopIfTrue="1">
      <formula>"SG"</formula>
    </cfRule>
    <cfRule type="cellIs" priority="87" operator="equal" dxfId="9" stopIfTrue="1">
      <formula>"GS"</formula>
    </cfRule>
  </conditionalFormatting>
  <conditionalFormatting sqref="AB30:AD30">
    <cfRule type="containsText" priority="522" operator="containsText" dxfId="74" text="G">
      <formula>NOT(ISERROR(SEARCH("G",AB30)))</formula>
    </cfRule>
    <cfRule type="cellIs" priority="523" operator="equal" dxfId="11">
      <formula>"SEC"</formula>
    </cfRule>
    <cfRule type="cellIs" priority="524" operator="equal" dxfId="9" stopIfTrue="1">
      <formula>"SG"</formula>
    </cfRule>
    <cfRule type="cellIs" priority="525" operator="equal" dxfId="9" stopIfTrue="1">
      <formula>"GS"</formula>
    </cfRule>
  </conditionalFormatting>
  <conditionalFormatting sqref="AC24">
    <cfRule type="containsText" priority="630" operator="containsText" dxfId="74" text="G">
      <formula>NOT(ISERROR(SEARCH("G",AC24)))</formula>
    </cfRule>
    <cfRule type="cellIs" priority="631" operator="equal" dxfId="11">
      <formula>"SEC"</formula>
    </cfRule>
    <cfRule type="cellIs" priority="632" operator="equal" dxfId="9" stopIfTrue="1">
      <formula>"SG"</formula>
    </cfRule>
    <cfRule type="cellIs" priority="633" operator="equal" dxfId="9" stopIfTrue="1">
      <formula>"GS"</formula>
    </cfRule>
  </conditionalFormatting>
  <conditionalFormatting sqref="AC47">
    <cfRule type="containsText" priority="238" operator="containsText" dxfId="74" text="G">
      <formula>NOT(ISERROR(SEARCH("G",AC47)))</formula>
    </cfRule>
    <cfRule type="cellIs" priority="239" operator="equal" dxfId="11">
      <formula>"SEC"</formula>
    </cfRule>
    <cfRule type="cellIs" priority="240" operator="equal" dxfId="9" stopIfTrue="1">
      <formula>"SG"</formula>
    </cfRule>
    <cfRule type="cellIs" priority="241" operator="equal" dxfId="9" stopIfTrue="1">
      <formula>"GS"</formula>
    </cfRule>
  </conditionalFormatting>
  <conditionalFormatting sqref="AC50">
    <cfRule type="containsText" priority="150" operator="containsText" dxfId="74" text="G">
      <formula>NOT(ISERROR(SEARCH("G",AC50)))</formula>
    </cfRule>
    <cfRule type="cellIs" priority="151" operator="equal" dxfId="11">
      <formula>"SEC"</formula>
    </cfRule>
    <cfRule type="cellIs" priority="152" operator="equal" dxfId="9" stopIfTrue="1">
      <formula>"SG"</formula>
    </cfRule>
    <cfRule type="cellIs" priority="153" operator="equal" dxfId="9" stopIfTrue="1">
      <formula>"GS"</formula>
    </cfRule>
  </conditionalFormatting>
  <conditionalFormatting sqref="AC44:AD44">
    <cfRule type="containsText" priority="270" operator="containsText" dxfId="74" text="G">
      <formula>NOT(ISERROR(SEARCH("G",AC44)))</formula>
    </cfRule>
    <cfRule type="cellIs" priority="271" operator="equal" dxfId="11">
      <formula>"SEC"</formula>
    </cfRule>
    <cfRule type="cellIs" priority="272" operator="equal" dxfId="9" stopIfTrue="1">
      <formula>"SG"</formula>
    </cfRule>
    <cfRule type="cellIs" priority="273" operator="equal" dxfId="9" stopIfTrue="1">
      <formula>"GS"</formula>
    </cfRule>
  </conditionalFormatting>
  <conditionalFormatting sqref="AD8">
    <cfRule type="cellIs" priority="752" operator="equal" dxfId="11">
      <formula>"SEC"</formula>
    </cfRule>
  </conditionalFormatting>
  <conditionalFormatting sqref="AD10:AD11">
    <cfRule type="cellIs" priority="745" operator="equal" dxfId="11">
      <formula>"SEC"</formula>
    </cfRule>
  </conditionalFormatting>
  <conditionalFormatting sqref="AD20:AD21">
    <cfRule type="cellIs" priority="699" operator="equal" dxfId="11">
      <formula>"SEC"</formula>
    </cfRule>
  </conditionalFormatting>
  <conditionalFormatting sqref="AD34">
    <cfRule type="containsText" priority="454" operator="containsText" dxfId="74" text="G">
      <formula>NOT(ISERROR(SEARCH("G",AD34)))</formula>
    </cfRule>
    <cfRule type="cellIs" priority="455" operator="equal" dxfId="11">
      <formula>"SEC"</formula>
    </cfRule>
    <cfRule type="cellIs" priority="456" operator="equal" dxfId="9" stopIfTrue="1">
      <formula>"SG"</formula>
    </cfRule>
    <cfRule type="cellIs" priority="457" operator="equal" dxfId="9" stopIfTrue="1">
      <formula>"GS"</formula>
    </cfRule>
  </conditionalFormatting>
  <conditionalFormatting sqref="AD39">
    <cfRule type="containsText" priority="362" operator="containsText" dxfId="74" text="G">
      <formula>NOT(ISERROR(SEARCH("G",AD39)))</formula>
    </cfRule>
    <cfRule type="cellIs" priority="363" operator="equal" dxfId="11">
      <formula>"SEC"</formula>
    </cfRule>
    <cfRule type="cellIs" priority="364" operator="equal" dxfId="9" stopIfTrue="1">
      <formula>"SG"</formula>
    </cfRule>
    <cfRule type="cellIs" priority="365" operator="equal" dxfId="9" stopIfTrue="1">
      <formula>"GS"</formula>
    </cfRule>
  </conditionalFormatting>
  <conditionalFormatting sqref="AE23">
    <cfRule type="containsText" priority="650" operator="containsText" dxfId="74" text="G">
      <formula>NOT(ISERROR(SEARCH("G",AE23)))</formula>
    </cfRule>
    <cfRule type="cellIs" priority="651" operator="equal" dxfId="11">
      <formula>"SEC"</formula>
    </cfRule>
    <cfRule type="cellIs" priority="652" operator="equal" dxfId="9" stopIfTrue="1">
      <formula>"SG"</formula>
    </cfRule>
    <cfRule type="cellIs" priority="653" operator="equal" dxfId="9" stopIfTrue="1">
      <formula>"GS"</formula>
    </cfRule>
  </conditionalFormatting>
  <conditionalFormatting sqref="AE31">
    <cfRule type="containsText" priority="506" operator="containsText" dxfId="74" text="G">
      <formula>NOT(ISERROR(SEARCH("G",AE31)))</formula>
    </cfRule>
    <cfRule type="cellIs" priority="507" operator="equal" dxfId="11">
      <formula>"SEC"</formula>
    </cfRule>
    <cfRule type="cellIs" priority="508" operator="equal" dxfId="9" stopIfTrue="1">
      <formula>"SG"</formula>
    </cfRule>
    <cfRule type="cellIs" priority="509" operator="equal" dxfId="9" stopIfTrue="1">
      <formula>"GS"</formula>
    </cfRule>
  </conditionalFormatting>
  <conditionalFormatting sqref="AE36">
    <cfRule type="containsText" priority="418" operator="containsText" dxfId="74" text="G">
      <formula>NOT(ISERROR(SEARCH("G",AE36)))</formula>
    </cfRule>
    <cfRule type="cellIs" priority="419" operator="equal" dxfId="11">
      <formula>"SEC"</formula>
    </cfRule>
    <cfRule type="cellIs" priority="420" operator="equal" dxfId="9" stopIfTrue="1">
      <formula>"SG"</formula>
    </cfRule>
    <cfRule type="cellIs" priority="421" operator="equal" dxfId="9" stopIfTrue="1">
      <formula>"GS"</formula>
    </cfRule>
  </conditionalFormatting>
  <conditionalFormatting sqref="AE40">
    <cfRule type="containsText" priority="342" operator="containsText" dxfId="74" text="G">
      <formula>NOT(ISERROR(SEARCH("G",AE40)))</formula>
    </cfRule>
    <cfRule type="cellIs" priority="343" operator="equal" dxfId="11">
      <formula>"SEC"</formula>
    </cfRule>
    <cfRule type="cellIs" priority="344" operator="equal" dxfId="9" stopIfTrue="1">
      <formula>"SG"</formula>
    </cfRule>
    <cfRule type="cellIs" priority="345" operator="equal" dxfId="9" stopIfTrue="1">
      <formula>"GS"</formula>
    </cfRule>
  </conditionalFormatting>
  <conditionalFormatting sqref="AE43">
    <cfRule type="containsText" priority="286" operator="containsText" dxfId="74" text="G">
      <formula>NOT(ISERROR(SEARCH("G",AE43)))</formula>
    </cfRule>
    <cfRule type="cellIs" priority="287" operator="equal" dxfId="11">
      <formula>"SEC"</formula>
    </cfRule>
    <cfRule type="cellIs" priority="288" operator="equal" dxfId="9" stopIfTrue="1">
      <formula>"SG"</formula>
    </cfRule>
    <cfRule type="cellIs" priority="289" operator="equal" dxfId="9" stopIfTrue="1">
      <formula>"GS"</formula>
    </cfRule>
  </conditionalFormatting>
  <conditionalFormatting sqref="AE56">
    <cfRule type="containsText" priority="64" operator="containsText" dxfId="74" text="G">
      <formula>NOT(ISERROR(SEARCH("G",AE56)))</formula>
    </cfRule>
    <cfRule type="cellIs" priority="65" operator="equal" dxfId="11">
      <formula>"SEC"</formula>
    </cfRule>
    <cfRule type="cellIs" priority="66" operator="equal" dxfId="9" stopIfTrue="1">
      <formula>"SG"</formula>
    </cfRule>
    <cfRule type="cellIs" priority="67" operator="equal" dxfId="9" stopIfTrue="1">
      <formula>"GS"</formula>
    </cfRule>
  </conditionalFormatting>
  <conditionalFormatting sqref="AE33:AG33">
    <cfRule type="containsText" priority="470" operator="containsText" dxfId="74" text="G">
      <formula>NOT(ISERROR(SEARCH("G",AE33)))</formula>
    </cfRule>
    <cfRule type="cellIs" priority="471" operator="equal" dxfId="11">
      <formula>"SEC"</formula>
    </cfRule>
    <cfRule type="cellIs" priority="472" operator="equal" dxfId="9" stopIfTrue="1">
      <formula>"SG"</formula>
    </cfRule>
    <cfRule type="cellIs" priority="473" operator="equal" dxfId="9" stopIfTrue="1">
      <formula>"GS"</formula>
    </cfRule>
  </conditionalFormatting>
  <conditionalFormatting sqref="AF11">
    <cfRule type="cellIs" priority="732" operator="equal" dxfId="11">
      <formula>"SEC"</formula>
    </cfRule>
    <cfRule type="cellIs" priority="733" operator="equal" dxfId="9" stopIfTrue="1">
      <formula>"SG"</formula>
    </cfRule>
    <cfRule type="cellIs" priority="734" operator="equal" dxfId="9" stopIfTrue="1">
      <formula>"GS"</formula>
    </cfRule>
  </conditionalFormatting>
  <conditionalFormatting sqref="AF21">
    <cfRule type="cellIs" priority="686" operator="equal" dxfId="11">
      <formula>"SEC"</formula>
    </cfRule>
    <cfRule type="cellIs" priority="687" operator="equal" dxfId="9" stopIfTrue="1">
      <formula>"SG"</formula>
    </cfRule>
    <cfRule type="cellIs" priority="688" operator="equal" dxfId="9" stopIfTrue="1">
      <formula>"GS"</formula>
    </cfRule>
  </conditionalFormatting>
  <conditionalFormatting sqref="AF26">
    <cfRule type="containsText" priority="590" operator="containsText" dxfId="74" text="G">
      <formula>NOT(ISERROR(SEARCH("G",AF26)))</formula>
    </cfRule>
    <cfRule type="cellIs" priority="591" operator="equal" dxfId="11">
      <formula>"SEC"</formula>
    </cfRule>
    <cfRule type="cellIs" priority="592" operator="equal" dxfId="9" stopIfTrue="1">
      <formula>"SG"</formula>
    </cfRule>
    <cfRule type="cellIs" priority="593" operator="equal" dxfId="9" stopIfTrue="1">
      <formula>"GS"</formula>
    </cfRule>
  </conditionalFormatting>
  <conditionalFormatting sqref="AF32">
    <cfRule type="containsText" priority="486" operator="containsText" dxfId="74" text="G">
      <formula>NOT(ISERROR(SEARCH("G",AF32)))</formula>
    </cfRule>
    <cfRule type="cellIs" priority="487" operator="equal" dxfId="11">
      <formula>"SEC"</formula>
    </cfRule>
    <cfRule type="cellIs" priority="488" operator="equal" dxfId="9" stopIfTrue="1">
      <formula>"SG"</formula>
    </cfRule>
    <cfRule type="cellIs" priority="489" operator="equal" dxfId="9" stopIfTrue="1">
      <formula>"GS"</formula>
    </cfRule>
  </conditionalFormatting>
  <conditionalFormatting sqref="AF42">
    <cfRule type="containsText" priority="302" operator="containsText" dxfId="74" text="G">
      <formula>NOT(ISERROR(SEARCH("G",AF42)))</formula>
    </cfRule>
    <cfRule type="cellIs" priority="303" operator="equal" dxfId="11">
      <formula>"SEC"</formula>
    </cfRule>
    <cfRule type="cellIs" priority="304" operator="equal" dxfId="9" stopIfTrue="1">
      <formula>"SG"</formula>
    </cfRule>
    <cfRule type="cellIs" priority="305" operator="equal" dxfId="9" stopIfTrue="1">
      <formula>"GS"</formula>
    </cfRule>
  </conditionalFormatting>
  <conditionalFormatting sqref="AF48">
    <cfRule type="containsText" priority="198" operator="containsText" dxfId="74" text="G">
      <formula>NOT(ISERROR(SEARCH("G",AF48)))</formula>
    </cfRule>
    <cfRule type="cellIs" priority="199" operator="equal" dxfId="11">
      <formula>"SEC"</formula>
    </cfRule>
    <cfRule type="cellIs" priority="200" operator="equal" dxfId="9" stopIfTrue="1">
      <formula>"SG"</formula>
    </cfRule>
    <cfRule type="cellIs" priority="201" operator="equal" dxfId="9" stopIfTrue="1">
      <formula>"GS"</formula>
    </cfRule>
  </conditionalFormatting>
  <conditionalFormatting sqref="AF58">
    <cfRule type="containsText" priority="24" operator="containsText" dxfId="74" text="G">
      <formula>NOT(ISERROR(SEARCH("G",AF58)))</formula>
    </cfRule>
    <cfRule type="cellIs" priority="25" operator="equal" dxfId="11">
      <formula>"SEC"</formula>
    </cfRule>
    <cfRule type="cellIs" priority="26" operator="equal" dxfId="9" stopIfTrue="1">
      <formula>"SG"</formula>
    </cfRule>
    <cfRule type="cellIs" priority="27" operator="equal" dxfId="9" stopIfTrue="1">
      <formula>"GS"</formula>
    </cfRule>
  </conditionalFormatting>
  <conditionalFormatting sqref="AG29">
    <cfRule type="containsText" priority="534" operator="containsText" dxfId="74" text="G">
      <formula>NOT(ISERROR(SEARCH("G",AG29)))</formula>
    </cfRule>
    <cfRule type="cellIs" priority="535" operator="equal" dxfId="11">
      <formula>"SEC"</formula>
    </cfRule>
    <cfRule type="cellIs" priority="536" operator="equal" dxfId="9" stopIfTrue="1">
      <formula>"SG"</formula>
    </cfRule>
    <cfRule type="cellIs" priority="537" operator="equal" dxfId="9" stopIfTrue="1">
      <formula>"GS"</formula>
    </cfRule>
  </conditionalFormatting>
  <conditionalFormatting sqref="AG35">
    <cfRule type="containsText" priority="434" operator="containsText" dxfId="74" text="G">
      <formula>NOT(ISERROR(SEARCH("G",AG35)))</formula>
    </cfRule>
    <cfRule type="cellIs" priority="435" operator="equal" dxfId="11">
      <formula>"SEC"</formula>
    </cfRule>
    <cfRule type="cellIs" priority="436" operator="equal" dxfId="9" stopIfTrue="1">
      <formula>"SG"</formula>
    </cfRule>
    <cfRule type="cellIs" priority="437" operator="equal" dxfId="9" stopIfTrue="1">
      <formula>"GS"</formula>
    </cfRule>
  </conditionalFormatting>
  <conditionalFormatting sqref="AG46">
    <cfRule type="containsText" priority="162" operator="containsText" dxfId="74" text="G">
      <formula>NOT(ISERROR(SEARCH("G",AG46)))</formula>
    </cfRule>
    <cfRule type="cellIs" priority="163" operator="equal" dxfId="11">
      <formula>"SEC"</formula>
    </cfRule>
    <cfRule type="cellIs" priority="164" operator="equal" dxfId="9" stopIfTrue="1">
      <formula>"SG"</formula>
    </cfRule>
    <cfRule type="cellIs" priority="165" operator="equal" dxfId="9" stopIfTrue="1">
      <formula>"GS"</formula>
    </cfRule>
  </conditionalFormatting>
  <conditionalFormatting sqref="AG54">
    <cfRule type="containsText" priority="96" operator="containsText" dxfId="74" text="G">
      <formula>NOT(ISERROR(SEARCH("G",AG54)))</formula>
    </cfRule>
    <cfRule type="cellIs" priority="97" operator="equal" dxfId="11">
      <formula>"SEC"</formula>
    </cfRule>
    <cfRule type="cellIs" priority="98" operator="equal" dxfId="9" stopIfTrue="1">
      <formula>"SG"</formula>
    </cfRule>
    <cfRule type="cellIs" priority="99" operator="equal" dxfId="9" stopIfTrue="1">
      <formula>"GS"</formula>
    </cfRule>
  </conditionalFormatting>
  <conditionalFormatting sqref="AG45:AH45">
    <cfRule type="containsText" priority="250" operator="containsText" dxfId="74" text="G">
      <formula>NOT(ISERROR(SEARCH("G",AG45)))</formula>
    </cfRule>
    <cfRule type="cellIs" priority="251" operator="equal" dxfId="11">
      <formula>"SEC"</formula>
    </cfRule>
    <cfRule type="cellIs" priority="252" operator="equal" dxfId="9" stopIfTrue="1">
      <formula>"SG"</formula>
    </cfRule>
    <cfRule type="cellIs" priority="253" operator="equal" dxfId="9" stopIfTrue="1">
      <formula>"GS"</formula>
    </cfRule>
  </conditionalFormatting>
  <conditionalFormatting sqref="AH37">
    <cfRule type="containsText" priority="394" operator="containsText" dxfId="74" text="G">
      <formula>NOT(ISERROR(SEARCH("G",AH37)))</formula>
    </cfRule>
    <cfRule type="cellIs" priority="395" operator="equal" dxfId="11">
      <formula>"SEC"</formula>
    </cfRule>
    <cfRule type="cellIs" priority="396" operator="equal" dxfId="9" stopIfTrue="1">
      <formula>"SG"</formula>
    </cfRule>
    <cfRule type="cellIs" priority="397" operator="equal" dxfId="9" stopIfTrue="1">
      <formula>"GS"</formula>
    </cfRule>
  </conditionalFormatting>
  <conditionalFormatting sqref="AH41">
    <cfRule type="containsText" priority="322" operator="containsText" dxfId="74" text="G">
      <formula>NOT(ISERROR(SEARCH("G",AH41)))</formula>
    </cfRule>
    <cfRule type="cellIs" priority="323" operator="equal" dxfId="11">
      <formula>"SEC"</formula>
    </cfRule>
    <cfRule type="cellIs" priority="324" operator="equal" dxfId="9" stopIfTrue="1">
      <formula>"SG"</formula>
    </cfRule>
    <cfRule type="cellIs" priority="325" operator="equal" dxfId="9" stopIfTrue="1">
      <formula>"GS"</formula>
    </cfRule>
  </conditionalFormatting>
  <conditionalFormatting sqref="AH49">
    <cfRule type="containsText" priority="182" operator="containsText" dxfId="74" text="G">
      <formula>NOT(ISERROR(SEARCH("G",AH49)))</formula>
    </cfRule>
    <cfRule type="cellIs" priority="183" operator="equal" dxfId="11">
      <formula>"SEC"</formula>
    </cfRule>
    <cfRule type="cellIs" priority="184" operator="equal" dxfId="9" stopIfTrue="1">
      <formula>"SG"</formula>
    </cfRule>
    <cfRule type="cellIs" priority="185" operator="equal" dxfId="9" stopIfTrue="1">
      <formula>"GS"</formula>
    </cfRule>
  </conditionalFormatting>
  <conditionalFormatting sqref="AH47:AI47">
    <cfRule type="containsText" priority="234" operator="containsText" dxfId="74" text="G">
      <formula>NOT(ISERROR(SEARCH("G",AH47)))</formula>
    </cfRule>
    <cfRule type="cellIs" priority="235" operator="equal" dxfId="11">
      <formula>"SEC"</formula>
    </cfRule>
    <cfRule type="cellIs" priority="236" operator="equal" dxfId="9" stopIfTrue="1">
      <formula>"SG"</formula>
    </cfRule>
    <cfRule type="cellIs" priority="237" operator="equal" dxfId="9" stopIfTrue="1">
      <formula>"GS"</formula>
    </cfRule>
  </conditionalFormatting>
  <conditionalFormatting sqref="AI22">
    <cfRule type="containsText" priority="666" operator="containsText" dxfId="74" text="G">
      <formula>NOT(ISERROR(SEARCH("G",AI22)))</formula>
    </cfRule>
    <cfRule type="cellIs" priority="667" operator="equal" dxfId="11">
      <formula>"SEC"</formula>
    </cfRule>
    <cfRule type="cellIs" priority="668" operator="equal" dxfId="9" stopIfTrue="1">
      <formula>"SG"</formula>
    </cfRule>
    <cfRule type="cellIs" priority="669" operator="equal" dxfId="9" stopIfTrue="1">
      <formula>"GS"</formula>
    </cfRule>
  </conditionalFormatting>
  <conditionalFormatting sqref="AI51">
    <cfRule type="containsText" priority="130" operator="containsText" dxfId="74" text="G">
      <formula>NOT(ISERROR(SEARCH("G",AI51)))</formula>
    </cfRule>
    <cfRule type="cellIs" priority="131" operator="equal" dxfId="11">
      <formula>"SEC"</formula>
    </cfRule>
    <cfRule type="cellIs" priority="132" operator="equal" dxfId="9" stopIfTrue="1">
      <formula>"SG"</formula>
    </cfRule>
    <cfRule type="cellIs" priority="133" operator="equal" dxfId="9" stopIfTrue="1">
      <formula>"GS"</formula>
    </cfRule>
  </conditionalFormatting>
  <conditionalFormatting sqref="AI53">
    <cfRule type="containsText" priority="112" operator="containsText" dxfId="74" text="G">
      <formula>NOT(ISERROR(SEARCH("G",AI53)))</formula>
    </cfRule>
    <cfRule type="cellIs" priority="113" operator="equal" dxfId="11">
      <formula>"SEC"</formula>
    </cfRule>
    <cfRule type="cellIs" priority="114" operator="equal" dxfId="9" stopIfTrue="1">
      <formula>"SG"</formula>
    </cfRule>
    <cfRule type="cellIs" priority="115" operator="equal" dxfId="9" stopIfTrue="1">
      <formula>"GS"</formula>
    </cfRule>
  </conditionalFormatting>
  <conditionalFormatting sqref="AI55">
    <cfRule type="containsText" priority="80" operator="containsText" dxfId="74" text="G">
      <formula>NOT(ISERROR(SEARCH("G",AI55)))</formula>
    </cfRule>
    <cfRule type="cellIs" priority="81" operator="equal" dxfId="11">
      <formula>"SEC"</formula>
    </cfRule>
    <cfRule type="cellIs" priority="82" operator="equal" dxfId="9" stopIfTrue="1">
      <formula>"SG"</formula>
    </cfRule>
    <cfRule type="cellIs" priority="83" operator="equal" dxfId="9" stopIfTrue="1">
      <formula>"GS"</formula>
    </cfRule>
  </conditionalFormatting>
  <conditionalFormatting sqref="AI57">
    <cfRule type="containsText" priority="40" operator="containsText" dxfId="74" text="G">
      <formula>NOT(ISERROR(SEARCH("G",AI57)))</formula>
    </cfRule>
    <cfRule type="cellIs" priority="41" operator="equal" dxfId="11">
      <formula>"SEC"</formula>
    </cfRule>
    <cfRule type="cellIs" priority="42" operator="equal" dxfId="9" stopIfTrue="1">
      <formula>"SG"</formula>
    </cfRule>
    <cfRule type="cellIs" priority="43" operator="equal" dxfId="9" stopIfTrue="1">
      <formula>"GS"</formula>
    </cfRule>
  </conditionalFormatting>
  <conditionalFormatting sqref="AJ24">
    <cfRule type="containsText" priority="626" operator="containsText" dxfId="74" text="G">
      <formula>NOT(ISERROR(SEARCH("G",AJ24)))</formula>
    </cfRule>
    <cfRule type="cellIs" priority="627" operator="equal" dxfId="11">
      <formula>"SEC"</formula>
    </cfRule>
    <cfRule type="cellIs" priority="628" operator="equal" dxfId="9" stopIfTrue="1">
      <formula>"SG"</formula>
    </cfRule>
    <cfRule type="cellIs" priority="629" operator="equal" dxfId="9" stopIfTrue="1">
      <formula>"GS"</formula>
    </cfRule>
  </conditionalFormatting>
  <conditionalFormatting sqref="AJ34">
    <cfRule type="containsText" priority="450" operator="containsText" dxfId="74" text="G">
      <formula>NOT(ISERROR(SEARCH("G",AJ34)))</formula>
    </cfRule>
    <cfRule type="cellIs" priority="451" operator="equal" dxfId="11">
      <formula>"SEC"</formula>
    </cfRule>
    <cfRule type="cellIs" priority="452" operator="equal" dxfId="9" stopIfTrue="1">
      <formula>"SG"</formula>
    </cfRule>
    <cfRule type="cellIs" priority="453" operator="equal" dxfId="9" stopIfTrue="1">
      <formula>"GS"</formula>
    </cfRule>
  </conditionalFormatting>
  <conditionalFormatting sqref="AJ39">
    <cfRule type="containsText" priority="3" operator="containsText" dxfId="74" text="G">
      <formula>NOT(ISERROR(SEARCH("G",AJ39)))</formula>
    </cfRule>
    <cfRule type="cellIs" priority="4" operator="equal" dxfId="11">
      <formula>"SEC"</formula>
    </cfRule>
    <cfRule type="cellIs" priority="5" operator="equal" dxfId="9" stopIfTrue="1">
      <formula>"SG"</formula>
    </cfRule>
    <cfRule type="cellIs" priority="6" operator="equal" dxfId="9" stopIfTrue="1">
      <formula>"GS"</formula>
    </cfRule>
  </conditionalFormatting>
  <conditionalFormatting sqref="AJ50">
    <cfRule type="containsText" priority="146" operator="containsText" dxfId="74" text="G">
      <formula>NOT(ISERROR(SEARCH("G",AJ50)))</formula>
    </cfRule>
    <cfRule type="cellIs" priority="147" operator="equal" dxfId="11">
      <formula>"SEC"</formula>
    </cfRule>
    <cfRule type="cellIs" priority="148" operator="equal" dxfId="9" stopIfTrue="1">
      <formula>"SG"</formula>
    </cfRule>
    <cfRule type="cellIs" priority="149" operator="equal" dxfId="9" stopIfTrue="1">
      <formula>"GS"</formula>
    </cfRule>
  </conditionalFormatting>
  <conditionalFormatting sqref="AJ56">
    <cfRule type="containsText" priority="60" operator="containsText" dxfId="74" text="G">
      <formula>NOT(ISERROR(SEARCH("G",AJ56)))</formula>
    </cfRule>
    <cfRule type="cellIs" priority="61" operator="equal" dxfId="11">
      <formula>"SEC"</formula>
    </cfRule>
    <cfRule type="cellIs" priority="62" operator="equal" dxfId="9" stopIfTrue="1">
      <formula>"SG"</formula>
    </cfRule>
    <cfRule type="cellIs" priority="63" operator="equal" dxfId="9" stopIfTrue="1">
      <formula>"GS"</formula>
    </cfRule>
  </conditionalFormatting>
  <conditionalFormatting sqref="AJ28:AK28">
    <cfRule type="containsText" priority="554" operator="containsText" dxfId="74" text="G">
      <formula>NOT(ISERROR(SEARCH("G",AJ28)))</formula>
    </cfRule>
    <cfRule type="cellIs" priority="555" operator="equal" dxfId="11">
      <formula>"SEC"</formula>
    </cfRule>
    <cfRule type="cellIs" priority="556" operator="equal" dxfId="9" stopIfTrue="1">
      <formula>"SG"</formula>
    </cfRule>
    <cfRule type="cellIs" priority="557" operator="equal" dxfId="9" stopIfTrue="1">
      <formula>"GS"</formula>
    </cfRule>
  </conditionalFormatting>
  <conditionalFormatting sqref="AK8">
    <cfRule type="cellIs" priority="751" operator="equal" dxfId="11">
      <formula>"SEC"</formula>
    </cfRule>
  </conditionalFormatting>
  <conditionalFormatting sqref="AK10:AK11">
    <cfRule type="cellIs" priority="744" operator="equal" dxfId="11">
      <formula>"SEC"</formula>
    </cfRule>
  </conditionalFormatting>
  <conditionalFormatting sqref="AK20:AK21">
    <cfRule type="cellIs" priority="698" operator="equal" dxfId="11">
      <formula>"SEC"</formula>
    </cfRule>
  </conditionalFormatting>
  <conditionalFormatting sqref="AK39:AK40">
    <cfRule type="containsText" priority="338" operator="containsText" dxfId="74" text="G">
      <formula>NOT(ISERROR(SEARCH("G",AK39)))</formula>
    </cfRule>
    <cfRule type="cellIs" priority="339" operator="equal" dxfId="11">
      <formula>"SEC"</formula>
    </cfRule>
    <cfRule type="cellIs" priority="340" operator="equal" dxfId="9" stopIfTrue="1">
      <formula>"SG"</formula>
    </cfRule>
    <cfRule type="cellIs" priority="341" operator="equal" dxfId="9" stopIfTrue="1">
      <formula>"GS"</formula>
    </cfRule>
  </conditionalFormatting>
  <conditionalFormatting sqref="AK43">
    <cfRule type="containsText" priority="282" operator="containsText" dxfId="74" text="G">
      <formula>NOT(ISERROR(SEARCH("G",AK43)))</formula>
    </cfRule>
    <cfRule type="cellIs" priority="283" operator="equal" dxfId="11">
      <formula>"SEC"</formula>
    </cfRule>
    <cfRule type="cellIs" priority="284" operator="equal" dxfId="9" stopIfTrue="1">
      <formula>"SG"</formula>
    </cfRule>
    <cfRule type="cellIs" priority="285" operator="equal" dxfId="9" stopIfTrue="1">
      <formula>"GS"</formula>
    </cfRule>
  </conditionalFormatting>
  <conditionalFormatting sqref="AL11">
    <cfRule type="cellIs" priority="729" operator="equal" dxfId="11">
      <formula>"SEC"</formula>
    </cfRule>
    <cfRule type="cellIs" priority="730" operator="equal" dxfId="9" stopIfTrue="1">
      <formula>"SG"</formula>
    </cfRule>
    <cfRule type="cellIs" priority="731" operator="equal" dxfId="9" stopIfTrue="1">
      <formula>"GS"</formula>
    </cfRule>
  </conditionalFormatting>
  <conditionalFormatting sqref="AL21">
    <cfRule type="cellIs" priority="683" operator="equal" dxfId="11">
      <formula>"SEC"</formula>
    </cfRule>
    <cfRule type="cellIs" priority="684" operator="equal" dxfId="9" stopIfTrue="1">
      <formula>"SG"</formula>
    </cfRule>
    <cfRule type="cellIs" priority="685" operator="equal" dxfId="9" stopIfTrue="1">
      <formula>"GS"</formula>
    </cfRule>
  </conditionalFormatting>
  <conditionalFormatting sqref="AL31">
    <cfRule type="containsText" priority="502" operator="containsText" dxfId="74" text="G">
      <formula>NOT(ISERROR(SEARCH("G",AL31)))</formula>
    </cfRule>
    <cfRule type="cellIs" priority="503" operator="equal" dxfId="11">
      <formula>"SEC"</formula>
    </cfRule>
    <cfRule type="cellIs" priority="504" operator="equal" dxfId="9" stopIfTrue="1">
      <formula>"SG"</formula>
    </cfRule>
    <cfRule type="cellIs" priority="505" operator="equal" dxfId="9" stopIfTrue="1">
      <formula>"GS"</formula>
    </cfRule>
  </conditionalFormatting>
  <conditionalFormatting sqref="AL35">
    <cfRule type="containsText" priority="430" operator="containsText" dxfId="74" text="G">
      <formula>NOT(ISERROR(SEARCH("G",AL35)))</formula>
    </cfRule>
    <cfRule type="cellIs" priority="431" operator="equal" dxfId="11">
      <formula>"SEC"</formula>
    </cfRule>
    <cfRule type="cellIs" priority="432" operator="equal" dxfId="9" stopIfTrue="1">
      <formula>"SG"</formula>
    </cfRule>
    <cfRule type="cellIs" priority="433" operator="equal" dxfId="9" stopIfTrue="1">
      <formula>"GS"</formula>
    </cfRule>
  </conditionalFormatting>
  <conditionalFormatting sqref="AL44">
    <cfRule type="containsText" priority="266" operator="containsText" dxfId="74" text="G">
      <formula>NOT(ISERROR(SEARCH("G",AL44)))</formula>
    </cfRule>
    <cfRule type="cellIs" priority="267" operator="equal" dxfId="11">
      <formula>"SEC"</formula>
    </cfRule>
    <cfRule type="cellIs" priority="268" operator="equal" dxfId="9" stopIfTrue="1">
      <formula>"SG"</formula>
    </cfRule>
    <cfRule type="cellIs" priority="269" operator="equal" dxfId="9" stopIfTrue="1">
      <formula>"GS"</formula>
    </cfRule>
  </conditionalFormatting>
  <conditionalFormatting sqref="AL58">
    <cfRule type="containsText" priority="20" operator="containsText" dxfId="74" text="G">
      <formula>NOT(ISERROR(SEARCH("G",AL58)))</formula>
    </cfRule>
    <cfRule type="cellIs" priority="21" operator="equal" dxfId="11">
      <formula>"SEC"</formula>
    </cfRule>
    <cfRule type="cellIs" priority="22" operator="equal" dxfId="9" stopIfTrue="1">
      <formula>"SG"</formula>
    </cfRule>
    <cfRule type="cellIs" priority="23" operator="equal" dxfId="9" stopIfTrue="1">
      <formula>"GS"</formula>
    </cfRule>
  </conditionalFormatting>
  <conditionalFormatting sqref="AL36:AM36">
    <cfRule type="containsText" priority="414" operator="containsText" dxfId="74" text="G">
      <formula>NOT(ISERROR(SEARCH("G",AL36)))</formula>
    </cfRule>
    <cfRule type="cellIs" priority="415" operator="equal" dxfId="11">
      <formula>"SEC"</formula>
    </cfRule>
    <cfRule type="cellIs" priority="416" operator="equal" dxfId="9" stopIfTrue="1">
      <formula>"SG"</formula>
    </cfRule>
    <cfRule type="cellIs" priority="417" operator="equal" dxfId="9" stopIfTrue="1">
      <formula>"GS"</formula>
    </cfRule>
  </conditionalFormatting>
  <conditionalFormatting sqref="AM23">
    <cfRule type="containsText" priority="646" operator="containsText" dxfId="74" text="G">
      <formula>NOT(ISERROR(SEARCH("G",AM23)))</formula>
    </cfRule>
    <cfRule type="cellIs" priority="647" operator="equal" dxfId="11">
      <formula>"SEC"</formula>
    </cfRule>
    <cfRule type="cellIs" priority="648" operator="equal" dxfId="9" stopIfTrue="1">
      <formula>"SG"</formula>
    </cfRule>
    <cfRule type="cellIs" priority="649" operator="equal" dxfId="9" stopIfTrue="1">
      <formula>"GS"</formula>
    </cfRule>
  </conditionalFormatting>
  <conditionalFormatting sqref="AM25">
    <cfRule type="containsText" priority="606" operator="containsText" dxfId="74" text="G">
      <formula>NOT(ISERROR(SEARCH("G",AM25)))</formula>
    </cfRule>
    <cfRule type="cellIs" priority="607" operator="equal" dxfId="11">
      <formula>"SEC"</formula>
    </cfRule>
    <cfRule type="cellIs" priority="608" operator="equal" dxfId="9" stopIfTrue="1">
      <formula>"SG"</formula>
    </cfRule>
    <cfRule type="cellIs" priority="609" operator="equal" dxfId="9" stopIfTrue="1">
      <formula>"GS"</formula>
    </cfRule>
  </conditionalFormatting>
  <conditionalFormatting sqref="AM27">
    <cfRule type="containsText" priority="574" operator="containsText" dxfId="74" text="G">
      <formula>NOT(ISERROR(SEARCH("G",AM27)))</formula>
    </cfRule>
    <cfRule type="cellIs" priority="575" operator="equal" dxfId="11">
      <formula>"SEC"</formula>
    </cfRule>
    <cfRule type="cellIs" priority="576" operator="equal" dxfId="9" stopIfTrue="1">
      <formula>"SG"</formula>
    </cfRule>
    <cfRule type="cellIs" priority="577" operator="equal" dxfId="9" stopIfTrue="1">
      <formula>"GS"</formula>
    </cfRule>
  </conditionalFormatting>
  <conditionalFormatting sqref="AM32">
    <cfRule type="containsText" priority="482" operator="containsText" dxfId="74" text="G">
      <formula>NOT(ISERROR(SEARCH("G",AM32)))</formula>
    </cfRule>
    <cfRule type="cellIs" priority="483" operator="equal" dxfId="11">
      <formula>"SEC"</formula>
    </cfRule>
    <cfRule type="cellIs" priority="484" operator="equal" dxfId="9" stopIfTrue="1">
      <formula>"SG"</formula>
    </cfRule>
    <cfRule type="cellIs" priority="485" operator="equal" dxfId="9" stopIfTrue="1">
      <formula>"GS"</formula>
    </cfRule>
  </conditionalFormatting>
  <conditionalFormatting sqref="AM38">
    <cfRule type="containsText" priority="378" operator="containsText" dxfId="74" text="G">
      <formula>NOT(ISERROR(SEARCH("G",AM38)))</formula>
    </cfRule>
    <cfRule type="cellIs" priority="379" operator="equal" dxfId="11">
      <formula>"SEC"</formula>
    </cfRule>
    <cfRule type="cellIs" priority="380" operator="equal" dxfId="9" stopIfTrue="1">
      <formula>"SG"</formula>
    </cfRule>
    <cfRule type="cellIs" priority="381" operator="equal" dxfId="9" stopIfTrue="1">
      <formula>"GS"</formula>
    </cfRule>
  </conditionalFormatting>
  <conditionalFormatting sqref="AM41">
    <cfRule type="containsText" priority="318" operator="containsText" dxfId="74" text="G">
      <formula>NOT(ISERROR(SEARCH("G",AM41)))</formula>
    </cfRule>
    <cfRule type="cellIs" priority="319" operator="equal" dxfId="11">
      <formula>"SEC"</formula>
    </cfRule>
    <cfRule type="cellIs" priority="320" operator="equal" dxfId="9" stopIfTrue="1">
      <formula>"SG"</formula>
    </cfRule>
    <cfRule type="cellIs" priority="321" operator="equal" dxfId="9" stopIfTrue="1">
      <formula>"GS"</formula>
    </cfRule>
  </conditionalFormatting>
  <conditionalFormatting sqref="AP8:AP11 AP20:AP58">
    <cfRule type="cellIs" priority="1432" operator="notEqual" dxfId="1753" stopIfTrue="1">
      <formula>2</formula>
    </cfRule>
  </conditionalFormatting>
  <conditionalFormatting sqref="AV14:AZ14 AV19:BC60">
    <cfRule type="cellIs" priority="1433" operator="equal" dxfId="0" stopIfTrue="1">
      <formula>0</formula>
    </cfRule>
  </conditionalFormatting>
  <conditionalFormatting sqref="AV6:BC11">
    <cfRule type="cellIs" priority="1434" operator="equal" dxfId="0" stopIfTrue="1">
      <formula>0</formula>
    </cfRule>
  </conditionalFormatting>
  <pageMargins left="0.2362204724409449" right="0.2362204724409449" top="0.3543307086614174" bottom="0.3543307086614174" header="0.3149606299212598" footer="0.3149606299212598"/>
  <pageSetup orientation="landscape" paperSize="9" scale="51" fitToHeight="0"/>
  <rowBreaks count="1" manualBreakCount="1">
    <brk id="38" min="0" max="40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C85"/>
  <sheetViews>
    <sheetView tabSelected="1" view="pageBreakPreview" topLeftCell="A46" zoomScale="70" zoomScaleNormal="70" zoomScaleSheetLayoutView="70" workbookViewId="0">
      <selection activeCell="AN72" sqref="AN72"/>
    </sheetView>
  </sheetViews>
  <sheetFormatPr baseColWidth="8" defaultColWidth="9" defaultRowHeight="15" customHeight="1"/>
  <cols>
    <col width="1.625" customWidth="1" style="4" min="1" max="1"/>
    <col width="9" customWidth="1" style="4" min="2" max="2"/>
    <col width="15.625" customWidth="1" style="2" min="3" max="4"/>
    <col hidden="1" outlineLevel="1" width="9" customWidth="1" style="2" min="5" max="5"/>
    <col hidden="1" outlineLevel="1" width="10.375" customWidth="1" style="2" min="6" max="6"/>
    <col collapsed="1" width="8.5" customWidth="1" style="2" min="7" max="7"/>
    <col width="6.625" customWidth="1" style="4" min="8" max="38"/>
    <col width="9.625" customWidth="1" style="2" min="39" max="40"/>
    <col outlineLevel="1" width="10" customWidth="1" style="2" min="41" max="41"/>
    <col outlineLevel="1" width="7.5" customWidth="1" style="2" min="42" max="43"/>
    <col outlineLevel="1" width="9" customWidth="1" style="4" min="44" max="45"/>
    <col width="5.375" customWidth="1" style="4" min="46" max="46"/>
    <col width="4" customWidth="1" style="4" min="47" max="47"/>
    <col width="4" customWidth="1" style="1" min="48" max="48"/>
    <col width="4" customWidth="1" style="4" min="49" max="53"/>
    <col outlineLevel="1" width="4.875" customWidth="1" style="40" min="54" max="54"/>
    <col width="1.625" customWidth="1" style="4" min="55" max="55"/>
    <col width="9" customWidth="1" style="4" min="56" max="16384"/>
  </cols>
  <sheetData>
    <row r="1" ht="27.75" customHeight="1" s="506">
      <c r="B1" s="460" t="inlineStr">
        <is>
          <t>泓 建 物 業 管 理 有 限 公 司</t>
        </is>
      </c>
      <c r="AO1" s="56" t="n"/>
      <c r="AP1" s="56" t="n"/>
      <c r="AQ1" s="56" t="n"/>
      <c r="AR1" s="56" t="n"/>
      <c r="AS1" s="56" t="n"/>
    </row>
    <row r="2" ht="27.75" customHeight="1" s="506">
      <c r="B2" s="460" t="inlineStr">
        <is>
          <t>Pacific Extend Properties Management Limited</t>
        </is>
      </c>
      <c r="AO2" s="56" t="n"/>
      <c r="AP2" s="56" t="n"/>
      <c r="AQ2" s="56" t="n"/>
      <c r="AR2" s="56" t="n"/>
      <c r="AS2" s="56" t="n"/>
    </row>
    <row r="3" ht="27.75" customHeight="1" s="506">
      <c r="B3" s="460">
        <f>YEAR(I6)&amp;"年"&amp;MONTH(I6)&amp;"月保安出勤及休假記錄  (中更 15:00 - 23:00)"</f>
        <v/>
      </c>
      <c r="AO3" s="56" t="n"/>
      <c r="AP3" s="57" t="n"/>
      <c r="AQ3" s="57" t="n"/>
      <c r="AR3" s="57" t="n"/>
      <c r="AS3" s="57" t="n"/>
    </row>
    <row r="4" ht="23.25" customHeight="1" s="506">
      <c r="B4" s="464" t="inlineStr">
        <is>
          <t>大 元 邨</t>
        </is>
      </c>
      <c r="AO4" s="57" t="n"/>
      <c r="AP4" s="57" t="n"/>
      <c r="AQ4" s="57" t="n"/>
      <c r="AR4" s="57" t="n"/>
      <c r="AS4" s="57" t="n"/>
    </row>
    <row r="5" ht="27.75" customHeight="1" s="506" thickBot="1">
      <c r="B5" s="6" t="inlineStr">
        <is>
          <t>1. 保安主管出勤時數</t>
        </is>
      </c>
      <c r="H5" s="87" t="n"/>
      <c r="I5" s="87" t="n"/>
      <c r="J5" s="87" t="n"/>
      <c r="K5" s="87" t="n"/>
      <c r="L5" s="87" t="n"/>
      <c r="M5" s="87" t="n"/>
      <c r="N5" s="87" t="n"/>
      <c r="O5" s="87" t="n"/>
      <c r="P5" s="87" t="n"/>
      <c r="Q5" s="87" t="n"/>
      <c r="R5" s="87" t="n"/>
      <c r="S5" s="87" t="n"/>
      <c r="T5" s="87" t="n"/>
      <c r="U5" s="87" t="n"/>
      <c r="V5" s="87" t="n"/>
      <c r="W5" s="87" t="n"/>
      <c r="X5" s="87" t="n"/>
      <c r="Y5" s="87" t="n"/>
      <c r="Z5" s="87" t="n"/>
      <c r="AA5" s="87" t="n"/>
      <c r="AB5" s="87" t="n"/>
      <c r="AC5" s="87" t="n"/>
      <c r="AD5" s="87" t="n"/>
      <c r="AE5" s="87" t="n"/>
      <c r="AF5" s="87" t="n"/>
      <c r="AG5" s="87" t="n"/>
      <c r="AH5" s="87" t="n"/>
      <c r="AI5" s="87" t="n"/>
      <c r="AJ5" s="87" t="n"/>
      <c r="AK5" s="87" t="n"/>
      <c r="AL5" s="87" t="n"/>
    </row>
    <row r="6" ht="30" customFormat="1" customHeight="1" s="90">
      <c r="B6" s="416" t="n"/>
      <c r="C6" s="271" t="n"/>
      <c r="D6" s="271" t="n"/>
      <c r="E6" s="231" t="n"/>
      <c r="F6" s="233" t="n"/>
      <c r="G6" s="271" t="n"/>
      <c r="H6" s="548">
        <f>早!I6</f>
        <v/>
      </c>
      <c r="I6" s="549">
        <f>H6+1</f>
        <v/>
      </c>
      <c r="J6" s="549">
        <f>I6+1</f>
        <v/>
      </c>
      <c r="K6" s="549">
        <f>J6+1</f>
        <v/>
      </c>
      <c r="L6" s="549">
        <f>K6+1</f>
        <v/>
      </c>
      <c r="M6" s="549">
        <f>L6+1</f>
        <v/>
      </c>
      <c r="N6" s="549">
        <f>M6+1</f>
        <v/>
      </c>
      <c r="O6" s="550">
        <f>N6+1</f>
        <v/>
      </c>
      <c r="P6" s="549">
        <f>O6+1</f>
        <v/>
      </c>
      <c r="Q6" s="549">
        <f>P6+1</f>
        <v/>
      </c>
      <c r="R6" s="549">
        <f>Q6+1</f>
        <v/>
      </c>
      <c r="S6" s="549">
        <f>R6+1</f>
        <v/>
      </c>
      <c r="T6" s="549">
        <f>S6+1</f>
        <v/>
      </c>
      <c r="U6" s="549">
        <f>T6+1</f>
        <v/>
      </c>
      <c r="V6" s="550">
        <f>U6+1</f>
        <v/>
      </c>
      <c r="W6" s="549">
        <f>V6+1</f>
        <v/>
      </c>
      <c r="X6" s="549">
        <f>W6+1</f>
        <v/>
      </c>
      <c r="Y6" s="549">
        <f>X6+1</f>
        <v/>
      </c>
      <c r="Z6" s="549">
        <f>Y6+1</f>
        <v/>
      </c>
      <c r="AA6" s="549">
        <f>Z6+1</f>
        <v/>
      </c>
      <c r="AB6" s="549">
        <f>AA6+1</f>
        <v/>
      </c>
      <c r="AC6" s="550">
        <f>AB6+1</f>
        <v/>
      </c>
      <c r="AD6" s="549">
        <f>AC6+1</f>
        <v/>
      </c>
      <c r="AE6" s="549">
        <f>AD6+1</f>
        <v/>
      </c>
      <c r="AF6" s="551">
        <f>AE6+1</f>
        <v/>
      </c>
      <c r="AG6" s="549">
        <f>AF6+1</f>
        <v/>
      </c>
      <c r="AH6" s="549">
        <f>AG6+1</f>
        <v/>
      </c>
      <c r="AI6" s="549">
        <f>AH6+1</f>
        <v/>
      </c>
      <c r="AJ6" s="550">
        <f>AI6+1</f>
        <v/>
      </c>
      <c r="AK6" s="549">
        <f>AJ6+1</f>
        <v/>
      </c>
      <c r="AL6" s="552">
        <f>AK6+1</f>
        <v/>
      </c>
      <c r="AM6" s="553" t="inlineStr">
        <is>
          <t>工作總
日數</t>
        </is>
      </c>
      <c r="AN6" s="481" t="inlineStr">
        <is>
          <t>工作總
時數</t>
        </is>
      </c>
      <c r="AO6" s="98" t="inlineStr">
        <is>
          <t>SH</t>
        </is>
      </c>
      <c r="AP6" s="62" t="inlineStr">
        <is>
          <t>RD</t>
        </is>
      </c>
      <c r="AQ6" s="62" t="inlineStr">
        <is>
          <t>NP</t>
        </is>
      </c>
      <c r="AR6" s="62" t="inlineStr">
        <is>
          <t>SL</t>
        </is>
      </c>
      <c r="AS6" s="236" t="inlineStr">
        <is>
          <t>AL</t>
        </is>
      </c>
      <c r="AT6" s="214" t="inlineStr">
        <is>
          <t>RD</t>
        </is>
      </c>
      <c r="AU6" s="59" t="inlineStr">
        <is>
          <t>RD</t>
        </is>
      </c>
      <c r="AV6" s="70" t="inlineStr">
        <is>
          <t>OT</t>
        </is>
      </c>
      <c r="AW6" s="59" t="inlineStr">
        <is>
          <t>SH</t>
        </is>
      </c>
      <c r="AX6" s="62" t="inlineStr">
        <is>
          <t>SL</t>
        </is>
      </c>
      <c r="AY6" s="99" t="inlineStr">
        <is>
          <t>NP</t>
        </is>
      </c>
      <c r="AZ6" s="59" t="inlineStr">
        <is>
          <t>AL</t>
        </is>
      </c>
      <c r="BA6" s="71" t="inlineStr">
        <is>
          <t>NC</t>
        </is>
      </c>
      <c r="BB6" s="554" t="inlineStr">
        <is>
          <t>已放年假</t>
        </is>
      </c>
    </row>
    <row r="7" ht="30" customFormat="1" customHeight="1" s="90" thickBot="1">
      <c r="B7" s="415" t="inlineStr">
        <is>
          <t>排位</t>
        </is>
      </c>
      <c r="C7" s="279" t="inlineStr">
        <is>
          <t>員工編號</t>
        </is>
      </c>
      <c r="D7" s="279" t="inlineStr">
        <is>
          <t>姓名</t>
        </is>
      </c>
      <c r="E7" s="368" t="inlineStr">
        <is>
          <t>Rank</t>
        </is>
      </c>
      <c r="F7" s="249" t="inlineStr">
        <is>
          <t>職銜</t>
        </is>
      </c>
      <c r="G7" s="135" t="inlineStr">
        <is>
          <t>更份</t>
        </is>
      </c>
      <c r="H7" s="555">
        <f>SUBSTITUTE(TEXT(H6,"aaa"),"週","")</f>
        <v/>
      </c>
      <c r="I7" s="405">
        <f>SUBSTITUTE(TEXT(I6,"aaa"),"週","")</f>
        <v/>
      </c>
      <c r="J7" s="405">
        <f>SUBSTITUTE(TEXT(J6,"aaa"),"週","")</f>
        <v/>
      </c>
      <c r="K7" s="405">
        <f>SUBSTITUTE(TEXT(K6,"aaa"),"週","")</f>
        <v/>
      </c>
      <c r="L7" s="405">
        <f>SUBSTITUTE(TEXT(L6,"aaa"),"週","")</f>
        <v/>
      </c>
      <c r="M7" s="405">
        <f>SUBSTITUTE(TEXT(M6,"aaa"),"週","")</f>
        <v/>
      </c>
      <c r="N7" s="405">
        <f>SUBSTITUTE(TEXT(N6,"aaa"),"週","")</f>
        <v/>
      </c>
      <c r="O7" s="406">
        <f>SUBSTITUTE(TEXT(O6,"aaa"),"週","")</f>
        <v/>
      </c>
      <c r="P7" s="405">
        <f>SUBSTITUTE(TEXT(P6,"aaa"),"週","")</f>
        <v/>
      </c>
      <c r="Q7" s="405">
        <f>SUBSTITUTE(TEXT(Q6,"aaa"),"週","")</f>
        <v/>
      </c>
      <c r="R7" s="405">
        <f>SUBSTITUTE(TEXT(R6,"aaa"),"週","")</f>
        <v/>
      </c>
      <c r="S7" s="405">
        <f>SUBSTITUTE(TEXT(S6,"aaa"),"週","")</f>
        <v/>
      </c>
      <c r="T7" s="405">
        <f>SUBSTITUTE(TEXT(T6,"aaa"),"週","")</f>
        <v/>
      </c>
      <c r="U7" s="405">
        <f>SUBSTITUTE(TEXT(U6,"aaa"),"週","")</f>
        <v/>
      </c>
      <c r="V7" s="406">
        <f>SUBSTITUTE(TEXT(V6,"aaa"),"週","")</f>
        <v/>
      </c>
      <c r="W7" s="405">
        <f>SUBSTITUTE(TEXT(W6,"aaa"),"週","")</f>
        <v/>
      </c>
      <c r="X7" s="405">
        <f>SUBSTITUTE(TEXT(X6,"aaa"),"週","")</f>
        <v/>
      </c>
      <c r="Y7" s="405">
        <f>SUBSTITUTE(TEXT(Y6,"aaa"),"週","")</f>
        <v/>
      </c>
      <c r="Z7" s="405">
        <f>SUBSTITUTE(TEXT(Z6,"aaa"),"週","")</f>
        <v/>
      </c>
      <c r="AA7" s="405">
        <f>SUBSTITUTE(TEXT(AA6,"aaa"),"週","")</f>
        <v/>
      </c>
      <c r="AB7" s="405">
        <f>SUBSTITUTE(TEXT(AB6,"aaa"),"週","")</f>
        <v/>
      </c>
      <c r="AC7" s="406">
        <f>SUBSTITUTE(TEXT(AC6,"aaa"),"週","")</f>
        <v/>
      </c>
      <c r="AD7" s="405">
        <f>SUBSTITUTE(TEXT(AD6,"aaa"),"週","")</f>
        <v/>
      </c>
      <c r="AE7" s="405">
        <f>SUBSTITUTE(TEXT(AE6,"aaa"),"週","")</f>
        <v/>
      </c>
      <c r="AF7" s="407">
        <f>SUBSTITUTE(TEXT(AF6,"aaa"),"週","")</f>
        <v/>
      </c>
      <c r="AG7" s="405">
        <f>SUBSTITUTE(TEXT(AG6,"aaa"),"週","")</f>
        <v/>
      </c>
      <c r="AH7" s="405">
        <f>SUBSTITUTE(TEXT(AH6,"aaa"),"週","")</f>
        <v/>
      </c>
      <c r="AI7" s="405">
        <f>SUBSTITUTE(TEXT(AI6,"aaa"),"週","")</f>
        <v/>
      </c>
      <c r="AJ7" s="406">
        <f>SUBSTITUTE(TEXT(AJ6,"aaa"),"週","")</f>
        <v/>
      </c>
      <c r="AK7" s="405">
        <f>SUBSTITUTE(TEXT(AK6,"aaa"),"週","")</f>
        <v/>
      </c>
      <c r="AL7" s="408">
        <f>SUBSTITUTE(TEXT(AL6,"aaa"),"週","")</f>
        <v/>
      </c>
      <c r="AM7" s="515" t="n"/>
      <c r="AN7" s="515" t="n"/>
      <c r="AO7" s="215" t="inlineStr">
        <is>
          <t>法定假期</t>
        </is>
      </c>
      <c r="AP7" s="137" t="inlineStr">
        <is>
          <t>例假</t>
        </is>
      </c>
      <c r="AQ7" s="137" t="inlineStr">
        <is>
          <t>無薪假</t>
        </is>
      </c>
      <c r="AR7" s="137" t="inlineStr">
        <is>
          <t>病假</t>
        </is>
      </c>
      <c r="AS7" s="237" t="inlineStr">
        <is>
          <t>年假</t>
        </is>
      </c>
      <c r="AT7" s="352" t="inlineStr">
        <is>
          <t>享有</t>
        </is>
      </c>
      <c r="AU7" s="353" t="inlineStr">
        <is>
          <t>已放</t>
        </is>
      </c>
      <c r="AV7" s="354" t="n"/>
      <c r="AW7" s="353" t="inlineStr">
        <is>
          <t>已放</t>
        </is>
      </c>
      <c r="AX7" s="353" t="inlineStr">
        <is>
          <t>已放</t>
        </is>
      </c>
      <c r="AY7" s="355" t="inlineStr">
        <is>
          <t>已放</t>
        </is>
      </c>
      <c r="AZ7" s="353" t="inlineStr">
        <is>
          <t>已放</t>
        </is>
      </c>
      <c r="BA7" s="356" t="inlineStr">
        <is>
          <t>已放</t>
        </is>
      </c>
      <c r="BB7" s="556" t="n"/>
    </row>
    <row r="8" ht="30" customFormat="1" customHeight="1" s="240">
      <c r="B8" s="239" t="inlineStr">
        <is>
          <t>D01</t>
        </is>
      </c>
      <c r="C8" s="255" t="inlineStr">
        <is>
          <t>0004577</t>
        </is>
      </c>
      <c r="D8" s="409" t="inlineStr">
        <is>
          <t>詹美玲</t>
        </is>
      </c>
      <c r="E8" s="231" t="inlineStr">
        <is>
          <t>GS</t>
        </is>
      </c>
      <c r="F8" s="233" t="n"/>
      <c r="G8" s="271" t="inlineStr">
        <is>
          <t>中</t>
        </is>
      </c>
      <c r="H8" s="261" t="inlineStr">
        <is>
          <t>RD</t>
        </is>
      </c>
      <c r="I8" s="262" t="n">
        <v>8</v>
      </c>
      <c r="J8" s="262" t="n">
        <v>8</v>
      </c>
      <c r="K8" s="262" t="n">
        <v>8</v>
      </c>
      <c r="L8" s="121" t="inlineStr">
        <is>
          <t>RD</t>
        </is>
      </c>
      <c r="M8" s="262" t="n">
        <v>8</v>
      </c>
      <c r="N8" s="262" t="n">
        <v>8</v>
      </c>
      <c r="O8" s="262" t="n">
        <v>8</v>
      </c>
      <c r="P8" s="262" t="n">
        <v>8</v>
      </c>
      <c r="Q8" s="262" t="n">
        <v>8</v>
      </c>
      <c r="R8" s="262" t="n">
        <v>8</v>
      </c>
      <c r="S8" s="262" t="n">
        <v>8</v>
      </c>
      <c r="T8" s="262" t="n">
        <v>8</v>
      </c>
      <c r="U8" s="121" t="inlineStr">
        <is>
          <t>RD</t>
        </is>
      </c>
      <c r="V8" s="121" t="inlineStr">
        <is>
          <t>RD</t>
        </is>
      </c>
      <c r="W8" s="262" t="n">
        <v>8</v>
      </c>
      <c r="X8" s="262" t="n">
        <v>8</v>
      </c>
      <c r="Y8" s="262" t="n">
        <v>8</v>
      </c>
      <c r="Z8" s="262" t="n">
        <v>8</v>
      </c>
      <c r="AA8" s="262" t="n">
        <v>8</v>
      </c>
      <c r="AB8" s="121" t="inlineStr">
        <is>
          <t>RD</t>
        </is>
      </c>
      <c r="AC8" s="121" t="inlineStr">
        <is>
          <t>RD</t>
        </is>
      </c>
      <c r="AD8" s="262" t="n">
        <v>8</v>
      </c>
      <c r="AE8" s="262" t="n">
        <v>8</v>
      </c>
      <c r="AF8" s="262" t="n">
        <v>8</v>
      </c>
      <c r="AG8" s="262" t="n">
        <v>8</v>
      </c>
      <c r="AH8" s="262" t="n">
        <v>8</v>
      </c>
      <c r="AI8" s="121" t="inlineStr">
        <is>
          <t>RD</t>
        </is>
      </c>
      <c r="AJ8" s="121" t="inlineStr">
        <is>
          <t>RD</t>
        </is>
      </c>
      <c r="AK8" s="262" t="n">
        <v>8</v>
      </c>
      <c r="AL8" s="263" t="n">
        <v>8</v>
      </c>
      <c r="AM8" s="239">
        <f>COUNT(H8:AL8)</f>
        <v/>
      </c>
      <c r="AN8" s="239">
        <f>SUM(H8:AL8)</f>
        <v/>
      </c>
      <c r="AO8" s="201">
        <f>COUNTIFS($H8:$AL8,$AO$6)</f>
        <v/>
      </c>
      <c r="AP8" s="202">
        <f>COUNTIFS($H8:$AL8,$AP$6)</f>
        <v/>
      </c>
      <c r="AQ8" s="202">
        <f>COUNTIFS($H8:$AL8,$AQ$6)</f>
        <v/>
      </c>
      <c r="AR8" s="202">
        <f>COUNTIFS($H8:$AL8,$AR$6)</f>
        <v/>
      </c>
      <c r="AS8" s="348">
        <f>COUNTIFS($H8:$AL8,$AS$6)</f>
        <v/>
      </c>
      <c r="AT8" s="95" t="n">
        <v>9</v>
      </c>
      <c r="AU8" s="70">
        <f>COUNTIF(H8:AL8,"RD")</f>
        <v/>
      </c>
      <c r="AV8" s="70">
        <f>AT8-AU8</f>
        <v/>
      </c>
      <c r="AW8" s="70">
        <f>COUNTIF(H8:AL8,"SH")</f>
        <v/>
      </c>
      <c r="AX8" s="70">
        <f>COUNTIF(H8:AL8,"SL")</f>
        <v/>
      </c>
      <c r="AY8" s="70">
        <f>COUNTIF(H8:AL8,"np")</f>
        <v/>
      </c>
      <c r="AZ8" s="70">
        <f>COUNTIF(H8:AL8,"AL*")</f>
        <v/>
      </c>
      <c r="BA8" s="225">
        <f>COUNTIF(H8:AL8,"NC*")</f>
        <v/>
      </c>
      <c r="BB8" s="349" t="n"/>
    </row>
    <row r="9" ht="30" customFormat="1" customHeight="1" s="90">
      <c r="B9" s="245" t="inlineStr">
        <is>
          <t>D02</t>
        </is>
      </c>
      <c r="C9" s="248" t="inlineStr">
        <is>
          <t>0004718</t>
        </is>
      </c>
      <c r="D9" s="274" t="inlineStr">
        <is>
          <t>陳鳴</t>
        </is>
      </c>
      <c r="E9" s="242" t="inlineStr">
        <is>
          <t>GS</t>
        </is>
      </c>
      <c r="F9" s="243" t="n"/>
      <c r="G9" s="245" t="inlineStr">
        <is>
          <t>中</t>
        </is>
      </c>
      <c r="H9" s="264" t="inlineStr">
        <is>
          <t>RD</t>
        </is>
      </c>
      <c r="I9" s="44" t="inlineStr">
        <is>
          <t>RD</t>
        </is>
      </c>
      <c r="J9" s="260" t="n">
        <v>8</v>
      </c>
      <c r="K9" s="260" t="n">
        <v>8</v>
      </c>
      <c r="L9" s="260" t="n">
        <v>8</v>
      </c>
      <c r="M9" s="260" t="n">
        <v>8</v>
      </c>
      <c r="N9" s="260" t="n">
        <v>8</v>
      </c>
      <c r="O9" s="260" t="n">
        <v>8</v>
      </c>
      <c r="P9" s="260" t="n">
        <v>8</v>
      </c>
      <c r="Q9" s="260" t="n">
        <v>8</v>
      </c>
      <c r="R9" s="260" t="n">
        <v>8</v>
      </c>
      <c r="S9" s="260" t="n">
        <v>8</v>
      </c>
      <c r="T9" s="260" t="n">
        <v>8</v>
      </c>
      <c r="U9" s="44" t="inlineStr">
        <is>
          <t>RD</t>
        </is>
      </c>
      <c r="V9" s="260" t="n">
        <v>8</v>
      </c>
      <c r="W9" s="260" t="n">
        <v>8</v>
      </c>
      <c r="X9" s="44" t="inlineStr">
        <is>
          <t>RD</t>
        </is>
      </c>
      <c r="Y9" s="260" t="n">
        <v>8</v>
      </c>
      <c r="Z9" s="260" t="n">
        <v>8</v>
      </c>
      <c r="AA9" s="260" t="n">
        <v>8</v>
      </c>
      <c r="AB9" s="260" t="n">
        <v>8</v>
      </c>
      <c r="AC9" s="260" t="n">
        <v>8</v>
      </c>
      <c r="AD9" s="44" t="inlineStr">
        <is>
          <t>RD</t>
        </is>
      </c>
      <c r="AE9" s="260" t="n">
        <v>8</v>
      </c>
      <c r="AF9" s="260" t="n">
        <v>8</v>
      </c>
      <c r="AG9" s="260" t="n">
        <v>8</v>
      </c>
      <c r="AH9" s="260" t="n">
        <v>8</v>
      </c>
      <c r="AI9" s="260" t="n">
        <v>8</v>
      </c>
      <c r="AJ9" s="260" t="n">
        <v>8</v>
      </c>
      <c r="AK9" s="260" t="n">
        <v>8</v>
      </c>
      <c r="AL9" s="265" t="n">
        <v>8</v>
      </c>
      <c r="AM9" s="245">
        <f>COUNT(H9:AL9)</f>
        <v/>
      </c>
      <c r="AN9" s="245">
        <f>SUM(H9:AL9)</f>
        <v/>
      </c>
      <c r="AO9" s="181">
        <f>COUNTIFS($H9:$AL9,$AO$6)</f>
        <v/>
      </c>
      <c r="AP9" s="63">
        <f>COUNTIFS($H9:$AL9,$AP$6)</f>
        <v/>
      </c>
      <c r="AQ9" s="63">
        <f>COUNTIFS($H9:$AL9,$AQ$6)</f>
        <v/>
      </c>
      <c r="AR9" s="63">
        <f>COUNTIFS($H9:$AL9,$AR$6)</f>
        <v/>
      </c>
      <c r="AS9" s="182">
        <f>COUNTIFS($H9:$AL9,$AS$6)</f>
        <v/>
      </c>
      <c r="AT9" s="181" t="n">
        <v>5</v>
      </c>
      <c r="AU9" s="221">
        <f>COUNTIF(H9:AL9,"RD")</f>
        <v/>
      </c>
      <c r="AV9" s="221">
        <f>AT9-AU9</f>
        <v/>
      </c>
      <c r="AW9" s="221">
        <f>COUNTIF(H9:AL9,"SH")</f>
        <v/>
      </c>
      <c r="AX9" s="221">
        <f>COUNTIF(H9:AL9,"SL")</f>
        <v/>
      </c>
      <c r="AY9" s="221">
        <f>COUNTIF(H9:AL9,"np")</f>
        <v/>
      </c>
      <c r="AZ9" s="221">
        <f>COUNTIF(H9:AL9,"AL*")</f>
        <v/>
      </c>
      <c r="BA9" s="272">
        <f>COUNTIF(H9:AL9,"NC*")</f>
        <v/>
      </c>
      <c r="BB9" s="350" t="n"/>
    </row>
    <row r="10" ht="30" customFormat="1" customHeight="1" s="90">
      <c r="B10" s="245" t="inlineStr">
        <is>
          <t>D03</t>
        </is>
      </c>
      <c r="C10" s="284" t="inlineStr">
        <is>
          <t>0004706</t>
        </is>
      </c>
      <c r="D10" s="337" t="inlineStr">
        <is>
          <t>鄭佩英</t>
        </is>
      </c>
      <c r="E10" s="242" t="inlineStr">
        <is>
          <t>GS</t>
        </is>
      </c>
      <c r="F10" s="243" t="n"/>
      <c r="G10" s="245" t="inlineStr">
        <is>
          <t>中</t>
        </is>
      </c>
      <c r="H10" s="266" t="n">
        <v>8</v>
      </c>
      <c r="I10" s="260" t="n">
        <v>8</v>
      </c>
      <c r="J10" s="44" t="inlineStr">
        <is>
          <t>RD</t>
        </is>
      </c>
      <c r="K10" s="260" t="inlineStr">
        <is>
          <t>G</t>
        </is>
      </c>
      <c r="L10" s="260" t="n">
        <v>8</v>
      </c>
      <c r="M10" s="260" t="inlineStr">
        <is>
          <t>G</t>
        </is>
      </c>
      <c r="N10" s="260" t="inlineStr">
        <is>
          <t>G</t>
        </is>
      </c>
      <c r="O10" s="44" t="inlineStr">
        <is>
          <t>RD</t>
        </is>
      </c>
      <c r="P10" s="260" t="inlineStr">
        <is>
          <t>G</t>
        </is>
      </c>
      <c r="Q10" s="260" t="inlineStr">
        <is>
          <t>G</t>
        </is>
      </c>
      <c r="R10" s="260" t="inlineStr">
        <is>
          <t>G</t>
        </is>
      </c>
      <c r="S10" s="260" t="inlineStr">
        <is>
          <t>G</t>
        </is>
      </c>
      <c r="T10" s="44" t="inlineStr">
        <is>
          <t>RD</t>
        </is>
      </c>
      <c r="U10" s="260" t="n">
        <v>8</v>
      </c>
      <c r="V10" s="260" t="n">
        <v>8</v>
      </c>
      <c r="W10" s="260" t="inlineStr">
        <is>
          <t>G</t>
        </is>
      </c>
      <c r="X10" s="260" t="n">
        <v>8</v>
      </c>
      <c r="Y10" s="260" t="inlineStr">
        <is>
          <t>G</t>
        </is>
      </c>
      <c r="Z10" s="44" t="inlineStr">
        <is>
          <t>RD</t>
        </is>
      </c>
      <c r="AA10" s="260" t="inlineStr">
        <is>
          <t>G</t>
        </is>
      </c>
      <c r="AB10" s="260" t="n">
        <v>8</v>
      </c>
      <c r="AC10" s="260" t="n">
        <v>8</v>
      </c>
      <c r="AD10" s="260" t="n">
        <v>8</v>
      </c>
      <c r="AE10" s="260" t="inlineStr">
        <is>
          <t>G</t>
        </is>
      </c>
      <c r="AF10" s="260" t="inlineStr">
        <is>
          <t>G</t>
        </is>
      </c>
      <c r="AG10" s="260" t="inlineStr">
        <is>
          <t>G</t>
        </is>
      </c>
      <c r="AH10" s="260" t="inlineStr">
        <is>
          <t>G</t>
        </is>
      </c>
      <c r="AI10" s="44" t="inlineStr">
        <is>
          <t>RD</t>
        </is>
      </c>
      <c r="AJ10" s="260" t="n">
        <v>8</v>
      </c>
      <c r="AK10" s="260" t="inlineStr">
        <is>
          <t>G</t>
        </is>
      </c>
      <c r="AL10" s="265" t="inlineStr">
        <is>
          <t>G</t>
        </is>
      </c>
      <c r="AM10" s="245">
        <f>COUNT(H10:AL10)</f>
        <v/>
      </c>
      <c r="AN10" s="245">
        <f>SUM(H10:AL10)</f>
        <v/>
      </c>
      <c r="AO10" s="181" t="n"/>
      <c r="AP10" s="63" t="n"/>
      <c r="AQ10" s="63" t="n"/>
      <c r="AR10" s="63" t="n"/>
      <c r="AS10" s="182" t="n"/>
      <c r="AT10" s="181" t="n"/>
      <c r="AU10" s="221" t="n"/>
      <c r="AV10" s="221" t="n"/>
      <c r="AW10" s="221" t="n"/>
      <c r="AX10" s="221" t="n"/>
      <c r="AY10" s="221">
        <f>COUNTIF(H10:AL10,"np")</f>
        <v/>
      </c>
      <c r="AZ10" s="221">
        <f>COUNTIF(H10:AL10,"AL*")</f>
        <v/>
      </c>
      <c r="BA10" s="272">
        <f>COUNTIF(H10:AL10,"NC*")</f>
        <v/>
      </c>
      <c r="BB10" s="350" t="n"/>
    </row>
    <row r="11" ht="30" customFormat="1" customHeight="1" s="90" thickBot="1">
      <c r="B11" s="279" t="inlineStr">
        <is>
          <t>D04</t>
        </is>
      </c>
      <c r="C11" s="253" t="inlineStr">
        <is>
          <t>0004721</t>
        </is>
      </c>
      <c r="D11" s="370" t="inlineStr">
        <is>
          <t>陳月霞</t>
        </is>
      </c>
      <c r="E11" s="247" t="inlineStr">
        <is>
          <t>GS</t>
        </is>
      </c>
      <c r="F11" s="250" t="n"/>
      <c r="G11" s="278" t="inlineStr">
        <is>
          <t>中</t>
        </is>
      </c>
      <c r="H11" s="267" t="n">
        <v>8</v>
      </c>
      <c r="I11" s="269" t="inlineStr">
        <is>
          <t>RD</t>
        </is>
      </c>
      <c r="J11" s="268" t="inlineStr">
        <is>
          <t>G</t>
        </is>
      </c>
      <c r="K11" s="268" t="inlineStr">
        <is>
          <t>G</t>
        </is>
      </c>
      <c r="L11" s="268" t="inlineStr">
        <is>
          <t>G</t>
        </is>
      </c>
      <c r="M11" s="268" t="inlineStr">
        <is>
          <t>G</t>
        </is>
      </c>
      <c r="N11" s="269" t="inlineStr">
        <is>
          <t>RD</t>
        </is>
      </c>
      <c r="O11" s="268" t="inlineStr">
        <is>
          <t>G</t>
        </is>
      </c>
      <c r="P11" s="268" t="inlineStr">
        <is>
          <t>G</t>
        </is>
      </c>
      <c r="Q11" s="268" t="inlineStr">
        <is>
          <t>G</t>
        </is>
      </c>
      <c r="R11" s="268" t="inlineStr">
        <is>
          <t>G</t>
        </is>
      </c>
      <c r="S11" s="268" t="inlineStr">
        <is>
          <t>G</t>
        </is>
      </c>
      <c r="T11" s="268" t="inlineStr">
        <is>
          <t>G</t>
        </is>
      </c>
      <c r="U11" s="268" t="n">
        <v>8</v>
      </c>
      <c r="V11" s="268" t="inlineStr">
        <is>
          <t>G</t>
        </is>
      </c>
      <c r="W11" s="269" t="inlineStr">
        <is>
          <t>RD</t>
        </is>
      </c>
      <c r="X11" s="268" t="inlineStr">
        <is>
          <t>G</t>
        </is>
      </c>
      <c r="Y11" s="268" t="inlineStr">
        <is>
          <t>G</t>
        </is>
      </c>
      <c r="Z11" s="268" t="inlineStr">
        <is>
          <t>G</t>
        </is>
      </c>
      <c r="AA11" s="268" t="inlineStr">
        <is>
          <t>G</t>
        </is>
      </c>
      <c r="AB11" s="268" t="inlineStr">
        <is>
          <t>G</t>
        </is>
      </c>
      <c r="AC11" s="268" t="inlineStr">
        <is>
          <t>G</t>
        </is>
      </c>
      <c r="AD11" s="269" t="inlineStr">
        <is>
          <t>RD</t>
        </is>
      </c>
      <c r="AE11" s="268" t="inlineStr">
        <is>
          <t>G</t>
        </is>
      </c>
      <c r="AF11" s="268" t="inlineStr">
        <is>
          <t>G</t>
        </is>
      </c>
      <c r="AG11" s="268" t="inlineStr">
        <is>
          <t>G</t>
        </is>
      </c>
      <c r="AH11" s="268" t="inlineStr">
        <is>
          <t>G</t>
        </is>
      </c>
      <c r="AI11" s="268" t="n">
        <v>8</v>
      </c>
      <c r="AJ11" s="268" t="inlineStr">
        <is>
          <t>G</t>
        </is>
      </c>
      <c r="AK11" s="268" t="inlineStr">
        <is>
          <t>G</t>
        </is>
      </c>
      <c r="AL11" s="326" t="inlineStr">
        <is>
          <t>RD</t>
        </is>
      </c>
      <c r="AM11" s="245">
        <f>COUNT(H11:AL11)</f>
        <v/>
      </c>
      <c r="AN11" s="245">
        <f>SUM(H11:AL11)</f>
        <v/>
      </c>
      <c r="AO11" s="215" t="n"/>
      <c r="AP11" s="137" t="n"/>
      <c r="AQ11" s="137" t="n"/>
      <c r="AR11" s="137" t="n"/>
      <c r="AS11" s="138" t="n"/>
      <c r="AT11" s="215" t="n"/>
      <c r="AU11" s="72" t="n"/>
      <c r="AV11" s="72" t="n"/>
      <c r="AW11" s="72" t="n"/>
      <c r="AX11" s="72" t="n"/>
      <c r="AY11" s="72">
        <f>COUNTIF(H11:AL11,"np")</f>
        <v/>
      </c>
      <c r="AZ11" s="72">
        <f>COUNTIF(H11:AL11,"AL*")</f>
        <v/>
      </c>
      <c r="BA11" s="276">
        <f>COUNTIF(H11:AL11,"NC*")</f>
        <v/>
      </c>
      <c r="BB11" s="351" t="n"/>
    </row>
    <row r="12" ht="30" customHeight="1" s="506" thickBot="1">
      <c r="B12" s="2" t="n"/>
      <c r="H12" s="88" t="n"/>
      <c r="I12" s="88" t="n"/>
      <c r="J12" s="88" t="n"/>
      <c r="K12" s="88" t="n"/>
      <c r="L12" s="88" t="n"/>
      <c r="M12" s="88" t="n"/>
      <c r="N12" s="88" t="n"/>
      <c r="O12" s="88" t="n"/>
      <c r="P12" s="88" t="n"/>
      <c r="Q12" s="88" t="n"/>
      <c r="R12" s="88" t="n"/>
      <c r="S12" s="88" t="n"/>
      <c r="T12" s="88" t="n"/>
      <c r="U12" s="88" t="n"/>
      <c r="V12" s="88" t="n"/>
      <c r="W12" s="88" t="n"/>
      <c r="X12" s="88" t="n"/>
      <c r="Y12" s="88" t="n"/>
      <c r="Z12" s="88" t="n"/>
      <c r="AA12" s="88" t="n"/>
      <c r="AB12" s="88" t="n"/>
      <c r="AC12" s="88" t="n"/>
      <c r="AD12" s="88" t="n"/>
      <c r="AE12" s="88" t="n"/>
      <c r="AF12" s="88" t="n"/>
      <c r="AG12" s="88" t="n"/>
      <c r="AH12" s="88" t="n"/>
      <c r="AI12" s="88" t="n"/>
      <c r="AJ12" s="88" t="n"/>
      <c r="AK12" s="88" t="n"/>
      <c r="AL12" s="88" t="n"/>
      <c r="AM12" s="47">
        <f>SUM(AM8:AM11)</f>
        <v/>
      </c>
      <c r="AN12" s="49">
        <f>SUM(AN8:AN11)</f>
        <v/>
      </c>
      <c r="AO12" s="40" t="n"/>
      <c r="AP12" s="40" t="n"/>
      <c r="AQ12" s="40" t="n"/>
      <c r="AR12" s="40" t="n"/>
      <c r="AS12" s="40" t="n"/>
      <c r="AT12" s="75" t="n"/>
      <c r="AU12" s="69" t="n"/>
      <c r="AV12" s="69" t="n"/>
      <c r="AW12" s="69" t="n"/>
      <c r="AX12" s="69" t="n"/>
      <c r="AY12" s="69" t="n"/>
      <c r="AZ12" s="69" t="n"/>
      <c r="BA12" s="69" t="n"/>
      <c r="BB12" s="78" t="n"/>
    </row>
    <row r="13" ht="11.25" customHeight="1" s="506">
      <c r="B13" s="2" t="n"/>
      <c r="H13" s="88" t="n"/>
      <c r="I13" s="88" t="n"/>
      <c r="J13" s="88" t="n"/>
      <c r="K13" s="88" t="n"/>
      <c r="L13" s="88" t="n"/>
      <c r="M13" s="88" t="n"/>
      <c r="N13" s="88" t="n"/>
      <c r="O13" s="88" t="n"/>
      <c r="P13" s="88" t="n"/>
      <c r="Q13" s="88" t="n"/>
      <c r="R13" s="88" t="n"/>
      <c r="S13" s="88" t="n"/>
      <c r="T13" s="88" t="n"/>
      <c r="U13" s="88" t="n"/>
      <c r="V13" s="88" t="n"/>
      <c r="W13" s="88" t="n"/>
      <c r="X13" s="88" t="n"/>
      <c r="Y13" s="88" t="n"/>
      <c r="Z13" s="88" t="n"/>
      <c r="AA13" s="88" t="n"/>
      <c r="AB13" s="88" t="n"/>
      <c r="AC13" s="88" t="n"/>
      <c r="AD13" s="88" t="n"/>
      <c r="AE13" s="88" t="n"/>
      <c r="AF13" s="88" t="n"/>
      <c r="AG13" s="88" t="n"/>
      <c r="AH13" s="88" t="n"/>
      <c r="AI13" s="88" t="n"/>
      <c r="AJ13" s="88" t="n"/>
      <c r="AK13" s="88" t="n"/>
      <c r="AL13" s="88" t="n"/>
      <c r="AO13" s="40" t="n"/>
      <c r="AP13" s="40" t="n"/>
      <c r="AQ13" s="40" t="n"/>
      <c r="AR13" s="40" t="n"/>
      <c r="AS13" s="40" t="n"/>
      <c r="AT13" s="75" t="n"/>
      <c r="AU13" s="69" t="n"/>
      <c r="AV13" s="69" t="n"/>
      <c r="AW13" s="69" t="n"/>
      <c r="AX13" s="69" t="n"/>
      <c r="AY13" s="69" t="n"/>
      <c r="AZ13" s="69" t="n"/>
      <c r="BA13" s="69" t="n"/>
      <c r="BB13" s="78" t="n"/>
    </row>
    <row r="14" ht="21.95" customHeight="1" s="506" thickBot="1">
      <c r="AM14" s="2" t="inlineStr">
        <is>
          <t>總日數</t>
        </is>
      </c>
      <c r="AN14" s="2" t="inlineStr">
        <is>
          <t>總時數</t>
        </is>
      </c>
    </row>
    <row r="15" ht="21.95" customHeight="1" s="506">
      <c r="B15" s="471" t="inlineStr">
        <is>
          <t>保安主任每日工作(實際)總人數</t>
        </is>
      </c>
      <c r="C15" s="471" t="n"/>
      <c r="D15" s="471" t="n"/>
      <c r="E15" s="472" t="n"/>
      <c r="F15" s="472" t="n"/>
      <c r="G15" s="280" t="inlineStr">
        <is>
          <t>GS</t>
        </is>
      </c>
      <c r="H15" s="33">
        <f>COUNT(H8:H11)</f>
        <v/>
      </c>
      <c r="I15" s="34">
        <f>COUNT(I8:I11)</f>
        <v/>
      </c>
      <c r="J15" s="34">
        <f>COUNT(J8:J11)</f>
        <v/>
      </c>
      <c r="K15" s="34">
        <f>COUNT(K8:K11)</f>
        <v/>
      </c>
      <c r="L15" s="34">
        <f>COUNT(L8:L11)</f>
        <v/>
      </c>
      <c r="M15" s="34">
        <f>COUNT(M8:M11)</f>
        <v/>
      </c>
      <c r="N15" s="34">
        <f>COUNT(N8:N11)</f>
        <v/>
      </c>
      <c r="O15" s="34">
        <f>COUNT(O8:O11)</f>
        <v/>
      </c>
      <c r="P15" s="34">
        <f>COUNT(P8:P11)</f>
        <v/>
      </c>
      <c r="Q15" s="34">
        <f>COUNT(Q8:Q11)</f>
        <v/>
      </c>
      <c r="R15" s="34">
        <f>COUNT(R8:R11)</f>
        <v/>
      </c>
      <c r="S15" s="34">
        <f>COUNT(S8:S11)</f>
        <v/>
      </c>
      <c r="T15" s="34">
        <f>COUNT(T8:T11)</f>
        <v/>
      </c>
      <c r="U15" s="34">
        <f>COUNT(U8:U11)</f>
        <v/>
      </c>
      <c r="V15" s="34">
        <f>COUNT(V8:V11)</f>
        <v/>
      </c>
      <c r="W15" s="34">
        <f>COUNT(W8:W11)</f>
        <v/>
      </c>
      <c r="X15" s="34">
        <f>COUNT(X8:X11)</f>
        <v/>
      </c>
      <c r="Y15" s="34">
        <f>COUNT(Y8:Y11)</f>
        <v/>
      </c>
      <c r="Z15" s="34">
        <f>COUNT(Z8:Z11)</f>
        <v/>
      </c>
      <c r="AA15" s="34">
        <f>COUNT(AA8:AA11)</f>
        <v/>
      </c>
      <c r="AB15" s="34">
        <f>COUNT(AB8:AB11)</f>
        <v/>
      </c>
      <c r="AC15" s="34">
        <f>COUNT(AC8:AC11)</f>
        <v/>
      </c>
      <c r="AD15" s="34">
        <f>COUNT(AD8:AD11)</f>
        <v/>
      </c>
      <c r="AE15" s="34">
        <f>COUNT(AE8:AE11)</f>
        <v/>
      </c>
      <c r="AF15" s="34">
        <f>COUNT(AF8:AF11)</f>
        <v/>
      </c>
      <c r="AG15" s="34">
        <f>COUNT(AG8:AG11)</f>
        <v/>
      </c>
      <c r="AH15" s="34">
        <f>COUNT(AH8:AH11)</f>
        <v/>
      </c>
      <c r="AI15" s="34">
        <f>COUNT(AI8:AI11)</f>
        <v/>
      </c>
      <c r="AJ15" s="34">
        <f>COUNT(AJ8:AJ11)</f>
        <v/>
      </c>
      <c r="AK15" s="34">
        <f>COUNT(AK8:AK11)</f>
        <v/>
      </c>
      <c r="AL15" s="110">
        <f>COUNT(AL8:AL11)</f>
        <v/>
      </c>
      <c r="AM15" s="50">
        <f>SUM(H15:AL15)</f>
        <v/>
      </c>
      <c r="AN15" s="50">
        <f>AM15*8</f>
        <v/>
      </c>
    </row>
    <row r="16" ht="21.95" customHeight="1" s="506">
      <c r="B16" s="474" t="inlineStr">
        <is>
          <t>保安主任每日工作(要求)總人數</t>
        </is>
      </c>
      <c r="C16" s="474" t="n"/>
      <c r="D16" s="474" t="n"/>
      <c r="E16" s="475" t="n"/>
      <c r="F16" s="475" t="n"/>
      <c r="G16" s="281" t="n"/>
      <c r="H16" s="35" t="n">
        <v>2</v>
      </c>
      <c r="I16" s="36" t="n">
        <v>2</v>
      </c>
      <c r="J16" s="36" t="n">
        <v>2</v>
      </c>
      <c r="K16" s="36" t="n">
        <v>2</v>
      </c>
      <c r="L16" s="36" t="n">
        <v>2</v>
      </c>
      <c r="M16" s="36" t="n">
        <v>2</v>
      </c>
      <c r="N16" s="36" t="n">
        <v>2</v>
      </c>
      <c r="O16" s="36" t="n">
        <v>2</v>
      </c>
      <c r="P16" s="36" t="n">
        <v>2</v>
      </c>
      <c r="Q16" s="36" t="n">
        <v>2</v>
      </c>
      <c r="R16" s="36" t="n">
        <v>2</v>
      </c>
      <c r="S16" s="36" t="n">
        <v>2</v>
      </c>
      <c r="T16" s="36" t="n">
        <v>2</v>
      </c>
      <c r="U16" s="36" t="n">
        <v>2</v>
      </c>
      <c r="V16" s="36" t="n">
        <v>2</v>
      </c>
      <c r="W16" s="36" t="n">
        <v>2</v>
      </c>
      <c r="X16" s="36" t="n">
        <v>2</v>
      </c>
      <c r="Y16" s="36" t="n">
        <v>2</v>
      </c>
      <c r="Z16" s="36" t="n">
        <v>2</v>
      </c>
      <c r="AA16" s="36" t="n">
        <v>2</v>
      </c>
      <c r="AB16" s="36" t="n">
        <v>2</v>
      </c>
      <c r="AC16" s="36" t="n">
        <v>2</v>
      </c>
      <c r="AD16" s="36" t="n">
        <v>2</v>
      </c>
      <c r="AE16" s="36" t="n">
        <v>2</v>
      </c>
      <c r="AF16" s="36" t="n">
        <v>2</v>
      </c>
      <c r="AG16" s="36" t="n">
        <v>2</v>
      </c>
      <c r="AH16" s="36" t="n">
        <v>2</v>
      </c>
      <c r="AI16" s="36" t="n">
        <v>2</v>
      </c>
      <c r="AJ16" s="36" t="n">
        <v>2</v>
      </c>
      <c r="AK16" s="36" t="n">
        <v>2</v>
      </c>
      <c r="AL16" s="111" t="n">
        <v>2</v>
      </c>
      <c r="AM16" s="51">
        <f>SUM(H16:AL16)</f>
        <v/>
      </c>
      <c r="AN16" s="51">
        <f>AM16*8</f>
        <v/>
      </c>
    </row>
    <row r="17" ht="21.95" customHeight="1" s="506" thickBot="1">
      <c r="B17" s="468" t="inlineStr">
        <is>
          <t>保安主任每日工作(缺勤)總人數</t>
        </is>
      </c>
      <c r="C17" s="468" t="n"/>
      <c r="D17" s="468" t="n"/>
      <c r="E17" s="469" t="n"/>
      <c r="F17" s="469" t="n"/>
      <c r="G17" s="282" t="n"/>
      <c r="H17" s="557">
        <f>IF((H15-H16)&lt;0,H15-H16,0)</f>
        <v/>
      </c>
      <c r="I17" s="558">
        <f>IF((I15-I16)&lt;0,I15-I16,0)</f>
        <v/>
      </c>
      <c r="J17" s="558">
        <f>IF((J15-J16)&lt;0,J15-J16,0)</f>
        <v/>
      </c>
      <c r="K17" s="558">
        <f>IF((K15-K16)&lt;0,K15-K16,0)</f>
        <v/>
      </c>
      <c r="L17" s="558">
        <f>IF((L15-L16)&lt;0,L15-L16,0)</f>
        <v/>
      </c>
      <c r="M17" s="558">
        <f>IF((M15-M16)&lt;0,M15-M16,0)</f>
        <v/>
      </c>
      <c r="N17" s="558">
        <f>IF((N15-N16)&lt;0,N15-N16,0)</f>
        <v/>
      </c>
      <c r="O17" s="558">
        <f>IF((O15-O16)&lt;0,O15-O16,0)</f>
        <v/>
      </c>
      <c r="P17" s="558">
        <f>IF((P15-P16)&lt;0,P15-P16,0)</f>
        <v/>
      </c>
      <c r="Q17" s="558">
        <f>IF((Q15-Q16)&lt;0,Q15-Q16,0)</f>
        <v/>
      </c>
      <c r="R17" s="558">
        <f>IF((R15-R16)&lt;0,R15-R16,0)</f>
        <v/>
      </c>
      <c r="S17" s="558">
        <f>IF((S15-S16)&lt;0,S15-S16,0)</f>
        <v/>
      </c>
      <c r="T17" s="558">
        <f>IF((T15-T16)&lt;0,T15-T16,0)</f>
        <v/>
      </c>
      <c r="U17" s="558">
        <f>IF((U15-U16)&lt;0,U15-U16,0)</f>
        <v/>
      </c>
      <c r="V17" s="558">
        <f>IF((V15-V16)&lt;0,V15-V16,0)</f>
        <v/>
      </c>
      <c r="W17" s="558">
        <f>IF((W15-W16)&lt;0,W15-W16,0)</f>
        <v/>
      </c>
      <c r="X17" s="558">
        <f>IF((X15-X16)&lt;0,X15-X16,0)</f>
        <v/>
      </c>
      <c r="Y17" s="558">
        <f>IF((Y15-Y16)&lt;0,Y15-Y16,0)</f>
        <v/>
      </c>
      <c r="Z17" s="558">
        <f>IF((Z15-Z16)&lt;0,Z15-Z16,0)</f>
        <v/>
      </c>
      <c r="AA17" s="558">
        <f>IF((AA15-AA16)&lt;0,AA15-AA16,0)</f>
        <v/>
      </c>
      <c r="AB17" s="558">
        <f>IF((AB15-AB16)&lt;0,AB15-AB16,0)</f>
        <v/>
      </c>
      <c r="AC17" s="558">
        <f>IF((AC15-AC16)&lt;0,AC15-AC16,0)</f>
        <v/>
      </c>
      <c r="AD17" s="558">
        <f>IF((AD15-AD16)&lt;0,AD15-AD16,0)</f>
        <v/>
      </c>
      <c r="AE17" s="558">
        <f>IF((AE15-AE16)&lt;0,AE15-AE16,0)</f>
        <v/>
      </c>
      <c r="AF17" s="558">
        <f>IF((AF15-AF16)&lt;0,AF15-AF16,0)</f>
        <v/>
      </c>
      <c r="AG17" s="558">
        <f>IF((AG15-AG16)&lt;0,AG15-AG16,0)</f>
        <v/>
      </c>
      <c r="AH17" s="558">
        <f>IF((AH15-AH16)&lt;0,AH15-AH16,0)</f>
        <v/>
      </c>
      <c r="AI17" s="558">
        <f>IF((AI15-AI16)&lt;0,AI15-AI16,0)</f>
        <v/>
      </c>
      <c r="AJ17" s="558">
        <f>IF((AJ15-AJ16)&lt;0,AJ15-AJ16,0)</f>
        <v/>
      </c>
      <c r="AK17" s="558">
        <f>IF((AK15-AK16)&lt;0,AK15-AK16,0)</f>
        <v/>
      </c>
      <c r="AL17" s="559">
        <f>IF((AL15-AL16)&lt;0,AL15-AL16,0)</f>
        <v/>
      </c>
      <c r="AM17" s="428">
        <f>SUM(H17:AL17)</f>
        <v/>
      </c>
      <c r="AN17" s="560">
        <f>AM17*8</f>
        <v/>
      </c>
    </row>
    <row r="18" ht="21.95" customHeight="1" s="506">
      <c r="B18" s="5" t="n"/>
      <c r="C18" s="5" t="n"/>
      <c r="D18" s="5" t="n"/>
      <c r="E18" s="5" t="n"/>
      <c r="F18" s="5" t="n"/>
      <c r="G18" s="5" t="n"/>
      <c r="H18" s="561" t="n"/>
      <c r="I18" s="561" t="n"/>
      <c r="J18" s="561" t="n"/>
      <c r="K18" s="561" t="n"/>
      <c r="L18" s="561" t="n"/>
      <c r="M18" s="561" t="n"/>
      <c r="N18" s="561" t="n"/>
      <c r="O18" s="561" t="n"/>
      <c r="P18" s="561" t="n"/>
      <c r="Q18" s="561" t="n"/>
      <c r="R18" s="561" t="n"/>
      <c r="S18" s="561" t="n"/>
      <c r="T18" s="561" t="n"/>
      <c r="U18" s="561" t="n"/>
      <c r="V18" s="561" t="n"/>
      <c r="W18" s="561" t="n"/>
      <c r="X18" s="561" t="n"/>
      <c r="Y18" s="561" t="n"/>
      <c r="Z18" s="561" t="n"/>
      <c r="AA18" s="561" t="n"/>
      <c r="AB18" s="561" t="n"/>
      <c r="AC18" s="561" t="n"/>
      <c r="AD18" s="561" t="n"/>
      <c r="AE18" s="561" t="n"/>
      <c r="AF18" s="561" t="n"/>
      <c r="AG18" s="561" t="n"/>
      <c r="AH18" s="561" t="n"/>
      <c r="AI18" s="561" t="n"/>
      <c r="AJ18" s="561" t="n"/>
      <c r="AK18" s="561" t="n"/>
      <c r="AL18" s="561" t="n"/>
      <c r="AM18" s="561" t="n"/>
      <c r="AN18" s="561" t="n"/>
      <c r="AT18" s="65" t="n"/>
      <c r="AU18" s="66" t="n"/>
      <c r="AV18" s="74" t="n"/>
      <c r="AW18" s="66" t="n"/>
      <c r="AX18" s="75" t="n"/>
      <c r="AY18" s="66" t="n"/>
      <c r="AZ18" s="66" t="n"/>
      <c r="BA18" s="66" t="n"/>
      <c r="BB18" s="467" t="n"/>
    </row>
    <row r="19" ht="21.95" customHeight="1" s="506" thickBot="1">
      <c r="B19" s="6" t="inlineStr">
        <is>
          <t>2. 特別保安員/普通保安員出勤時數</t>
        </is>
      </c>
      <c r="C19" s="5" t="n"/>
      <c r="D19" s="5" t="n"/>
      <c r="E19" s="5" t="n"/>
      <c r="F19" s="5" t="n"/>
      <c r="G19" s="5" t="n"/>
      <c r="H19" s="561" t="n"/>
      <c r="I19" s="561" t="n"/>
      <c r="J19" s="561" t="n"/>
      <c r="K19" s="561" t="n"/>
      <c r="L19" s="561" t="n"/>
      <c r="M19" s="561" t="n"/>
      <c r="N19" s="561" t="n"/>
      <c r="O19" s="561" t="n"/>
      <c r="P19" s="561" t="n"/>
      <c r="Q19" s="561" t="n"/>
      <c r="R19" s="561" t="n"/>
      <c r="S19" s="561" t="n"/>
      <c r="T19" s="561" t="n"/>
      <c r="U19" s="561" t="n"/>
      <c r="V19" s="561" t="n"/>
      <c r="W19" s="561" t="n"/>
      <c r="X19" s="561" t="n"/>
      <c r="Y19" s="561" t="n"/>
      <c r="Z19" s="561" t="n"/>
      <c r="AA19" s="561" t="n"/>
      <c r="AB19" s="561" t="n"/>
      <c r="AC19" s="561" t="n"/>
      <c r="AD19" s="561" t="n"/>
      <c r="AE19" s="561" t="n"/>
      <c r="AF19" s="561" t="n"/>
      <c r="AG19" s="561" t="n"/>
      <c r="AH19" s="561" t="n"/>
      <c r="AI19" s="561" t="n"/>
      <c r="AJ19" s="561" t="n"/>
      <c r="AK19" s="561" t="n"/>
      <c r="AL19" s="561" t="n"/>
      <c r="AM19" s="561" t="n"/>
      <c r="AN19" s="561" t="n"/>
      <c r="AT19" s="96" t="n"/>
      <c r="AU19" s="112" t="n"/>
      <c r="AV19" s="69" t="n"/>
      <c r="AW19" s="112" t="n"/>
      <c r="AX19" s="112" t="n"/>
      <c r="AY19" s="66" t="n"/>
      <c r="AZ19" s="66" t="n"/>
      <c r="BA19" s="66" t="n"/>
    </row>
    <row r="20" ht="30" customFormat="1" customHeight="1" s="90" thickBot="1">
      <c r="B20" s="271" t="inlineStr">
        <is>
          <t>D03</t>
        </is>
      </c>
      <c r="C20" s="412" t="inlineStr">
        <is>
          <t>0004706</t>
        </is>
      </c>
      <c r="D20" s="400" t="inlineStr">
        <is>
          <t>鄭佩英</t>
        </is>
      </c>
      <c r="E20" s="413" t="inlineStr">
        <is>
          <t>GS</t>
        </is>
      </c>
      <c r="F20" s="233" t="n"/>
      <c r="G20" s="271" t="inlineStr">
        <is>
          <t>中</t>
        </is>
      </c>
      <c r="H20" s="339" t="inlineStr">
        <is>
          <t>GS</t>
        </is>
      </c>
      <c r="I20" s="262" t="inlineStr">
        <is>
          <t>GS</t>
        </is>
      </c>
      <c r="J20" s="121" t="inlineStr">
        <is>
          <t>RD</t>
        </is>
      </c>
      <c r="K20" s="290" t="n">
        <v>8</v>
      </c>
      <c r="L20" s="262" t="inlineStr">
        <is>
          <t>GS</t>
        </is>
      </c>
      <c r="M20" s="290" t="n">
        <v>8</v>
      </c>
      <c r="N20" s="290" t="n">
        <v>8</v>
      </c>
      <c r="O20" s="121" t="inlineStr">
        <is>
          <t>RD</t>
        </is>
      </c>
      <c r="P20" s="290" t="n">
        <v>8</v>
      </c>
      <c r="Q20" s="290" t="n">
        <v>8</v>
      </c>
      <c r="R20" s="290" t="n">
        <v>8</v>
      </c>
      <c r="S20" s="290" t="n">
        <v>8</v>
      </c>
      <c r="T20" s="121" t="inlineStr">
        <is>
          <t>RD</t>
        </is>
      </c>
      <c r="U20" s="262" t="inlineStr">
        <is>
          <t>GS</t>
        </is>
      </c>
      <c r="V20" s="262" t="inlineStr">
        <is>
          <t>GS</t>
        </is>
      </c>
      <c r="W20" s="262" t="n">
        <v>8</v>
      </c>
      <c r="X20" s="262" t="inlineStr">
        <is>
          <t>GS</t>
        </is>
      </c>
      <c r="Y20" s="262" t="n">
        <v>8</v>
      </c>
      <c r="Z20" s="121" t="inlineStr">
        <is>
          <t>RD</t>
        </is>
      </c>
      <c r="AA20" s="262" t="n">
        <v>8</v>
      </c>
      <c r="AB20" s="262" t="inlineStr">
        <is>
          <t>GS</t>
        </is>
      </c>
      <c r="AC20" s="262" t="inlineStr">
        <is>
          <t>GS</t>
        </is>
      </c>
      <c r="AD20" s="262" t="inlineStr">
        <is>
          <t>GS</t>
        </is>
      </c>
      <c r="AE20" s="262" t="n">
        <v>8</v>
      </c>
      <c r="AF20" s="290" t="n">
        <v>8</v>
      </c>
      <c r="AG20" s="290" t="n">
        <v>8</v>
      </c>
      <c r="AH20" s="290" t="n">
        <v>8</v>
      </c>
      <c r="AI20" s="121" t="inlineStr">
        <is>
          <t>RD</t>
        </is>
      </c>
      <c r="AJ20" s="262" t="inlineStr">
        <is>
          <t>GS</t>
        </is>
      </c>
      <c r="AK20" s="262" t="n">
        <v>8</v>
      </c>
      <c r="AL20" s="263" t="n">
        <v>8</v>
      </c>
      <c r="AM20" s="246">
        <f>COUNT(H20:AL20)</f>
        <v/>
      </c>
      <c r="AN20" s="271">
        <f>SUM(H20:AL20)</f>
        <v/>
      </c>
      <c r="AO20" s="98">
        <f>COUNTIFS($H20:$AL20,$AO$6)</f>
        <v/>
      </c>
      <c r="AP20" s="98">
        <f>COUNTIFS($H20:$AL20,$AP$6)</f>
        <v/>
      </c>
      <c r="AQ20" s="98">
        <f>COUNTIFS($H20:$AL20,$AQ$6)</f>
        <v/>
      </c>
      <c r="AR20" s="98">
        <f>COUNTIFS($H20:$AL20,$AR$6)</f>
        <v/>
      </c>
      <c r="AS20" s="98">
        <f>COUNTIFS($H20:$AL20,$AS$6)</f>
        <v/>
      </c>
      <c r="AT20" s="62" t="n">
        <v>5</v>
      </c>
      <c r="AU20" s="70">
        <f>COUNTIF(H20:AL20,"RD")</f>
        <v/>
      </c>
      <c r="AV20" s="70">
        <f>AT20-AU20</f>
        <v/>
      </c>
      <c r="AW20" s="70">
        <f>COUNTIF(H20:AL20,"SH")</f>
        <v/>
      </c>
      <c r="AX20" s="70">
        <f>AV20-AW20</f>
        <v/>
      </c>
      <c r="AY20" s="70">
        <f>COUNTIF(H20:AL20,"np")</f>
        <v/>
      </c>
      <c r="AZ20" s="70">
        <f>COUNTIF(H20:AL20,"AL*")</f>
        <v/>
      </c>
      <c r="BA20" s="70">
        <f>COUNTIF(H20:AL20,"NC*")</f>
        <v/>
      </c>
      <c r="BB20" s="76" t="n"/>
    </row>
    <row r="21" ht="30" customFormat="1" customHeight="1" s="270">
      <c r="B21" s="410" t="inlineStr">
        <is>
          <t>D04</t>
        </is>
      </c>
      <c r="C21" s="284" t="inlineStr">
        <is>
          <t>0004721</t>
        </is>
      </c>
      <c r="D21" s="401" t="inlineStr">
        <is>
          <t>陳月霞</t>
        </is>
      </c>
      <c r="E21" s="271" t="inlineStr">
        <is>
          <t>SG/G</t>
        </is>
      </c>
      <c r="F21" s="246" t="n"/>
      <c r="G21" s="245" t="inlineStr">
        <is>
          <t>中</t>
        </is>
      </c>
      <c r="H21" s="266" t="inlineStr">
        <is>
          <t>GS</t>
        </is>
      </c>
      <c r="I21" s="44" t="inlineStr">
        <is>
          <t>RD</t>
        </is>
      </c>
      <c r="J21" s="260" t="n">
        <v>8</v>
      </c>
      <c r="K21" s="273" t="n">
        <v>8</v>
      </c>
      <c r="L21" s="273" t="n">
        <v>8</v>
      </c>
      <c r="M21" s="273" t="n">
        <v>8</v>
      </c>
      <c r="N21" s="44" t="inlineStr">
        <is>
          <t>RD</t>
        </is>
      </c>
      <c r="O21" s="260" t="n">
        <v>8</v>
      </c>
      <c r="P21" s="273" t="n">
        <v>8</v>
      </c>
      <c r="Q21" s="273" t="n">
        <v>8</v>
      </c>
      <c r="R21" s="273" t="n">
        <v>8</v>
      </c>
      <c r="S21" s="273" t="n">
        <v>8</v>
      </c>
      <c r="T21" s="260" t="n">
        <v>8</v>
      </c>
      <c r="U21" s="260" t="inlineStr">
        <is>
          <t>GS</t>
        </is>
      </c>
      <c r="V21" s="273" t="n">
        <v>8</v>
      </c>
      <c r="W21" s="44" t="inlineStr">
        <is>
          <t>RD</t>
        </is>
      </c>
      <c r="X21" s="260" t="n">
        <v>8</v>
      </c>
      <c r="Y21" s="273" t="n">
        <v>8</v>
      </c>
      <c r="Z21" s="260" t="n">
        <v>8</v>
      </c>
      <c r="AA21" s="273" t="n">
        <v>8</v>
      </c>
      <c r="AB21" s="273" t="n">
        <v>8</v>
      </c>
      <c r="AC21" s="273" t="n">
        <v>8</v>
      </c>
      <c r="AD21" s="44" t="inlineStr">
        <is>
          <t>RD</t>
        </is>
      </c>
      <c r="AE21" s="273" t="n">
        <v>8</v>
      </c>
      <c r="AF21" s="273" t="n">
        <v>8</v>
      </c>
      <c r="AG21" s="273" t="n">
        <v>8</v>
      </c>
      <c r="AH21" s="273" t="n">
        <v>8</v>
      </c>
      <c r="AI21" s="260" t="inlineStr">
        <is>
          <t>GS</t>
        </is>
      </c>
      <c r="AJ21" s="273" t="n">
        <v>8</v>
      </c>
      <c r="AK21" s="273" t="n">
        <v>8</v>
      </c>
      <c r="AL21" s="340" t="inlineStr">
        <is>
          <t>RD</t>
        </is>
      </c>
      <c r="AM21" s="299">
        <f>COUNT(H21:AL21)</f>
        <v/>
      </c>
      <c r="AN21" s="414">
        <f>SUM(H21:AL21)</f>
        <v/>
      </c>
      <c r="AO21" s="181">
        <f>COUNTIFS($H21:$AL21,$AO$6)</f>
        <v/>
      </c>
      <c r="AP21" s="63">
        <f>COUNTIFS($H21:$AL21,$AP$6)</f>
        <v/>
      </c>
      <c r="AQ21" s="63">
        <f>COUNTIFS($H21:$AL21,$AQ$6)</f>
        <v/>
      </c>
      <c r="AR21" s="63">
        <f>COUNTIFS($H21:$AL21,$AR$6)</f>
        <v/>
      </c>
      <c r="AS21" s="63">
        <f>COUNTIFS($H21:$AL21,$AS$6)</f>
        <v/>
      </c>
      <c r="AT21" s="63" t="n">
        <v>5</v>
      </c>
      <c r="AU21" s="221">
        <f>COUNTIF(H21:AL21,"RD")</f>
        <v/>
      </c>
      <c r="AV21" s="221">
        <f>AT21-AU21</f>
        <v/>
      </c>
      <c r="AW21" s="221">
        <f>COUNTIF(H21:AL21,"SH")</f>
        <v/>
      </c>
      <c r="AX21" s="221">
        <f>COUNTIF(H21:AL21,"SL")</f>
        <v/>
      </c>
      <c r="AY21" s="221">
        <f>COUNTIF(H21:AL21,"np")</f>
        <v/>
      </c>
      <c r="AZ21" s="221">
        <f>COUNTIF(H21:AL21,"AL*")</f>
        <v/>
      </c>
      <c r="BA21" s="221">
        <f>COUNTIF(H21:AL21,"NC*")</f>
        <v/>
      </c>
      <c r="BB21" s="77" t="n"/>
    </row>
    <row r="22" ht="30" customFormat="1" customHeight="1" s="270">
      <c r="B22" s="410" t="inlineStr">
        <is>
          <t>D05</t>
        </is>
      </c>
      <c r="C22" s="248" t="inlineStr">
        <is>
          <t>0004592</t>
        </is>
      </c>
      <c r="D22" s="346" t="inlineStr">
        <is>
          <t>吳麗萍</t>
        </is>
      </c>
      <c r="E22" s="245" t="inlineStr">
        <is>
          <t>SG/G</t>
        </is>
      </c>
      <c r="F22" s="241" t="inlineStr">
        <is>
          <t>SECU_G(M)</t>
        </is>
      </c>
      <c r="G22" s="245" t="inlineStr">
        <is>
          <t>中</t>
        </is>
      </c>
      <c r="H22" s="341" t="n">
        <v>8</v>
      </c>
      <c r="I22" s="273" t="n">
        <v>8</v>
      </c>
      <c r="J22" s="273" t="n">
        <v>8</v>
      </c>
      <c r="K22" s="273" t="n">
        <v>8</v>
      </c>
      <c r="L22" s="273" t="n">
        <v>8</v>
      </c>
      <c r="M22" s="44" t="inlineStr">
        <is>
          <t>RD</t>
        </is>
      </c>
      <c r="N22" s="273" t="n">
        <v>8</v>
      </c>
      <c r="O22" s="273" t="n">
        <v>8</v>
      </c>
      <c r="P22" s="273" t="n">
        <v>8</v>
      </c>
      <c r="Q22" s="273" t="n">
        <v>8</v>
      </c>
      <c r="R22" s="273" t="n">
        <v>8</v>
      </c>
      <c r="S22" s="273" t="n">
        <v>8</v>
      </c>
      <c r="T22" s="273" t="n">
        <v>8</v>
      </c>
      <c r="U22" s="44" t="inlineStr">
        <is>
          <t>RD</t>
        </is>
      </c>
      <c r="V22" s="44" t="inlineStr">
        <is>
          <t>RD</t>
        </is>
      </c>
      <c r="W22" s="273" t="n">
        <v>8</v>
      </c>
      <c r="X22" s="273" t="n">
        <v>8</v>
      </c>
      <c r="Y22" s="273" t="n">
        <v>8</v>
      </c>
      <c r="Z22" s="44" t="inlineStr">
        <is>
          <t>RD</t>
        </is>
      </c>
      <c r="AA22" s="273" t="n">
        <v>8</v>
      </c>
      <c r="AB22" s="273" t="n">
        <v>8</v>
      </c>
      <c r="AC22" s="273" t="n">
        <v>8</v>
      </c>
      <c r="AD22" s="273" t="n">
        <v>8</v>
      </c>
      <c r="AE22" s="273" t="n">
        <v>8</v>
      </c>
      <c r="AF22" s="44" t="inlineStr">
        <is>
          <t>RD</t>
        </is>
      </c>
      <c r="AG22" s="273" t="n">
        <v>8</v>
      </c>
      <c r="AH22" s="273" t="n">
        <v>8</v>
      </c>
      <c r="AI22" s="273" t="n">
        <v>8</v>
      </c>
      <c r="AJ22" s="273" t="n">
        <v>8</v>
      </c>
      <c r="AK22" s="273" t="n">
        <v>8</v>
      </c>
      <c r="AL22" s="342" t="n">
        <v>8</v>
      </c>
      <c r="AM22" s="241">
        <f>COUNT(H22:AL22)</f>
        <v/>
      </c>
      <c r="AN22" s="245">
        <f>SUM(H22:AL22)</f>
        <v/>
      </c>
      <c r="AO22" s="181">
        <f>COUNTIFS($H22:$AL22,$AO$6)</f>
        <v/>
      </c>
      <c r="AP22" s="63">
        <f>COUNTIFS($H22:$AL22,$AP$6)</f>
        <v/>
      </c>
      <c r="AQ22" s="63">
        <f>COUNTIFS($H22:$AL22,$AQ$6)</f>
        <v/>
      </c>
      <c r="AR22" s="63">
        <f>COUNTIFS($H22:$AL22,$AR$6)</f>
        <v/>
      </c>
      <c r="AS22" s="63">
        <f>COUNTIFS($H22:$AL22,$AS$6)</f>
        <v/>
      </c>
      <c r="AT22" s="63" t="n">
        <v>5</v>
      </c>
      <c r="AU22" s="221">
        <f>COUNTIF(H22:AL22,"RD")</f>
        <v/>
      </c>
      <c r="AV22" s="221">
        <f>AT22-AU22</f>
        <v/>
      </c>
      <c r="AW22" s="221">
        <f>COUNTIF(H22:AL22,"SH")</f>
        <v/>
      </c>
      <c r="AX22" s="221">
        <f>COUNTIF(H22:AL22,"SL")</f>
        <v/>
      </c>
      <c r="AY22" s="221">
        <f>COUNTIF(H22:AL22,"np")</f>
        <v/>
      </c>
      <c r="AZ22" s="221">
        <f>COUNTIF(H22:AL22,"AL*")</f>
        <v/>
      </c>
      <c r="BA22" s="221">
        <f>COUNTIF(H22:AL22,"NC*")</f>
        <v/>
      </c>
      <c r="BB22" s="77" t="n"/>
    </row>
    <row r="23" ht="30" customFormat="1" customHeight="1" s="270">
      <c r="B23" s="410" t="inlineStr">
        <is>
          <t>D06</t>
        </is>
      </c>
      <c r="C23" s="248" t="inlineStr">
        <is>
          <t>0004593</t>
        </is>
      </c>
      <c r="D23" s="346" t="inlineStr">
        <is>
          <t>潘美雲</t>
        </is>
      </c>
      <c r="E23" s="245" t="inlineStr">
        <is>
          <t>SG/G</t>
        </is>
      </c>
      <c r="F23" s="241" t="inlineStr">
        <is>
          <t>SECU_G(M)</t>
        </is>
      </c>
      <c r="G23" s="245" t="inlineStr">
        <is>
          <t>中</t>
        </is>
      </c>
      <c r="H23" s="341" t="n">
        <v>8</v>
      </c>
      <c r="I23" s="273" t="n">
        <v>8</v>
      </c>
      <c r="J23" s="273" t="n">
        <v>8</v>
      </c>
      <c r="K23" s="273" t="n">
        <v>8</v>
      </c>
      <c r="L23" s="273" t="n">
        <v>8</v>
      </c>
      <c r="M23" s="273" t="n">
        <v>8</v>
      </c>
      <c r="N23" s="44" t="inlineStr">
        <is>
          <t>RD</t>
        </is>
      </c>
      <c r="O23" s="273" t="n">
        <v>8</v>
      </c>
      <c r="P23" s="273" t="n">
        <v>8</v>
      </c>
      <c r="Q23" s="273" t="n">
        <v>8</v>
      </c>
      <c r="R23" s="44" t="inlineStr">
        <is>
          <t>RD</t>
        </is>
      </c>
      <c r="S23" s="273" t="n">
        <v>8</v>
      </c>
      <c r="T23" s="273" t="n">
        <v>8</v>
      </c>
      <c r="U23" s="273" t="n">
        <v>8</v>
      </c>
      <c r="V23" s="273" t="n">
        <v>8</v>
      </c>
      <c r="W23" s="44" t="inlineStr">
        <is>
          <t>RD</t>
        </is>
      </c>
      <c r="X23" s="273" t="n">
        <v>8</v>
      </c>
      <c r="Y23" s="273" t="n">
        <v>8</v>
      </c>
      <c r="Z23" s="273" t="n">
        <v>8</v>
      </c>
      <c r="AA23" s="273" t="n">
        <v>8</v>
      </c>
      <c r="AB23" s="273" t="n">
        <v>8</v>
      </c>
      <c r="AC23" s="44" t="inlineStr">
        <is>
          <t>RD</t>
        </is>
      </c>
      <c r="AD23" s="273" t="n">
        <v>8</v>
      </c>
      <c r="AE23" s="273" t="n">
        <v>8</v>
      </c>
      <c r="AF23" s="273" t="n">
        <v>8</v>
      </c>
      <c r="AG23" s="273" t="n">
        <v>8</v>
      </c>
      <c r="AH23" s="273" t="n">
        <v>8</v>
      </c>
      <c r="AI23" s="273" t="n">
        <v>8</v>
      </c>
      <c r="AJ23" s="273" t="n">
        <v>8</v>
      </c>
      <c r="AK23" s="44" t="inlineStr">
        <is>
          <t>RD</t>
        </is>
      </c>
      <c r="AL23" s="342" t="n">
        <v>8</v>
      </c>
      <c r="AM23" s="241">
        <f>COUNT(H23:AL23)</f>
        <v/>
      </c>
      <c r="AN23" s="245">
        <f>SUM(H23:AL23)</f>
        <v/>
      </c>
      <c r="AO23" s="181">
        <f>COUNTIFS($H23:$AL23,$AO$6)</f>
        <v/>
      </c>
      <c r="AP23" s="63">
        <f>COUNTIFS($H23:$AL23,$AP$6)</f>
        <v/>
      </c>
      <c r="AQ23" s="63">
        <f>COUNTIFS($H23:$AL23,$AQ$6)</f>
        <v/>
      </c>
      <c r="AR23" s="63">
        <f>COUNTIFS($H23:$AL23,$AR$6)</f>
        <v/>
      </c>
      <c r="AS23" s="63">
        <f>COUNTIFS($H23:$AL23,$AS$6)</f>
        <v/>
      </c>
      <c r="AT23" s="63">
        <f>AT22</f>
        <v/>
      </c>
      <c r="AU23" s="221">
        <f>COUNTIF(H23:AL23,"RD")</f>
        <v/>
      </c>
      <c r="AV23" s="221">
        <f>AT23-AU23</f>
        <v/>
      </c>
      <c r="AW23" s="221">
        <f>COUNTIF(H23:AL23,"SH")</f>
        <v/>
      </c>
      <c r="AX23" s="221">
        <f>COUNTIF(H23:AL23,"SL")</f>
        <v/>
      </c>
      <c r="AY23" s="221">
        <f>COUNTIF(H23:AL23,"np")</f>
        <v/>
      </c>
      <c r="AZ23" s="221">
        <f>COUNTIF(H23:AL23,"AL*")</f>
        <v/>
      </c>
      <c r="BA23" s="221">
        <f>COUNTIF(H23:AL23,"NC*")</f>
        <v/>
      </c>
      <c r="BB23" s="77" t="n"/>
    </row>
    <row r="24" ht="30" customFormat="1" customHeight="1" s="270">
      <c r="B24" s="410" t="inlineStr">
        <is>
          <t>D07</t>
        </is>
      </c>
      <c r="C24" s="248" t="inlineStr">
        <is>
          <t>0004701</t>
        </is>
      </c>
      <c r="D24" s="346" t="inlineStr">
        <is>
          <t>蘇栢棋</t>
        </is>
      </c>
      <c r="E24" s="245" t="inlineStr">
        <is>
          <t>SG/G</t>
        </is>
      </c>
      <c r="F24" s="241" t="inlineStr">
        <is>
          <t>SECU_G(M)</t>
        </is>
      </c>
      <c r="G24" s="245" t="inlineStr">
        <is>
          <t>中</t>
        </is>
      </c>
      <c r="H24" s="341" t="n">
        <v>8</v>
      </c>
      <c r="I24" s="273" t="inlineStr">
        <is>
          <t>FH</t>
        </is>
      </c>
      <c r="J24" s="44" t="inlineStr">
        <is>
          <t>RD</t>
        </is>
      </c>
      <c r="K24" s="273" t="n">
        <v>8</v>
      </c>
      <c r="L24" s="273" t="n">
        <v>8</v>
      </c>
      <c r="M24" s="273" t="n">
        <v>8</v>
      </c>
      <c r="N24" s="273" t="n">
        <v>8</v>
      </c>
      <c r="O24" s="44" t="inlineStr">
        <is>
          <t>RD</t>
        </is>
      </c>
      <c r="P24" s="273" t="n">
        <v>8</v>
      </c>
      <c r="Q24" s="273" t="n">
        <v>8</v>
      </c>
      <c r="R24" s="273" t="n">
        <v>8</v>
      </c>
      <c r="S24" s="44" t="inlineStr">
        <is>
          <t>RD</t>
        </is>
      </c>
      <c r="T24" s="273" t="n">
        <v>8</v>
      </c>
      <c r="U24" s="273" t="n">
        <v>8</v>
      </c>
      <c r="V24" s="273" t="n">
        <v>8</v>
      </c>
      <c r="W24" s="273" t="n">
        <v>8</v>
      </c>
      <c r="X24" s="273" t="n">
        <v>8</v>
      </c>
      <c r="Y24" s="44" t="inlineStr">
        <is>
          <t>RD</t>
        </is>
      </c>
      <c r="Z24" s="273" t="n">
        <v>8</v>
      </c>
      <c r="AA24" s="273" t="n">
        <v>8</v>
      </c>
      <c r="AB24" s="273" t="n">
        <v>8</v>
      </c>
      <c r="AC24" s="273" t="n">
        <v>8</v>
      </c>
      <c r="AD24" s="273" t="n">
        <v>8</v>
      </c>
      <c r="AE24" s="44" t="inlineStr">
        <is>
          <t>RD</t>
        </is>
      </c>
      <c r="AF24" s="273" t="n">
        <v>8</v>
      </c>
      <c r="AG24" s="273" t="n">
        <v>8</v>
      </c>
      <c r="AH24" s="273" t="n">
        <v>8</v>
      </c>
      <c r="AI24" s="273" t="n">
        <v>8</v>
      </c>
      <c r="AJ24" s="273" t="n">
        <v>8</v>
      </c>
      <c r="AK24" s="273" t="n">
        <v>8</v>
      </c>
      <c r="AL24" s="342" t="n">
        <v>8</v>
      </c>
      <c r="AM24" s="241">
        <f>COUNT(H24:AL24)</f>
        <v/>
      </c>
      <c r="AN24" s="245">
        <f>SUM(H24:AL24)</f>
        <v/>
      </c>
      <c r="AO24" s="181">
        <f>COUNTIFS($H24:$AL24,$AO$6)</f>
        <v/>
      </c>
      <c r="AP24" s="63">
        <f>COUNTIFS($H24:$AL24,$AP$6)</f>
        <v/>
      </c>
      <c r="AQ24" s="63">
        <f>COUNTIFS($H24:$AL24,$AQ$6)</f>
        <v/>
      </c>
      <c r="AR24" s="63">
        <f>COUNTIFS($H24:$AL24,$AR$6)</f>
        <v/>
      </c>
      <c r="AS24" s="63">
        <f>COUNTIFS($H24:$AL24,$AS$6)</f>
        <v/>
      </c>
      <c r="AT24" s="63">
        <f>AT23</f>
        <v/>
      </c>
      <c r="AU24" s="221">
        <f>COUNTIF(H24:AL24,"RD")</f>
        <v/>
      </c>
      <c r="AV24" s="221">
        <f>AT24-AU24</f>
        <v/>
      </c>
      <c r="AW24" s="221">
        <f>COUNTIF(H24:AL24,"SH")</f>
        <v/>
      </c>
      <c r="AX24" s="221">
        <f>COUNTIF(H24:AL24,"SL")</f>
        <v/>
      </c>
      <c r="AY24" s="221">
        <f>COUNTIF(H24:AL24,"np")</f>
        <v/>
      </c>
      <c r="AZ24" s="221">
        <f>COUNTIF(H24:AL24,"AL*")</f>
        <v/>
      </c>
      <c r="BA24" s="221">
        <f>COUNTIF(H24:AL24,"NC*")</f>
        <v/>
      </c>
      <c r="BB24" s="77" t="n"/>
    </row>
    <row r="25" ht="30" customFormat="1" customHeight="1" s="270">
      <c r="B25" s="410" t="inlineStr">
        <is>
          <t>D08</t>
        </is>
      </c>
      <c r="C25" s="248" t="inlineStr">
        <is>
          <t>0004702</t>
        </is>
      </c>
      <c r="D25" s="345" t="inlineStr">
        <is>
          <t>黃亞君</t>
        </is>
      </c>
      <c r="E25" s="245" t="inlineStr">
        <is>
          <t>SG/G</t>
        </is>
      </c>
      <c r="F25" s="241" t="inlineStr">
        <is>
          <t>SECU_G(M)</t>
        </is>
      </c>
      <c r="G25" s="245" t="inlineStr">
        <is>
          <t>中</t>
        </is>
      </c>
      <c r="H25" s="341" t="n">
        <v>8</v>
      </c>
      <c r="I25" s="44" t="inlineStr">
        <is>
          <t>RD</t>
        </is>
      </c>
      <c r="J25" s="273" t="n">
        <v>8</v>
      </c>
      <c r="K25" s="273" t="n">
        <v>8</v>
      </c>
      <c r="L25" s="273" t="n">
        <v>8</v>
      </c>
      <c r="M25" s="273" t="n">
        <v>8</v>
      </c>
      <c r="N25" s="273" t="n">
        <v>8</v>
      </c>
      <c r="O25" s="273" t="n">
        <v>8</v>
      </c>
      <c r="P25" s="44" t="inlineStr">
        <is>
          <t>RD</t>
        </is>
      </c>
      <c r="Q25" s="273" t="n">
        <v>8</v>
      </c>
      <c r="R25" s="273" t="n">
        <v>8</v>
      </c>
      <c r="S25" s="273" t="n">
        <v>8</v>
      </c>
      <c r="T25" s="273" t="n">
        <v>8</v>
      </c>
      <c r="U25" s="273" t="n">
        <v>8</v>
      </c>
      <c r="V25" s="273" t="n">
        <v>8</v>
      </c>
      <c r="W25" s="273" t="n">
        <v>8</v>
      </c>
      <c r="X25" s="327" t="n">
        <v>8</v>
      </c>
      <c r="Y25" s="44" t="inlineStr">
        <is>
          <t>RD</t>
        </is>
      </c>
      <c r="Z25" s="44" t="inlineStr">
        <is>
          <t>RD</t>
        </is>
      </c>
      <c r="AA25" s="273" t="n">
        <v>8</v>
      </c>
      <c r="AB25" s="327" t="n">
        <v>8</v>
      </c>
      <c r="AC25" s="273" t="n">
        <v>8</v>
      </c>
      <c r="AD25" s="273" t="n">
        <v>8</v>
      </c>
      <c r="AE25" s="273" t="n">
        <v>8</v>
      </c>
      <c r="AF25" s="273" t="n">
        <v>8</v>
      </c>
      <c r="AG25" s="273" t="n">
        <v>8</v>
      </c>
      <c r="AH25" s="273" t="n">
        <v>8</v>
      </c>
      <c r="AI25" s="273" t="n">
        <v>8</v>
      </c>
      <c r="AJ25" s="273" t="n">
        <v>8</v>
      </c>
      <c r="AK25" s="44" t="inlineStr">
        <is>
          <t>RD</t>
        </is>
      </c>
      <c r="AL25" s="342" t="n">
        <v>8</v>
      </c>
      <c r="AM25" s="241">
        <f>COUNT(H25:AL25)</f>
        <v/>
      </c>
      <c r="AN25" s="245">
        <f>SUM(H25:AL25)</f>
        <v/>
      </c>
      <c r="AO25" s="181">
        <f>COUNTIFS($H25:$AL25,$AO$6)</f>
        <v/>
      </c>
      <c r="AP25" s="63">
        <f>COUNTIFS($H25:$AL25,$AP$6)</f>
        <v/>
      </c>
      <c r="AQ25" s="63">
        <f>COUNTIFS($H25:$AL25,$AQ$6)</f>
        <v/>
      </c>
      <c r="AR25" s="63">
        <f>COUNTIFS($H25:$AL25,$AR$6)</f>
        <v/>
      </c>
      <c r="AS25" s="63">
        <f>COUNTIFS($H25:$AL25,$AS$6)</f>
        <v/>
      </c>
      <c r="AT25" s="63">
        <f>AT24</f>
        <v/>
      </c>
      <c r="AU25" s="221">
        <f>COUNTIF(H25:AL25,"RD")</f>
        <v/>
      </c>
      <c r="AV25" s="221">
        <f>AT25-AU25</f>
        <v/>
      </c>
      <c r="AW25" s="221">
        <f>COUNTIF(H25:AL25,"SH")</f>
        <v/>
      </c>
      <c r="AX25" s="221">
        <f>COUNTIF(H25:AL25,"SL")</f>
        <v/>
      </c>
      <c r="AY25" s="221">
        <f>COUNTIF(H25:AL25,"np")</f>
        <v/>
      </c>
      <c r="AZ25" s="221">
        <f>COUNTIF(H25:AL25,"AL*")</f>
        <v/>
      </c>
      <c r="BA25" s="221">
        <f>COUNTIF(H25:AL25,"NC*")</f>
        <v/>
      </c>
      <c r="BB25" s="77" t="n"/>
    </row>
    <row r="26" ht="30" customFormat="1" customHeight="1" s="240">
      <c r="A26" s="270" t="n"/>
      <c r="B26" s="410" t="inlineStr">
        <is>
          <t>D09</t>
        </is>
      </c>
      <c r="C26" s="248" t="inlineStr">
        <is>
          <t>0004703</t>
        </is>
      </c>
      <c r="D26" s="345" t="inlineStr">
        <is>
          <t>張碧雲</t>
        </is>
      </c>
      <c r="E26" s="245" t="inlineStr">
        <is>
          <t>SG/G</t>
        </is>
      </c>
      <c r="F26" s="241" t="inlineStr">
        <is>
          <t>SECU_G(M)</t>
        </is>
      </c>
      <c r="G26" s="245" t="inlineStr">
        <is>
          <t>中</t>
        </is>
      </c>
      <c r="H26" s="341" t="n">
        <v>8</v>
      </c>
      <c r="I26" s="273" t="n">
        <v>8</v>
      </c>
      <c r="J26" s="273" t="n">
        <v>8</v>
      </c>
      <c r="K26" s="273" t="n">
        <v>8</v>
      </c>
      <c r="L26" s="273" t="n">
        <v>8</v>
      </c>
      <c r="M26" s="44" t="inlineStr">
        <is>
          <t>RD</t>
        </is>
      </c>
      <c r="N26" s="273" t="n">
        <v>8</v>
      </c>
      <c r="O26" s="273" t="n">
        <v>8</v>
      </c>
      <c r="P26" s="273" t="inlineStr">
        <is>
          <t>SL</t>
        </is>
      </c>
      <c r="Q26" s="273" t="inlineStr">
        <is>
          <t>SL</t>
        </is>
      </c>
      <c r="R26" s="273" t="inlineStr">
        <is>
          <t>SL</t>
        </is>
      </c>
      <c r="S26" s="273" t="inlineStr">
        <is>
          <t>SL</t>
        </is>
      </c>
      <c r="T26" s="273" t="n">
        <v>8</v>
      </c>
      <c r="U26" s="44" t="inlineStr">
        <is>
          <t>RD</t>
        </is>
      </c>
      <c r="V26" s="273" t="n">
        <v>8</v>
      </c>
      <c r="W26" s="273" t="n">
        <v>8</v>
      </c>
      <c r="X26" s="273" t="n">
        <v>8</v>
      </c>
      <c r="Y26" s="273" t="n">
        <v>8</v>
      </c>
      <c r="Z26" s="273" t="n">
        <v>8</v>
      </c>
      <c r="AA26" s="44" t="inlineStr">
        <is>
          <t>RD</t>
        </is>
      </c>
      <c r="AB26" s="44" t="inlineStr">
        <is>
          <t>RD</t>
        </is>
      </c>
      <c r="AC26" s="273" t="n">
        <v>8</v>
      </c>
      <c r="AD26" s="273" t="n">
        <v>8</v>
      </c>
      <c r="AE26" s="273" t="n">
        <v>8</v>
      </c>
      <c r="AF26" s="273" t="n">
        <v>8</v>
      </c>
      <c r="AG26" s="273" t="n">
        <v>8</v>
      </c>
      <c r="AH26" s="273" t="n">
        <v>8</v>
      </c>
      <c r="AI26" s="44" t="inlineStr">
        <is>
          <t>RD</t>
        </is>
      </c>
      <c r="AJ26" s="273" t="n">
        <v>8</v>
      </c>
      <c r="AK26" s="273" t="n">
        <v>8</v>
      </c>
      <c r="AL26" s="342" t="n">
        <v>8</v>
      </c>
      <c r="AM26" s="241">
        <f>COUNT(H26:AL26)</f>
        <v/>
      </c>
      <c r="AN26" s="245">
        <f>SUM(H26:AL26)</f>
        <v/>
      </c>
      <c r="AO26" s="181">
        <f>COUNTIFS($H26:$AL26,$AO$6)</f>
        <v/>
      </c>
      <c r="AP26" s="63">
        <f>COUNTIFS($H26:$AL26,$AP$6)</f>
        <v/>
      </c>
      <c r="AQ26" s="63">
        <f>COUNTIFS($H26:$AL26,$AQ$6)</f>
        <v/>
      </c>
      <c r="AR26" s="63">
        <f>COUNTIFS($H26:$AL26,$AR$6)</f>
        <v/>
      </c>
      <c r="AS26" s="63">
        <f>COUNTIFS($H26:$AL26,$AS$6)</f>
        <v/>
      </c>
      <c r="AT26" s="63">
        <f>AT25</f>
        <v/>
      </c>
      <c r="AU26" s="221">
        <f>COUNTIF(H26:AL26,"RD")</f>
        <v/>
      </c>
      <c r="AV26" s="221">
        <f>AT26-AU26</f>
        <v/>
      </c>
      <c r="AW26" s="221">
        <f>COUNTIF(H26:AL26,"SH")</f>
        <v/>
      </c>
      <c r="AX26" s="221">
        <f>COUNTIF(H26:AL26,"SL")</f>
        <v/>
      </c>
      <c r="AY26" s="221">
        <f>COUNTIF(H26:AL26,"np")</f>
        <v/>
      </c>
      <c r="AZ26" s="221">
        <f>COUNTIF(H26:AL26,"AL*")</f>
        <v/>
      </c>
      <c r="BA26" s="221">
        <f>COUNTIF(H26:AL26,"NC*")</f>
        <v/>
      </c>
      <c r="BB26" s="77" t="n"/>
      <c r="BC26" s="270" t="n"/>
    </row>
    <row r="27" ht="30" customFormat="1" customHeight="1" s="270">
      <c r="B27" s="410" t="inlineStr">
        <is>
          <t>D10</t>
        </is>
      </c>
      <c r="C27" s="248" t="inlineStr">
        <is>
          <t>0004704</t>
        </is>
      </c>
      <c r="D27" s="345" t="inlineStr">
        <is>
          <t>詹桂美</t>
        </is>
      </c>
      <c r="E27" s="245" t="inlineStr">
        <is>
          <t>SG/G</t>
        </is>
      </c>
      <c r="F27" s="241" t="inlineStr">
        <is>
          <t>SECU_G(M)</t>
        </is>
      </c>
      <c r="G27" s="245" t="inlineStr">
        <is>
          <t>中</t>
        </is>
      </c>
      <c r="H27" s="341" t="n">
        <v>8</v>
      </c>
      <c r="I27" s="273" t="n">
        <v>8</v>
      </c>
      <c r="J27" s="273" t="n">
        <v>8</v>
      </c>
      <c r="K27" s="273" t="n">
        <v>8</v>
      </c>
      <c r="L27" s="273" t="n">
        <v>8</v>
      </c>
      <c r="M27" s="273" t="inlineStr">
        <is>
          <t>WTT</t>
        </is>
      </c>
      <c r="N27" s="273" t="n">
        <v>8</v>
      </c>
      <c r="O27" s="273" t="n">
        <v>8</v>
      </c>
      <c r="P27" s="273" t="n">
        <v>8</v>
      </c>
      <c r="Q27" s="273" t="n">
        <v>8</v>
      </c>
      <c r="R27" s="44" t="inlineStr">
        <is>
          <t>RD</t>
        </is>
      </c>
      <c r="S27" s="273" t="n">
        <v>8</v>
      </c>
      <c r="T27" s="273" t="inlineStr">
        <is>
          <t>WTT</t>
        </is>
      </c>
      <c r="U27" s="273" t="n">
        <v>8</v>
      </c>
      <c r="V27" s="273" t="n">
        <v>8</v>
      </c>
      <c r="W27" s="273" t="n">
        <v>8</v>
      </c>
      <c r="X27" s="273" t="n">
        <v>8</v>
      </c>
      <c r="Y27" s="44" t="inlineStr">
        <is>
          <t>RD</t>
        </is>
      </c>
      <c r="Z27" s="273" t="n">
        <v>8</v>
      </c>
      <c r="AA27" s="273" t="inlineStr">
        <is>
          <t>WTT</t>
        </is>
      </c>
      <c r="AB27" s="273" t="inlineStr">
        <is>
          <t>WTT</t>
        </is>
      </c>
      <c r="AC27" s="273" t="inlineStr">
        <is>
          <t>WTT</t>
        </is>
      </c>
      <c r="AD27" s="273" t="inlineStr">
        <is>
          <t>WTT</t>
        </is>
      </c>
      <c r="AE27" s="273" t="inlineStr">
        <is>
          <t>WTT</t>
        </is>
      </c>
      <c r="AF27" s="273" t="n">
        <v>8</v>
      </c>
      <c r="AG27" s="273" t="n">
        <v>8</v>
      </c>
      <c r="AH27" s="273" t="n">
        <v>8</v>
      </c>
      <c r="AI27" s="273" t="n">
        <v>8</v>
      </c>
      <c r="AJ27" s="44" t="inlineStr">
        <is>
          <t>RD</t>
        </is>
      </c>
      <c r="AK27" s="44" t="inlineStr">
        <is>
          <t>RD</t>
        </is>
      </c>
      <c r="AL27" s="340" t="inlineStr">
        <is>
          <t>RD</t>
        </is>
      </c>
      <c r="AM27" s="241">
        <f>COUNT(H27:AL27)</f>
        <v/>
      </c>
      <c r="AN27" s="245">
        <f>SUM(H27:AL27)</f>
        <v/>
      </c>
      <c r="AO27" s="181">
        <f>COUNTIFS($H27:$AL27,$AO$6)</f>
        <v/>
      </c>
      <c r="AP27" s="63">
        <f>COUNTIFS($H27:$AL27,$AP$6)</f>
        <v/>
      </c>
      <c r="AQ27" s="63">
        <f>COUNTIFS($H27:$AL27,$AQ$6)</f>
        <v/>
      </c>
      <c r="AR27" s="63">
        <f>COUNTIFS($H27:$AL27,$AR$6)</f>
        <v/>
      </c>
      <c r="AS27" s="63">
        <f>COUNTIFS($H27:$AL27,$AS$6)</f>
        <v/>
      </c>
      <c r="AT27" s="63">
        <f>AT26</f>
        <v/>
      </c>
      <c r="AU27" s="221">
        <f>COUNTIF(H27:AL27,"RD")</f>
        <v/>
      </c>
      <c r="AV27" s="221">
        <f>AT27-AU27</f>
        <v/>
      </c>
      <c r="AW27" s="221">
        <f>COUNTIF(H27:AL27,"SH")</f>
        <v/>
      </c>
      <c r="AX27" s="221">
        <f>COUNTIF(H27:AL27,"SL")</f>
        <v/>
      </c>
      <c r="AY27" s="221">
        <f>COUNTIF(H27:AL27,"np")</f>
        <v/>
      </c>
      <c r="AZ27" s="221">
        <f>COUNTIF(H27:AL27,"AL*")</f>
        <v/>
      </c>
      <c r="BA27" s="221">
        <f>COUNTIF(H27:AL27,"NC*")</f>
        <v/>
      </c>
      <c r="BB27" s="77" t="n"/>
    </row>
    <row r="28" ht="30" customFormat="1" customHeight="1" s="270">
      <c r="B28" s="410" t="inlineStr">
        <is>
          <t>D11</t>
        </is>
      </c>
      <c r="C28" s="248" t="inlineStr">
        <is>
          <t>0004705</t>
        </is>
      </c>
      <c r="D28" s="345" t="inlineStr">
        <is>
          <t>馮桂香</t>
        </is>
      </c>
      <c r="E28" s="245" t="inlineStr">
        <is>
          <t>SG/G</t>
        </is>
      </c>
      <c r="F28" s="241" t="inlineStr">
        <is>
          <t>SECU_G(M)</t>
        </is>
      </c>
      <c r="G28" s="245" t="inlineStr">
        <is>
          <t>中</t>
        </is>
      </c>
      <c r="H28" s="341" t="n">
        <v>8</v>
      </c>
      <c r="I28" s="273" t="n">
        <v>8</v>
      </c>
      <c r="J28" s="273" t="n">
        <v>8</v>
      </c>
      <c r="K28" s="273" t="n">
        <v>8</v>
      </c>
      <c r="L28" s="273" t="n">
        <v>8</v>
      </c>
      <c r="M28" s="273" t="n">
        <v>8</v>
      </c>
      <c r="N28" s="273" t="n">
        <v>8</v>
      </c>
      <c r="O28" s="44" t="inlineStr">
        <is>
          <t>RD</t>
        </is>
      </c>
      <c r="P28" s="273" t="n">
        <v>8</v>
      </c>
      <c r="Q28" s="273" t="n">
        <v>8</v>
      </c>
      <c r="R28" s="273" t="n">
        <v>8</v>
      </c>
      <c r="S28" s="273" t="n">
        <v>8</v>
      </c>
      <c r="T28" s="273" t="n">
        <v>8</v>
      </c>
      <c r="U28" s="44" t="inlineStr">
        <is>
          <t>RD</t>
        </is>
      </c>
      <c r="V28" s="273" t="n">
        <v>8</v>
      </c>
      <c r="W28" s="273" t="n">
        <v>8</v>
      </c>
      <c r="X28" s="273" t="n">
        <v>8</v>
      </c>
      <c r="Y28" s="273" t="n">
        <v>8</v>
      </c>
      <c r="Z28" s="273" t="n">
        <v>8</v>
      </c>
      <c r="AA28" s="273" t="n">
        <v>8</v>
      </c>
      <c r="AB28" s="273" t="n">
        <v>8</v>
      </c>
      <c r="AC28" s="44" t="inlineStr">
        <is>
          <t>RD</t>
        </is>
      </c>
      <c r="AD28" s="273" t="n">
        <v>8</v>
      </c>
      <c r="AE28" s="273" t="n">
        <v>8</v>
      </c>
      <c r="AF28" s="273" t="n">
        <v>8</v>
      </c>
      <c r="AG28" s="44" t="inlineStr">
        <is>
          <t>RD</t>
        </is>
      </c>
      <c r="AH28" s="44" t="inlineStr">
        <is>
          <t>RD</t>
        </is>
      </c>
      <c r="AI28" s="273" t="n">
        <v>8</v>
      </c>
      <c r="AJ28" s="273" t="n">
        <v>8</v>
      </c>
      <c r="AK28" s="273" t="n">
        <v>8</v>
      </c>
      <c r="AL28" s="342" t="n">
        <v>8</v>
      </c>
      <c r="AM28" s="241">
        <f>COUNT(H28:AL28)</f>
        <v/>
      </c>
      <c r="AN28" s="245">
        <f>SUM(H28:AL28)</f>
        <v/>
      </c>
      <c r="AO28" s="181">
        <f>COUNTIFS($H28:$AL28,$AO$6)</f>
        <v/>
      </c>
      <c r="AP28" s="63">
        <f>COUNTIFS($H28:$AL28,$AP$6)</f>
        <v/>
      </c>
      <c r="AQ28" s="63">
        <f>COUNTIFS($H28:$AL28,$AQ$6)</f>
        <v/>
      </c>
      <c r="AR28" s="63">
        <f>COUNTIFS($H28:$AL28,$AR$6)</f>
        <v/>
      </c>
      <c r="AS28" s="63">
        <f>COUNTIFS($H28:$AL28,$AS$6)</f>
        <v/>
      </c>
      <c r="AT28" s="63">
        <f>AT27</f>
        <v/>
      </c>
      <c r="AU28" s="221">
        <f>COUNTIF(H28:AL28,"RD")</f>
        <v/>
      </c>
      <c r="AV28" s="221">
        <f>AT28-AU28</f>
        <v/>
      </c>
      <c r="AW28" s="221">
        <f>COUNTIF(H28:AL28,"SH")</f>
        <v/>
      </c>
      <c r="AX28" s="221">
        <f>COUNTIF(H28:AL28,"SL")</f>
        <v/>
      </c>
      <c r="AY28" s="221">
        <f>COUNTIF(H28:AL28,"np")</f>
        <v/>
      </c>
      <c r="AZ28" s="221">
        <f>COUNTIF(H28:AL28,"AL*")</f>
        <v/>
      </c>
      <c r="BA28" s="221">
        <f>COUNTIF(H28:AL28,"NC*")</f>
        <v/>
      </c>
      <c r="BB28" s="77" t="n"/>
    </row>
    <row r="29" ht="30" customFormat="1" customHeight="1" s="270">
      <c r="B29" s="410" t="inlineStr">
        <is>
          <t>D12</t>
        </is>
      </c>
      <c r="C29" s="248" t="inlineStr">
        <is>
          <t>0004707</t>
        </is>
      </c>
      <c r="D29" s="346" t="inlineStr">
        <is>
          <t>王偉銘</t>
        </is>
      </c>
      <c r="E29" s="245" t="inlineStr">
        <is>
          <t>SG/G</t>
        </is>
      </c>
      <c r="F29" s="241" t="inlineStr">
        <is>
          <t>SECU_G(M)</t>
        </is>
      </c>
      <c r="G29" s="245" t="inlineStr">
        <is>
          <t>中</t>
        </is>
      </c>
      <c r="H29" s="264" t="inlineStr">
        <is>
          <t>RD</t>
        </is>
      </c>
      <c r="I29" s="273" t="n">
        <v>8</v>
      </c>
      <c r="J29" s="273" t="n">
        <v>8</v>
      </c>
      <c r="K29" s="273" t="n">
        <v>8</v>
      </c>
      <c r="L29" s="273" t="n">
        <v>8</v>
      </c>
      <c r="M29" s="273" t="n">
        <v>8</v>
      </c>
      <c r="N29" s="273" t="n">
        <v>8</v>
      </c>
      <c r="O29" s="273" t="n">
        <v>8</v>
      </c>
      <c r="P29" s="44" t="inlineStr">
        <is>
          <t>RD</t>
        </is>
      </c>
      <c r="Q29" s="273" t="n">
        <v>8</v>
      </c>
      <c r="R29" s="273" t="n">
        <v>8</v>
      </c>
      <c r="S29" s="273" t="n">
        <v>8</v>
      </c>
      <c r="T29" s="273" t="n">
        <v>8</v>
      </c>
      <c r="U29" s="273" t="n">
        <v>8</v>
      </c>
      <c r="V29" s="44" t="inlineStr">
        <is>
          <t>RD</t>
        </is>
      </c>
      <c r="W29" s="273" t="n">
        <v>8</v>
      </c>
      <c r="X29" s="273" t="n">
        <v>8</v>
      </c>
      <c r="Y29" s="273" t="n">
        <v>8</v>
      </c>
      <c r="Z29" s="273" t="n">
        <v>8</v>
      </c>
      <c r="AA29" s="44" t="inlineStr">
        <is>
          <t>RD</t>
        </is>
      </c>
      <c r="AB29" s="273" t="n">
        <v>8</v>
      </c>
      <c r="AC29" s="273" t="n">
        <v>8</v>
      </c>
      <c r="AD29" s="273" t="n">
        <v>8</v>
      </c>
      <c r="AE29" s="273" t="n">
        <v>8</v>
      </c>
      <c r="AF29" s="273" t="n">
        <v>8</v>
      </c>
      <c r="AG29" s="273" t="n">
        <v>8</v>
      </c>
      <c r="AH29" s="273" t="n">
        <v>8</v>
      </c>
      <c r="AI29" s="273" t="n">
        <v>8</v>
      </c>
      <c r="AJ29" s="273" t="n">
        <v>8</v>
      </c>
      <c r="AK29" s="44" t="inlineStr">
        <is>
          <t>RD</t>
        </is>
      </c>
      <c r="AL29" s="342" t="n">
        <v>8</v>
      </c>
      <c r="AM29" s="241">
        <f>COUNT(H29:AL29)</f>
        <v/>
      </c>
      <c r="AN29" s="245">
        <f>SUM(H29:AL29)</f>
        <v/>
      </c>
      <c r="AO29" s="181">
        <f>COUNTIFS($H29:$AL29,$AO$6)</f>
        <v/>
      </c>
      <c r="AP29" s="63">
        <f>COUNTIFS($H29:$AL29,$AP$6)</f>
        <v/>
      </c>
      <c r="AQ29" s="63">
        <f>COUNTIFS($H29:$AL29,$AQ$6)</f>
        <v/>
      </c>
      <c r="AR29" s="63">
        <f>COUNTIFS($H29:$AL29,$AR$6)</f>
        <v/>
      </c>
      <c r="AS29" s="63">
        <f>COUNTIFS($H29:$AL29,$AS$6)</f>
        <v/>
      </c>
      <c r="AT29" s="63">
        <f>AT28</f>
        <v/>
      </c>
      <c r="AU29" s="221">
        <f>COUNTIF(H29:AL29,"RD")</f>
        <v/>
      </c>
      <c r="AV29" s="221">
        <f>AT29-AU29</f>
        <v/>
      </c>
      <c r="AW29" s="221">
        <f>COUNTIF(H29:AL29,"SH")</f>
        <v/>
      </c>
      <c r="AX29" s="221">
        <f>COUNTIF(H29:AL29,"SL")</f>
        <v/>
      </c>
      <c r="AY29" s="221">
        <f>COUNTIF(H29:AL29,"np")</f>
        <v/>
      </c>
      <c r="AZ29" s="221">
        <f>COUNTIF(H29:AL29,"AL*")</f>
        <v/>
      </c>
      <c r="BA29" s="221">
        <f>COUNTIF(H29:AL29,"NC*")</f>
        <v/>
      </c>
      <c r="BB29" s="77" t="n"/>
    </row>
    <row r="30" ht="30" customFormat="1" customHeight="1" s="270">
      <c r="A30" s="240" t="n"/>
      <c r="B30" s="410" t="inlineStr">
        <is>
          <t>D13</t>
        </is>
      </c>
      <c r="C30" s="248" t="inlineStr">
        <is>
          <t>0004708</t>
        </is>
      </c>
      <c r="D30" s="346" t="inlineStr">
        <is>
          <t>黃鳳嬌</t>
        </is>
      </c>
      <c r="E30" s="245" t="inlineStr">
        <is>
          <t>SG/G</t>
        </is>
      </c>
      <c r="F30" s="241" t="inlineStr">
        <is>
          <t>SECU_G(M)</t>
        </is>
      </c>
      <c r="G30" s="245" t="inlineStr">
        <is>
          <t>中</t>
        </is>
      </c>
      <c r="H30" s="341" t="n">
        <v>8</v>
      </c>
      <c r="I30" s="273" t="n">
        <v>8</v>
      </c>
      <c r="J30" s="273" t="n">
        <v>8</v>
      </c>
      <c r="K30" s="44" t="inlineStr">
        <is>
          <t>RD</t>
        </is>
      </c>
      <c r="L30" s="273" t="n">
        <v>8</v>
      </c>
      <c r="M30" s="273" t="n">
        <v>8</v>
      </c>
      <c r="N30" s="273" t="n">
        <v>8</v>
      </c>
      <c r="O30" s="273" t="n">
        <v>8</v>
      </c>
      <c r="P30" s="44" t="inlineStr">
        <is>
          <t>RD</t>
        </is>
      </c>
      <c r="Q30" s="273" t="n">
        <v>8</v>
      </c>
      <c r="R30" s="273" t="n">
        <v>8</v>
      </c>
      <c r="S30" s="273" t="n">
        <v>8</v>
      </c>
      <c r="T30" s="273" t="n">
        <v>8</v>
      </c>
      <c r="U30" s="273" t="n">
        <v>8</v>
      </c>
      <c r="V30" s="273" t="n">
        <v>8</v>
      </c>
      <c r="W30" s="44" t="inlineStr">
        <is>
          <t>RD</t>
        </is>
      </c>
      <c r="X30" s="273" t="n">
        <v>8</v>
      </c>
      <c r="Y30" s="273" t="n">
        <v>8</v>
      </c>
      <c r="Z30" s="273" t="n">
        <v>8</v>
      </c>
      <c r="AA30" s="273" t="n">
        <v>8</v>
      </c>
      <c r="AB30" s="273" t="n">
        <v>8</v>
      </c>
      <c r="AC30" s="273" t="n">
        <v>8</v>
      </c>
      <c r="AD30" s="273" t="n">
        <v>8</v>
      </c>
      <c r="AE30" s="44" t="inlineStr">
        <is>
          <t>RD</t>
        </is>
      </c>
      <c r="AF30" s="44" t="inlineStr">
        <is>
          <t>RD</t>
        </is>
      </c>
      <c r="AG30" s="273" t="n">
        <v>8</v>
      </c>
      <c r="AH30" s="273" t="n">
        <v>8</v>
      </c>
      <c r="AI30" s="273" t="n">
        <v>8</v>
      </c>
      <c r="AJ30" s="273" t="n">
        <v>8</v>
      </c>
      <c r="AK30" s="273" t="n">
        <v>8</v>
      </c>
      <c r="AL30" s="342" t="n">
        <v>8</v>
      </c>
      <c r="AM30" s="286">
        <f>COUNT(H30:AL30)</f>
        <v/>
      </c>
      <c r="AN30" s="274">
        <f>SUM(H30:AL30)</f>
        <v/>
      </c>
      <c r="AO30" s="177">
        <f>COUNTIFS($H30:$AL30,$AO$6)</f>
        <v/>
      </c>
      <c r="AP30" s="63">
        <f>COUNTIFS($H30:$AL30,$AP$6)</f>
        <v/>
      </c>
      <c r="AQ30" s="178">
        <f>COUNTIFS($H30:$AL30,$AQ$6)</f>
        <v/>
      </c>
      <c r="AR30" s="178">
        <f>COUNTIFS($H30:$AL30,$AR$6)</f>
        <v/>
      </c>
      <c r="AS30" s="178">
        <f>COUNTIFS($H30:$AL30,$AS$6)</f>
        <v/>
      </c>
      <c r="AT30" s="63">
        <f>AT29</f>
        <v/>
      </c>
      <c r="AU30" s="221">
        <f>COUNTIF(H30:AL30,"RD")</f>
        <v/>
      </c>
      <c r="AV30" s="221">
        <f>AT30-AU30</f>
        <v/>
      </c>
      <c r="AW30" s="221">
        <f>COUNTIF(H30:AL30,"SH")</f>
        <v/>
      </c>
      <c r="AX30" s="221">
        <f>COUNTIF(H30:AL30,"SL")</f>
        <v/>
      </c>
      <c r="AY30" s="221">
        <f>COUNTIF(H30:AL30,"np")</f>
        <v/>
      </c>
      <c r="AZ30" s="221">
        <f>COUNTIF(H30:AL30,"AL*")</f>
        <v/>
      </c>
      <c r="BA30" s="221">
        <f>COUNTIF(H30:AL30,"NC*")</f>
        <v/>
      </c>
      <c r="BB30" s="77" t="n"/>
      <c r="BC30" s="240" t="n"/>
    </row>
    <row r="31" ht="30" customFormat="1" customHeight="1" s="240">
      <c r="A31" s="270" t="n"/>
      <c r="B31" s="410" t="inlineStr">
        <is>
          <t>D14</t>
        </is>
      </c>
      <c r="C31" s="248" t="inlineStr">
        <is>
          <t>0004709</t>
        </is>
      </c>
      <c r="D31" s="346" t="inlineStr">
        <is>
          <t>蘇莫貴</t>
        </is>
      </c>
      <c r="E31" s="245" t="inlineStr">
        <is>
          <t>SG/G</t>
        </is>
      </c>
      <c r="F31" s="241" t="inlineStr">
        <is>
          <t>SECU_G(M)</t>
        </is>
      </c>
      <c r="G31" s="245" t="inlineStr">
        <is>
          <t>中</t>
        </is>
      </c>
      <c r="H31" s="341" t="inlineStr">
        <is>
          <t>SL</t>
        </is>
      </c>
      <c r="I31" s="273" t="inlineStr">
        <is>
          <t>SL</t>
        </is>
      </c>
      <c r="J31" s="273" t="inlineStr">
        <is>
          <t>SL</t>
        </is>
      </c>
      <c r="K31" s="273" t="inlineStr">
        <is>
          <t>SL</t>
        </is>
      </c>
      <c r="L31" s="44" t="inlineStr">
        <is>
          <t>RD</t>
        </is>
      </c>
      <c r="M31" s="273" t="inlineStr">
        <is>
          <t>SL</t>
        </is>
      </c>
      <c r="N31" s="273" t="inlineStr">
        <is>
          <t>SL</t>
        </is>
      </c>
      <c r="O31" s="273" t="inlineStr">
        <is>
          <t>SL</t>
        </is>
      </c>
      <c r="P31" s="273" t="inlineStr">
        <is>
          <t>SL</t>
        </is>
      </c>
      <c r="Q31" s="44" t="inlineStr">
        <is>
          <t>RD</t>
        </is>
      </c>
      <c r="R31" s="273" t="inlineStr">
        <is>
          <t>SL</t>
        </is>
      </c>
      <c r="S31" s="273" t="inlineStr">
        <is>
          <t>SL</t>
        </is>
      </c>
      <c r="T31" s="273" t="n">
        <v>8</v>
      </c>
      <c r="U31" s="273" t="n">
        <v>8</v>
      </c>
      <c r="V31" s="273" t="n">
        <v>8</v>
      </c>
      <c r="W31" s="273" t="n">
        <v>8</v>
      </c>
      <c r="X31" s="44" t="inlineStr">
        <is>
          <t>RD</t>
        </is>
      </c>
      <c r="Y31" s="44" t="n">
        <v>8</v>
      </c>
      <c r="Z31" s="273" t="n">
        <v>8</v>
      </c>
      <c r="AA31" s="273" t="n">
        <v>8</v>
      </c>
      <c r="AB31" s="273" t="n">
        <v>8</v>
      </c>
      <c r="AC31" s="273" t="n">
        <v>8</v>
      </c>
      <c r="AD31" s="273" t="n">
        <v>8</v>
      </c>
      <c r="AE31" s="273" t="n">
        <v>8</v>
      </c>
      <c r="AF31" s="273" t="n">
        <v>8</v>
      </c>
      <c r="AG31" s="44" t="inlineStr">
        <is>
          <t>RD</t>
        </is>
      </c>
      <c r="AH31" s="44" t="inlineStr">
        <is>
          <t>RD</t>
        </is>
      </c>
      <c r="AI31" s="273" t="n">
        <v>8</v>
      </c>
      <c r="AJ31" s="273" t="n">
        <v>8</v>
      </c>
      <c r="AK31" s="273" t="n">
        <v>8</v>
      </c>
      <c r="AL31" s="342" t="n">
        <v>8</v>
      </c>
      <c r="AM31" s="241">
        <f>COUNT(H31:AL31)</f>
        <v/>
      </c>
      <c r="AN31" s="245">
        <f>SUM(H31:AL31)</f>
        <v/>
      </c>
      <c r="AO31" s="181">
        <f>COUNTIFS($H31:$AL31,$AO$6)</f>
        <v/>
      </c>
      <c r="AP31" s="63">
        <f>COUNTIFS($H31:$AL31,$AP$6)</f>
        <v/>
      </c>
      <c r="AQ31" s="63">
        <f>COUNTIFS($H31:$AL31,$AQ$6)</f>
        <v/>
      </c>
      <c r="AR31" s="63">
        <f>COUNTIFS($H31:$AL31,$AR$6)</f>
        <v/>
      </c>
      <c r="AS31" s="63">
        <f>COUNTIFS($H31:$AL31,$AS$6)</f>
        <v/>
      </c>
      <c r="AT31" s="63">
        <f>AT30</f>
        <v/>
      </c>
      <c r="AU31" s="221">
        <f>COUNTIF(H31:AL31,"RD")</f>
        <v/>
      </c>
      <c r="AV31" s="221">
        <f>AT31-AU31</f>
        <v/>
      </c>
      <c r="AW31" s="221">
        <f>COUNTIF(H31:AL31,"SH")</f>
        <v/>
      </c>
      <c r="AX31" s="221">
        <f>COUNTIF(H31:AL31,"SL")</f>
        <v/>
      </c>
      <c r="AY31" s="221">
        <f>COUNTIF(H31:AL31,"np")</f>
        <v/>
      </c>
      <c r="AZ31" s="221">
        <f>COUNTIF(H31:AL31,"AL*")</f>
        <v/>
      </c>
      <c r="BA31" s="221">
        <f>COUNTIF(H31:AL31,"NC*")</f>
        <v/>
      </c>
      <c r="BB31" s="77" t="n"/>
      <c r="BC31" s="270" t="n"/>
    </row>
    <row r="32" ht="30" customFormat="1" customHeight="1" s="270">
      <c r="B32" s="410" t="inlineStr">
        <is>
          <t>D15</t>
        </is>
      </c>
      <c r="C32" s="248" t="inlineStr">
        <is>
          <t>0004710</t>
        </is>
      </c>
      <c r="D32" s="345" t="inlineStr">
        <is>
          <t>黃美莉</t>
        </is>
      </c>
      <c r="E32" s="245" t="inlineStr">
        <is>
          <t>SG/G</t>
        </is>
      </c>
      <c r="F32" s="241" t="inlineStr">
        <is>
          <t>SECU_G(M)</t>
        </is>
      </c>
      <c r="G32" s="245" t="inlineStr">
        <is>
          <t>中</t>
        </is>
      </c>
      <c r="H32" s="341" t="n">
        <v>8</v>
      </c>
      <c r="I32" s="273" t="n">
        <v>8</v>
      </c>
      <c r="J32" s="273" t="n">
        <v>8</v>
      </c>
      <c r="K32" s="273" t="n">
        <v>8</v>
      </c>
      <c r="L32" s="44" t="inlineStr">
        <is>
          <t>RD</t>
        </is>
      </c>
      <c r="M32" s="273" t="n">
        <v>8</v>
      </c>
      <c r="N32" s="273" t="n">
        <v>8</v>
      </c>
      <c r="O32" s="273" t="n">
        <v>8</v>
      </c>
      <c r="P32" s="273" t="n">
        <v>8</v>
      </c>
      <c r="Q32" s="273" t="n">
        <v>8</v>
      </c>
      <c r="R32" s="273" t="n">
        <v>8</v>
      </c>
      <c r="S32" s="273" t="n">
        <v>8</v>
      </c>
      <c r="T32" s="273" t="n">
        <v>8</v>
      </c>
      <c r="U32" s="273" t="n">
        <v>8</v>
      </c>
      <c r="V32" s="44" t="inlineStr">
        <is>
          <t>RD</t>
        </is>
      </c>
      <c r="W32" s="273" t="n">
        <v>8</v>
      </c>
      <c r="X32" s="273" t="n">
        <v>8</v>
      </c>
      <c r="Y32" s="273" t="n">
        <v>8</v>
      </c>
      <c r="Z32" s="273" t="n">
        <v>8</v>
      </c>
      <c r="AA32" s="273" t="n">
        <v>8</v>
      </c>
      <c r="AB32" s="44" t="inlineStr">
        <is>
          <t>RD</t>
        </is>
      </c>
      <c r="AC32" s="44" t="inlineStr">
        <is>
          <t>RD</t>
        </is>
      </c>
      <c r="AD32" s="273" t="n">
        <v>8</v>
      </c>
      <c r="AE32" s="273" t="n">
        <v>8</v>
      </c>
      <c r="AF32" s="273" t="n">
        <v>8</v>
      </c>
      <c r="AG32" s="273" t="n">
        <v>8</v>
      </c>
      <c r="AH32" s="273" t="n">
        <v>8</v>
      </c>
      <c r="AI32" s="273" t="n">
        <v>8</v>
      </c>
      <c r="AJ32" s="273" t="n">
        <v>8</v>
      </c>
      <c r="AK32" s="44" t="inlineStr">
        <is>
          <t>RD</t>
        </is>
      </c>
      <c r="AL32" s="342" t="n">
        <v>8</v>
      </c>
      <c r="AM32" s="241">
        <f>COUNT(H32:AL32)</f>
        <v/>
      </c>
      <c r="AN32" s="245">
        <f>SUM(H32:AL32)</f>
        <v/>
      </c>
      <c r="AO32" s="181">
        <f>COUNTIFS($H32:$AL32,$AO$6)</f>
        <v/>
      </c>
      <c r="AP32" s="63">
        <f>COUNTIFS($H32:$AL32,$AP$6)</f>
        <v/>
      </c>
      <c r="AQ32" s="63">
        <f>COUNTIFS($H32:$AL32,$AQ$6)</f>
        <v/>
      </c>
      <c r="AR32" s="63">
        <f>COUNTIFS($H32:$AL32,$AR$6)</f>
        <v/>
      </c>
      <c r="AS32" s="63">
        <f>COUNTIFS($H32:$AL32,$AS$6)</f>
        <v/>
      </c>
      <c r="AT32" s="63">
        <f>AT31</f>
        <v/>
      </c>
      <c r="AU32" s="221">
        <f>COUNTIF(H32:AL32,"RD")</f>
        <v/>
      </c>
      <c r="AV32" s="221">
        <f>AT32-AU32</f>
        <v/>
      </c>
      <c r="AW32" s="221">
        <f>COUNTIF(H32:AL32,"SH")</f>
        <v/>
      </c>
      <c r="AX32" s="221">
        <f>COUNTIF(H32:AL32,"SL")</f>
        <v/>
      </c>
      <c r="AY32" s="221">
        <f>COUNTIF(H32:AL32,"np")</f>
        <v/>
      </c>
      <c r="AZ32" s="221">
        <f>COUNTIF(H32:AL32,"AL*")</f>
        <v/>
      </c>
      <c r="BA32" s="221">
        <f>COUNTIF(H32:AL32,"NC*")</f>
        <v/>
      </c>
      <c r="BB32" s="77" t="n"/>
    </row>
    <row r="33" ht="30" customFormat="1" customHeight="1" s="270">
      <c r="B33" s="410" t="inlineStr">
        <is>
          <t>D16</t>
        </is>
      </c>
      <c r="C33" s="248" t="inlineStr">
        <is>
          <t>0004711</t>
        </is>
      </c>
      <c r="D33" s="345" t="inlineStr">
        <is>
          <t>鄭素芳</t>
        </is>
      </c>
      <c r="E33" s="245" t="inlineStr">
        <is>
          <t>SG/G</t>
        </is>
      </c>
      <c r="F33" s="241" t="inlineStr">
        <is>
          <t>SECU_G(M)</t>
        </is>
      </c>
      <c r="G33" s="245" t="inlineStr">
        <is>
          <t>中</t>
        </is>
      </c>
      <c r="H33" s="341" t="n">
        <v>8</v>
      </c>
      <c r="I33" s="273" t="n">
        <v>8</v>
      </c>
      <c r="J33" s="273" t="n">
        <v>8</v>
      </c>
      <c r="K33" s="273" t="n">
        <v>8</v>
      </c>
      <c r="L33" s="273" t="n">
        <v>8</v>
      </c>
      <c r="M33" s="273" t="n">
        <v>8</v>
      </c>
      <c r="N33" s="273" t="n">
        <v>8</v>
      </c>
      <c r="O33" s="44" t="inlineStr">
        <is>
          <t>RD</t>
        </is>
      </c>
      <c r="P33" s="273" t="n">
        <v>8</v>
      </c>
      <c r="Q33" s="273" t="n">
        <v>8</v>
      </c>
      <c r="R33" s="273" t="n">
        <v>8</v>
      </c>
      <c r="S33" s="273" t="n">
        <v>8</v>
      </c>
      <c r="T33" s="273" t="n">
        <v>8</v>
      </c>
      <c r="U33" s="44" t="inlineStr">
        <is>
          <t>RD</t>
        </is>
      </c>
      <c r="V33" s="273" t="n">
        <v>8</v>
      </c>
      <c r="W33" s="273" t="n">
        <v>8</v>
      </c>
      <c r="X33" s="273" t="n">
        <v>8</v>
      </c>
      <c r="Y33" s="273" t="n">
        <v>8</v>
      </c>
      <c r="Z33" s="273" t="n">
        <v>8</v>
      </c>
      <c r="AA33" s="273" t="n">
        <v>8</v>
      </c>
      <c r="AB33" s="44" t="inlineStr">
        <is>
          <t>RD</t>
        </is>
      </c>
      <c r="AC33" s="44" t="inlineStr">
        <is>
          <t>RD</t>
        </is>
      </c>
      <c r="AD33" s="273" t="n">
        <v>8</v>
      </c>
      <c r="AE33" s="273" t="n">
        <v>8</v>
      </c>
      <c r="AF33" s="273" t="n">
        <v>8</v>
      </c>
      <c r="AG33" s="273" t="n">
        <v>8</v>
      </c>
      <c r="AH33" s="273" t="n">
        <v>8</v>
      </c>
      <c r="AI33" s="44" t="inlineStr">
        <is>
          <t>RD</t>
        </is>
      </c>
      <c r="AJ33" s="273" t="n">
        <v>8</v>
      </c>
      <c r="AK33" s="273" t="n">
        <v>8</v>
      </c>
      <c r="AL33" s="342" t="n">
        <v>8</v>
      </c>
      <c r="AM33" s="241">
        <f>COUNT(H33:AL33)</f>
        <v/>
      </c>
      <c r="AN33" s="245">
        <f>SUM(H33:AL33)</f>
        <v/>
      </c>
      <c r="AO33" s="181">
        <f>COUNTIFS($H33:$AL33,$AO$6)</f>
        <v/>
      </c>
      <c r="AP33" s="63">
        <f>COUNTIFS($H33:$AL33,$AP$6)</f>
        <v/>
      </c>
      <c r="AQ33" s="63">
        <f>COUNTIFS($H33:$AL33,$AQ$6)</f>
        <v/>
      </c>
      <c r="AR33" s="63">
        <f>COUNTIFS($H33:$AL33,$AR$6)</f>
        <v/>
      </c>
      <c r="AS33" s="63">
        <f>COUNTIFS($H33:$AL33,$AS$6)</f>
        <v/>
      </c>
      <c r="AT33" s="63">
        <f>AT32</f>
        <v/>
      </c>
      <c r="AU33" s="221">
        <f>COUNTIF(H33:AL33,"RD")</f>
        <v/>
      </c>
      <c r="AV33" s="221">
        <f>AT33-AU33</f>
        <v/>
      </c>
      <c r="AW33" s="221">
        <f>COUNTIF(H33:AL33,"SH")</f>
        <v/>
      </c>
      <c r="AX33" s="221">
        <f>COUNTIF(H33:AL33,"SL")</f>
        <v/>
      </c>
      <c r="AY33" s="221">
        <f>COUNTIF(H33:AL33,"np")</f>
        <v/>
      </c>
      <c r="AZ33" s="221">
        <f>COUNTIF(H33:AL33,"AL*")</f>
        <v/>
      </c>
      <c r="BA33" s="221">
        <f>COUNTIF(H33:AL33,"NC*")</f>
        <v/>
      </c>
      <c r="BB33" s="77" t="n"/>
    </row>
    <row r="34" ht="30" customFormat="1" customHeight="1" s="270">
      <c r="B34" s="410" t="inlineStr">
        <is>
          <t>D17</t>
        </is>
      </c>
      <c r="C34" s="275" t="inlineStr">
        <is>
          <t>0004712</t>
        </is>
      </c>
      <c r="D34" s="346" t="inlineStr">
        <is>
          <t>曾玉華</t>
        </is>
      </c>
      <c r="E34" s="274" t="inlineStr">
        <is>
          <t>SG/G</t>
        </is>
      </c>
      <c r="F34" s="286" t="inlineStr">
        <is>
          <t>SECU_G(M)</t>
        </is>
      </c>
      <c r="G34" s="245" t="inlineStr">
        <is>
          <t>中</t>
        </is>
      </c>
      <c r="H34" s="341" t="n">
        <v>8</v>
      </c>
      <c r="I34" s="273" t="n">
        <v>8</v>
      </c>
      <c r="J34" s="44" t="inlineStr">
        <is>
          <t>RD</t>
        </is>
      </c>
      <c r="K34" s="273" t="n">
        <v>8</v>
      </c>
      <c r="L34" s="273" t="n">
        <v>8</v>
      </c>
      <c r="M34" s="273" t="n">
        <v>8</v>
      </c>
      <c r="N34" s="273" t="n">
        <v>8</v>
      </c>
      <c r="O34" s="273" t="n">
        <v>8</v>
      </c>
      <c r="P34" s="273" t="n">
        <v>8</v>
      </c>
      <c r="Q34" s="273" t="n">
        <v>8</v>
      </c>
      <c r="R34" s="273" t="n">
        <v>8</v>
      </c>
      <c r="S34" s="273" t="n">
        <v>8</v>
      </c>
      <c r="T34" s="273" t="n">
        <v>8</v>
      </c>
      <c r="U34" s="44" t="inlineStr">
        <is>
          <t>RD</t>
        </is>
      </c>
      <c r="V34" s="44" t="inlineStr">
        <is>
          <t>RD</t>
        </is>
      </c>
      <c r="W34" s="273" t="n">
        <v>8</v>
      </c>
      <c r="X34" s="273" t="n">
        <v>8</v>
      </c>
      <c r="Y34" s="273" t="n">
        <v>8</v>
      </c>
      <c r="Z34" s="273" t="n">
        <v>8</v>
      </c>
      <c r="AA34" s="273" t="n">
        <v>8</v>
      </c>
      <c r="AB34" s="273" t="n">
        <v>8</v>
      </c>
      <c r="AC34" s="273" t="n">
        <v>8</v>
      </c>
      <c r="AD34" s="273" t="n">
        <v>8</v>
      </c>
      <c r="AE34" s="44" t="n">
        <v>8</v>
      </c>
      <c r="AF34" s="44" t="inlineStr">
        <is>
          <t>RD</t>
        </is>
      </c>
      <c r="AG34" s="44" t="inlineStr">
        <is>
          <t>RD</t>
        </is>
      </c>
      <c r="AH34" s="273" t="n">
        <v>8</v>
      </c>
      <c r="AI34" s="273" t="n">
        <v>8</v>
      </c>
      <c r="AJ34" s="327" t="n">
        <v>8</v>
      </c>
      <c r="AK34" s="273" t="n">
        <v>8</v>
      </c>
      <c r="AL34" s="342" t="n">
        <v>8</v>
      </c>
      <c r="AM34" s="241">
        <f>COUNT(H34:AL34)</f>
        <v/>
      </c>
      <c r="AN34" s="245">
        <f>SUM(H34:AL34)</f>
        <v/>
      </c>
      <c r="AO34" s="181">
        <f>COUNTIFS($H34:$AL34,$AO$6)</f>
        <v/>
      </c>
      <c r="AP34" s="63">
        <f>COUNTIFS($H34:$AL34,$AP$6)</f>
        <v/>
      </c>
      <c r="AQ34" s="63">
        <f>COUNTIFS($H34:$AL34,$AQ$6)</f>
        <v/>
      </c>
      <c r="AR34" s="63">
        <f>COUNTIFS($H34:$AL34,$AR$6)</f>
        <v/>
      </c>
      <c r="AS34" s="63">
        <f>COUNTIFS($H34:$AL34,$AS$6)</f>
        <v/>
      </c>
      <c r="AT34" s="63">
        <f>AT33</f>
        <v/>
      </c>
      <c r="AU34" s="221">
        <f>COUNTIF(H34:AL34,"RD")</f>
        <v/>
      </c>
      <c r="AV34" s="221">
        <f>AT34-AU34</f>
        <v/>
      </c>
      <c r="AW34" s="221">
        <f>COUNTIF(H34:AL34,"SH")</f>
        <v/>
      </c>
      <c r="AX34" s="221">
        <f>COUNTIF(H34:AL34,"SL")</f>
        <v/>
      </c>
      <c r="AY34" s="221">
        <f>COUNTIF(H34:AL34,"np")</f>
        <v/>
      </c>
      <c r="AZ34" s="221">
        <f>COUNTIF(H34:AL34,"AL*")</f>
        <v/>
      </c>
      <c r="BA34" s="221">
        <f>COUNTIF(H34:AL34,"NC*")</f>
        <v/>
      </c>
      <c r="BB34" s="77" t="n"/>
    </row>
    <row r="35" ht="30" customFormat="1" customHeight="1" s="270">
      <c r="B35" s="410" t="inlineStr">
        <is>
          <t>D18</t>
        </is>
      </c>
      <c r="C35" s="248" t="inlineStr">
        <is>
          <t>0004713</t>
        </is>
      </c>
      <c r="D35" s="346" t="inlineStr">
        <is>
          <t>趙元春</t>
        </is>
      </c>
      <c r="E35" s="245" t="inlineStr">
        <is>
          <t>SG/G</t>
        </is>
      </c>
      <c r="F35" s="241" t="inlineStr">
        <is>
          <t>SECU_G(M)</t>
        </is>
      </c>
      <c r="G35" s="245" t="inlineStr">
        <is>
          <t>中</t>
        </is>
      </c>
      <c r="H35" s="341" t="n">
        <v>8</v>
      </c>
      <c r="I35" s="273" t="n">
        <v>8</v>
      </c>
      <c r="J35" s="273" t="n">
        <v>8</v>
      </c>
      <c r="K35" s="273" t="n">
        <v>8</v>
      </c>
      <c r="L35" s="273" t="n">
        <v>8</v>
      </c>
      <c r="M35" s="273" t="n">
        <v>8</v>
      </c>
      <c r="N35" s="44" t="inlineStr">
        <is>
          <t>RD</t>
        </is>
      </c>
      <c r="O35" s="273" t="n">
        <v>8</v>
      </c>
      <c r="P35" s="273" t="n">
        <v>8</v>
      </c>
      <c r="Q35" s="273" t="n">
        <v>8</v>
      </c>
      <c r="R35" s="273" t="n">
        <v>8</v>
      </c>
      <c r="S35" s="273" t="n">
        <v>8</v>
      </c>
      <c r="T35" s="273" t="n">
        <v>8</v>
      </c>
      <c r="U35" s="273" t="n">
        <v>8</v>
      </c>
      <c r="V35" s="44" t="inlineStr">
        <is>
          <t>RD</t>
        </is>
      </c>
      <c r="W35" s="273" t="n">
        <v>8</v>
      </c>
      <c r="X35" s="273" t="n">
        <v>8</v>
      </c>
      <c r="Y35" s="273" t="n">
        <v>8</v>
      </c>
      <c r="Z35" s="273" t="n">
        <v>8</v>
      </c>
      <c r="AA35" s="273" t="n">
        <v>8</v>
      </c>
      <c r="AB35" s="273" t="n">
        <v>8</v>
      </c>
      <c r="AC35" s="273" t="n">
        <v>8</v>
      </c>
      <c r="AD35" s="44" t="inlineStr">
        <is>
          <t>RD</t>
        </is>
      </c>
      <c r="AE35" s="273" t="n">
        <v>8</v>
      </c>
      <c r="AF35" s="273" t="n">
        <v>8</v>
      </c>
      <c r="AG35" s="273" t="n">
        <v>8</v>
      </c>
      <c r="AH35" s="273" t="n">
        <v>8</v>
      </c>
      <c r="AI35" s="273" t="n">
        <v>8</v>
      </c>
      <c r="AJ35" s="273" t="n">
        <v>8</v>
      </c>
      <c r="AK35" s="44" t="inlineStr">
        <is>
          <t>RD</t>
        </is>
      </c>
      <c r="AL35" s="340" t="inlineStr">
        <is>
          <t>RD</t>
        </is>
      </c>
      <c r="AM35" s="241">
        <f>COUNT(H35:AL35)</f>
        <v/>
      </c>
      <c r="AN35" s="245">
        <f>SUM(H35:AL35)</f>
        <v/>
      </c>
      <c r="AO35" s="181">
        <f>COUNTIFS($H35:$AL35,$AO$6)</f>
        <v/>
      </c>
      <c r="AP35" s="63">
        <f>COUNTIFS($H35:$AL35,$AP$6)</f>
        <v/>
      </c>
      <c r="AQ35" s="63">
        <f>COUNTIFS($H35:$AL35,$AQ$6)</f>
        <v/>
      </c>
      <c r="AR35" s="63">
        <f>COUNTIFS($H35:$AL35,$AR$6)</f>
        <v/>
      </c>
      <c r="AS35" s="63">
        <f>COUNTIFS($H35:$AL35,$AS$6)</f>
        <v/>
      </c>
      <c r="AT35" s="63">
        <f>AT34</f>
        <v/>
      </c>
      <c r="AU35" s="221">
        <f>COUNTIF(H35:AL35,"RD")</f>
        <v/>
      </c>
      <c r="AV35" s="221">
        <f>AT35-AU35</f>
        <v/>
      </c>
      <c r="AW35" s="221">
        <f>COUNTIF(H35:AL35,"SH")</f>
        <v/>
      </c>
      <c r="AX35" s="221">
        <f>COUNTIF(H35:AL35,"SL")</f>
        <v/>
      </c>
      <c r="AY35" s="221">
        <f>COUNTIF(H35:AL35,"np")</f>
        <v/>
      </c>
      <c r="AZ35" s="221">
        <f>COUNTIF(H35:AL35,"AL*")</f>
        <v/>
      </c>
      <c r="BA35" s="221">
        <f>COUNTIF(H35:AL35,"NC*")</f>
        <v/>
      </c>
      <c r="BB35" s="77" t="n"/>
    </row>
    <row r="36" ht="30" customFormat="1" customHeight="1" s="270">
      <c r="B36" s="410" t="inlineStr">
        <is>
          <t>D19</t>
        </is>
      </c>
      <c r="C36" s="248" t="inlineStr">
        <is>
          <t>0004714</t>
        </is>
      </c>
      <c r="D36" s="345" t="inlineStr">
        <is>
          <t>汪秀聰</t>
        </is>
      </c>
      <c r="E36" s="245" t="inlineStr">
        <is>
          <t>SG/G</t>
        </is>
      </c>
      <c r="F36" s="241" t="inlineStr">
        <is>
          <t>SECU_G(M)</t>
        </is>
      </c>
      <c r="G36" s="245" t="inlineStr">
        <is>
          <t>中</t>
        </is>
      </c>
      <c r="H36" s="264" t="inlineStr">
        <is>
          <t>RD</t>
        </is>
      </c>
      <c r="I36" s="273" t="n">
        <v>8</v>
      </c>
      <c r="J36" s="273" t="n">
        <v>8</v>
      </c>
      <c r="K36" s="273" t="n">
        <v>8</v>
      </c>
      <c r="L36" s="273" t="n">
        <v>8</v>
      </c>
      <c r="M36" s="273" t="n">
        <v>8</v>
      </c>
      <c r="N36" s="273" t="n">
        <v>8</v>
      </c>
      <c r="O36" s="44" t="inlineStr">
        <is>
          <t>RD</t>
        </is>
      </c>
      <c r="P36" s="273" t="n">
        <v>8</v>
      </c>
      <c r="Q36" s="273" t="n">
        <v>8</v>
      </c>
      <c r="R36" s="273" t="n">
        <v>8</v>
      </c>
      <c r="S36" s="273" t="n">
        <v>8</v>
      </c>
      <c r="T36" s="273" t="n">
        <v>8</v>
      </c>
      <c r="U36" s="273" t="n">
        <v>8</v>
      </c>
      <c r="V36" s="44" t="inlineStr">
        <is>
          <t>RD</t>
        </is>
      </c>
      <c r="W36" s="273" t="n">
        <v>8</v>
      </c>
      <c r="X36" s="273" t="n">
        <v>8</v>
      </c>
      <c r="Y36" s="273" t="n">
        <v>8</v>
      </c>
      <c r="Z36" s="273" t="n">
        <v>8</v>
      </c>
      <c r="AA36" s="273" t="n">
        <v>8</v>
      </c>
      <c r="AB36" s="273" t="n">
        <v>8</v>
      </c>
      <c r="AC36" s="273" t="n">
        <v>8</v>
      </c>
      <c r="AD36" s="273" t="n">
        <v>8</v>
      </c>
      <c r="AE36" s="44" t="inlineStr">
        <is>
          <t>RD</t>
        </is>
      </c>
      <c r="AF36" s="44" t="inlineStr">
        <is>
          <t>RD</t>
        </is>
      </c>
      <c r="AG36" s="273" t="n">
        <v>8</v>
      </c>
      <c r="AH36" s="273" t="n">
        <v>8</v>
      </c>
      <c r="AI36" s="273" t="n">
        <v>8</v>
      </c>
      <c r="AJ36" s="273" t="n">
        <v>8</v>
      </c>
      <c r="AK36" s="273" t="n">
        <v>8</v>
      </c>
      <c r="AL36" s="342" t="n">
        <v>8</v>
      </c>
      <c r="AM36" s="241">
        <f>COUNT(H36:AL36)</f>
        <v/>
      </c>
      <c r="AN36" s="245">
        <f>SUM(H36:AL36)</f>
        <v/>
      </c>
      <c r="AO36" s="181">
        <f>COUNTIFS($H36:$AL36,$AO$6)</f>
        <v/>
      </c>
      <c r="AP36" s="63">
        <f>COUNTIFS($H36:$AL36,$AP$6)</f>
        <v/>
      </c>
      <c r="AQ36" s="63">
        <f>COUNTIFS($H36:$AL36,$AQ$6)</f>
        <v/>
      </c>
      <c r="AR36" s="63">
        <f>COUNTIFS($H36:$AL36,$AR$6)</f>
        <v/>
      </c>
      <c r="AS36" s="63">
        <f>COUNTIFS($H36:$AL36,$AS$6)</f>
        <v/>
      </c>
      <c r="AT36" s="63">
        <f>AT35</f>
        <v/>
      </c>
      <c r="AU36" s="221">
        <f>COUNTIF(H36:AL36,"RD")</f>
        <v/>
      </c>
      <c r="AV36" s="221">
        <f>AT36-AU36</f>
        <v/>
      </c>
      <c r="AW36" s="221">
        <f>COUNTIF(H36:AL36,"SH")</f>
        <v/>
      </c>
      <c r="AX36" s="221">
        <f>COUNTIF(H36:AL36,"SL")</f>
        <v/>
      </c>
      <c r="AY36" s="221">
        <f>COUNTIF(H36:AL36,"np")</f>
        <v/>
      </c>
      <c r="AZ36" s="221">
        <f>COUNTIF(H36:AL36,"AL*")</f>
        <v/>
      </c>
      <c r="BA36" s="221">
        <f>COUNTIF(H36:AL36,"NC*")</f>
        <v/>
      </c>
      <c r="BB36" s="77" t="n"/>
    </row>
    <row r="37" ht="30" customFormat="1" customHeight="1" s="240">
      <c r="A37" s="270" t="n"/>
      <c r="B37" s="410" t="inlineStr">
        <is>
          <t>D20</t>
        </is>
      </c>
      <c r="C37" s="248" t="inlineStr">
        <is>
          <t>0004715</t>
        </is>
      </c>
      <c r="D37" s="346" t="inlineStr">
        <is>
          <t>蘇梅花</t>
        </is>
      </c>
      <c r="E37" s="245" t="inlineStr">
        <is>
          <t>SG/G</t>
        </is>
      </c>
      <c r="F37" s="241" t="inlineStr">
        <is>
          <t>SECU_G(M)</t>
        </is>
      </c>
      <c r="G37" s="245" t="inlineStr">
        <is>
          <t>中</t>
        </is>
      </c>
      <c r="H37" s="341" t="n">
        <v>8</v>
      </c>
      <c r="I37" s="273" t="n">
        <v>8</v>
      </c>
      <c r="J37" s="273" t="n">
        <v>8</v>
      </c>
      <c r="K37" s="273" t="n">
        <v>8</v>
      </c>
      <c r="L37" s="273" t="n">
        <v>8</v>
      </c>
      <c r="M37" s="44" t="inlineStr">
        <is>
          <t>RD</t>
        </is>
      </c>
      <c r="N37" s="273" t="n">
        <v>8</v>
      </c>
      <c r="O37" s="273" t="n">
        <v>8</v>
      </c>
      <c r="P37" s="273" t="n">
        <v>8</v>
      </c>
      <c r="Q37" s="273" t="n">
        <v>8</v>
      </c>
      <c r="R37" s="273" t="n">
        <v>8</v>
      </c>
      <c r="S37" s="273" t="n">
        <v>8</v>
      </c>
      <c r="T37" s="273" t="n">
        <v>8</v>
      </c>
      <c r="U37" s="273" t="n">
        <v>8</v>
      </c>
      <c r="V37" s="273" t="n">
        <v>8</v>
      </c>
      <c r="W37" s="44" t="inlineStr">
        <is>
          <t>RD</t>
        </is>
      </c>
      <c r="X37" s="44" t="inlineStr">
        <is>
          <t>RD</t>
        </is>
      </c>
      <c r="Y37" s="44" t="inlineStr">
        <is>
          <t>RD</t>
        </is>
      </c>
      <c r="Z37" s="273" t="n">
        <v>8</v>
      </c>
      <c r="AA37" s="273" t="n">
        <v>8</v>
      </c>
      <c r="AB37" s="273" t="n">
        <v>8</v>
      </c>
      <c r="AC37" s="273" t="n">
        <v>8</v>
      </c>
      <c r="AD37" s="273" t="n">
        <v>8</v>
      </c>
      <c r="AE37" s="273" t="n">
        <v>8</v>
      </c>
      <c r="AF37" s="44" t="inlineStr">
        <is>
          <t>RD</t>
        </is>
      </c>
      <c r="AG37" s="273" t="n">
        <v>8</v>
      </c>
      <c r="AH37" s="273" t="n">
        <v>8</v>
      </c>
      <c r="AI37" s="273" t="n">
        <v>8</v>
      </c>
      <c r="AJ37" s="273" t="n">
        <v>8</v>
      </c>
      <c r="AK37" s="273" t="n">
        <v>8</v>
      </c>
      <c r="AL37" s="342" t="n">
        <v>8</v>
      </c>
      <c r="AM37" s="241">
        <f>COUNT(H37:AL37)</f>
        <v/>
      </c>
      <c r="AN37" s="245">
        <f>SUM(H37:AL37)</f>
        <v/>
      </c>
      <c r="AO37" s="181">
        <f>COUNTIFS($H37:$AL37,$AO$6)</f>
        <v/>
      </c>
      <c r="AP37" s="63">
        <f>COUNTIFS($H37:$AL37,$AP$6)</f>
        <v/>
      </c>
      <c r="AQ37" s="63">
        <f>COUNTIFS($H37:$AL37,$AQ$6)</f>
        <v/>
      </c>
      <c r="AR37" s="63">
        <f>COUNTIFS($H37:$AL37,$AR$6)</f>
        <v/>
      </c>
      <c r="AS37" s="63">
        <f>COUNTIFS($H37:$AL37,$AS$6)</f>
        <v/>
      </c>
      <c r="AT37" s="63">
        <f>AT36</f>
        <v/>
      </c>
      <c r="AU37" s="221">
        <f>COUNTIF(H37:AL37,"RD")</f>
        <v/>
      </c>
      <c r="AV37" s="221">
        <f>AT37-AU37</f>
        <v/>
      </c>
      <c r="AW37" s="221">
        <f>COUNTIF(H37:AL37,"SH")</f>
        <v/>
      </c>
      <c r="AX37" s="221">
        <f>COUNTIF(H37:AL37,"SL")</f>
        <v/>
      </c>
      <c r="AY37" s="221">
        <f>COUNTIF(H37:AL37,"np")</f>
        <v/>
      </c>
      <c r="AZ37" s="221">
        <f>COUNTIF(H37:AL37,"AL*")</f>
        <v/>
      </c>
      <c r="BA37" s="221">
        <f>COUNTIF(H37:AL37,"NC*")</f>
        <v/>
      </c>
      <c r="BB37" s="77" t="n"/>
      <c r="BC37" s="270" t="n"/>
    </row>
    <row r="38" ht="30" customFormat="1" customHeight="1" s="240">
      <c r="B38" s="410" t="inlineStr">
        <is>
          <t>D21</t>
        </is>
      </c>
      <c r="C38" s="275" t="inlineStr">
        <is>
          <t>0004716</t>
        </is>
      </c>
      <c r="D38" s="346" t="inlineStr">
        <is>
          <t>梁土嬌</t>
        </is>
      </c>
      <c r="E38" s="274" t="inlineStr">
        <is>
          <t>SG/G</t>
        </is>
      </c>
      <c r="F38" s="286" t="inlineStr">
        <is>
          <t>SECU_G(M)</t>
        </is>
      </c>
      <c r="G38" s="274" t="inlineStr">
        <is>
          <t>中</t>
        </is>
      </c>
      <c r="H38" s="341" t="n">
        <v>8</v>
      </c>
      <c r="I38" s="273" t="n">
        <v>8</v>
      </c>
      <c r="J38" s="44" t="inlineStr">
        <is>
          <t>RD</t>
        </is>
      </c>
      <c r="K38" s="273" t="n">
        <v>8</v>
      </c>
      <c r="L38" s="273" t="n">
        <v>8</v>
      </c>
      <c r="M38" s="273" t="n">
        <v>8</v>
      </c>
      <c r="N38" s="273" t="n">
        <v>8</v>
      </c>
      <c r="O38" s="273" t="n">
        <v>8</v>
      </c>
      <c r="P38" s="273" t="n">
        <v>8</v>
      </c>
      <c r="Q38" s="273" t="n">
        <v>8</v>
      </c>
      <c r="R38" s="273" t="n">
        <v>8</v>
      </c>
      <c r="S38" s="44" t="inlineStr">
        <is>
          <t>RD</t>
        </is>
      </c>
      <c r="T38" s="273" t="n">
        <v>8</v>
      </c>
      <c r="U38" s="273" t="n">
        <v>8</v>
      </c>
      <c r="V38" s="273" t="n">
        <v>8</v>
      </c>
      <c r="W38" s="273" t="n">
        <v>8</v>
      </c>
      <c r="X38" s="273" t="n">
        <v>8</v>
      </c>
      <c r="Y38" s="273" t="n">
        <v>8</v>
      </c>
      <c r="Z38" s="273" t="n">
        <v>8</v>
      </c>
      <c r="AA38" s="273" t="n">
        <v>8</v>
      </c>
      <c r="AB38" s="273" t="n">
        <v>8</v>
      </c>
      <c r="AC38" s="44" t="inlineStr">
        <is>
          <t>RD</t>
        </is>
      </c>
      <c r="AD38" s="273" t="inlineStr">
        <is>
          <t>RD</t>
        </is>
      </c>
      <c r="AE38" s="273" t="n">
        <v>8</v>
      </c>
      <c r="AF38" s="273" t="n">
        <v>8</v>
      </c>
      <c r="AG38" s="273" t="n">
        <v>8</v>
      </c>
      <c r="AH38" s="273" t="n">
        <v>8</v>
      </c>
      <c r="AI38" s="273" t="n">
        <v>8</v>
      </c>
      <c r="AJ38" s="273" t="n">
        <v>8</v>
      </c>
      <c r="AK38" s="273" t="n">
        <v>8</v>
      </c>
      <c r="AL38" s="340" t="inlineStr">
        <is>
          <t>RD</t>
        </is>
      </c>
      <c r="AM38" s="286">
        <f>COUNT(H38:AL38)</f>
        <v/>
      </c>
      <c r="AN38" s="274">
        <f>SUM(H38:AL38)</f>
        <v/>
      </c>
      <c r="AO38" s="177">
        <f>COUNTIFS($H38:$AL38,$AO$6)</f>
        <v/>
      </c>
      <c r="AP38" s="178">
        <f>COUNTIFS($H38:$AL38,$AP$6)</f>
        <v/>
      </c>
      <c r="AQ38" s="178">
        <f>COUNTIFS($H38:$AL38,$AQ$6)</f>
        <v/>
      </c>
      <c r="AR38" s="178">
        <f>COUNTIFS($H38:$AL38,$AR$6)</f>
        <v/>
      </c>
      <c r="AS38" s="178">
        <f>COUNTIFS($H38:$AL38,$AS$6)</f>
        <v/>
      </c>
      <c r="AT38" s="63">
        <f>AT37</f>
        <v/>
      </c>
      <c r="AU38" s="221">
        <f>COUNTIF(H38:AL38,"RD")</f>
        <v/>
      </c>
      <c r="AV38" s="221">
        <f>AT38-AU38</f>
        <v/>
      </c>
      <c r="AW38" s="221">
        <f>COUNTIF(H38:AL38,"SH")</f>
        <v/>
      </c>
      <c r="AX38" s="221">
        <f>COUNTIF(H38:AL38,"SL")</f>
        <v/>
      </c>
      <c r="AY38" s="221">
        <f>COUNTIF(H38:AL38,"np")</f>
        <v/>
      </c>
      <c r="AZ38" s="221">
        <f>COUNTIF(H38:AL38,"AL*")</f>
        <v/>
      </c>
      <c r="BA38" s="221">
        <f>COUNTIF(H38:AL38,"NC*")</f>
        <v/>
      </c>
      <c r="BB38" s="77" t="n"/>
    </row>
    <row r="39" ht="30" customFormat="1" customHeight="1" s="270">
      <c r="B39" s="410" t="inlineStr">
        <is>
          <t>D22</t>
        </is>
      </c>
      <c r="C39" s="248" t="inlineStr">
        <is>
          <t>0004717</t>
        </is>
      </c>
      <c r="D39" s="346" t="inlineStr">
        <is>
          <t>丘秀珍</t>
        </is>
      </c>
      <c r="E39" s="245" t="inlineStr">
        <is>
          <t>SG/G</t>
        </is>
      </c>
      <c r="F39" s="241" t="inlineStr">
        <is>
          <t>SECU_G(M)</t>
        </is>
      </c>
      <c r="G39" s="245" t="inlineStr">
        <is>
          <t>中</t>
        </is>
      </c>
      <c r="H39" s="341" t="n">
        <v>8</v>
      </c>
      <c r="I39" s="273" t="n">
        <v>8</v>
      </c>
      <c r="J39" s="273" t="n">
        <v>8</v>
      </c>
      <c r="K39" s="44" t="inlineStr">
        <is>
          <t>RD</t>
        </is>
      </c>
      <c r="L39" s="273" t="n">
        <v>8</v>
      </c>
      <c r="M39" s="273" t="n">
        <v>8</v>
      </c>
      <c r="N39" s="273" t="n">
        <v>8</v>
      </c>
      <c r="O39" s="273" t="n">
        <v>8</v>
      </c>
      <c r="P39" s="273" t="n">
        <v>8</v>
      </c>
      <c r="Q39" s="273" t="n">
        <v>8</v>
      </c>
      <c r="R39" s="273" t="n">
        <v>8</v>
      </c>
      <c r="S39" s="273" t="n">
        <v>8</v>
      </c>
      <c r="T39" s="44" t="inlineStr">
        <is>
          <t>RD</t>
        </is>
      </c>
      <c r="U39" s="44" t="inlineStr">
        <is>
          <t>RD</t>
        </is>
      </c>
      <c r="V39" s="273" t="n">
        <v>8</v>
      </c>
      <c r="W39" s="273" t="n">
        <v>8</v>
      </c>
      <c r="X39" s="273" t="n">
        <v>8</v>
      </c>
      <c r="Y39" s="273" t="n">
        <v>8</v>
      </c>
      <c r="Z39" s="273" t="n">
        <v>8</v>
      </c>
      <c r="AA39" s="273" t="n">
        <v>8</v>
      </c>
      <c r="AB39" s="273" t="n">
        <v>8</v>
      </c>
      <c r="AC39" s="273" t="n">
        <v>8</v>
      </c>
      <c r="AD39" s="273" t="n">
        <v>8</v>
      </c>
      <c r="AE39" s="44" t="inlineStr">
        <is>
          <t>RD</t>
        </is>
      </c>
      <c r="AF39" s="273" t="n">
        <v>8</v>
      </c>
      <c r="AG39" s="273" t="n">
        <v>8</v>
      </c>
      <c r="AH39" s="273" t="n">
        <v>8</v>
      </c>
      <c r="AI39" s="273" t="n">
        <v>8</v>
      </c>
      <c r="AJ39" s="273" t="n">
        <v>8</v>
      </c>
      <c r="AK39" s="273" t="n">
        <v>8</v>
      </c>
      <c r="AL39" s="340" t="inlineStr">
        <is>
          <t>RD</t>
        </is>
      </c>
      <c r="AM39" s="241">
        <f>COUNT(H39:AL39)</f>
        <v/>
      </c>
      <c r="AN39" s="245">
        <f>SUM(H39:AL39)</f>
        <v/>
      </c>
      <c r="AO39" s="181">
        <f>COUNTIFS($H39:$AL39,$AO$6)</f>
        <v/>
      </c>
      <c r="AP39" s="63">
        <f>COUNTIFS($H39:$AL39,$AP$6)</f>
        <v/>
      </c>
      <c r="AQ39" s="63">
        <f>COUNTIFS($H39:$AL39,$AQ$6)</f>
        <v/>
      </c>
      <c r="AR39" s="63">
        <f>COUNTIFS($H39:$AL39,$AR$6)</f>
        <v/>
      </c>
      <c r="AS39" s="63">
        <f>COUNTIFS($H39:$AL39,$AS$6)</f>
        <v/>
      </c>
      <c r="AT39" s="63">
        <f>AT38</f>
        <v/>
      </c>
      <c r="AU39" s="221">
        <f>COUNTIF(H39:AL39,"RD")</f>
        <v/>
      </c>
      <c r="AV39" s="221">
        <f>AT39-AU39</f>
        <v/>
      </c>
      <c r="AW39" s="221">
        <f>COUNTIF(H39:AL39,"SH")</f>
        <v/>
      </c>
      <c r="AX39" s="221">
        <f>COUNTIF(H39:AL39,"SL")</f>
        <v/>
      </c>
      <c r="AY39" s="221">
        <f>COUNTIF(H39:AL39,"np")</f>
        <v/>
      </c>
      <c r="AZ39" s="221">
        <f>COUNTIF(H39:AL39,"AL*")</f>
        <v/>
      </c>
      <c r="BA39" s="221">
        <f>COUNTIF(H39:AL39,"NC*")</f>
        <v/>
      </c>
      <c r="BB39" s="77" t="n"/>
    </row>
    <row r="40" ht="30" customFormat="1" customHeight="1" s="270">
      <c r="B40" s="410" t="inlineStr">
        <is>
          <t>D23</t>
        </is>
      </c>
      <c r="C40" s="248" t="inlineStr">
        <is>
          <t>0004719</t>
        </is>
      </c>
      <c r="D40" s="346" t="inlineStr">
        <is>
          <t>劉紅珍</t>
        </is>
      </c>
      <c r="E40" s="245" t="inlineStr">
        <is>
          <t>SG/G</t>
        </is>
      </c>
      <c r="F40" s="241" t="inlineStr">
        <is>
          <t>SECU_G(M)</t>
        </is>
      </c>
      <c r="G40" s="245" t="inlineStr">
        <is>
          <t>中</t>
        </is>
      </c>
      <c r="H40" s="341" t="n">
        <v>8</v>
      </c>
      <c r="I40" s="273" t="n">
        <v>8</v>
      </c>
      <c r="J40" s="273" t="n">
        <v>8</v>
      </c>
      <c r="K40" s="44" t="inlineStr">
        <is>
          <t>RD</t>
        </is>
      </c>
      <c r="L40" s="273" t="n">
        <v>8</v>
      </c>
      <c r="M40" s="273" t="n">
        <v>8</v>
      </c>
      <c r="N40" s="273" t="n">
        <v>8</v>
      </c>
      <c r="O40" s="273" t="n">
        <v>8</v>
      </c>
      <c r="P40" s="273" t="n">
        <v>8</v>
      </c>
      <c r="Q40" s="44" t="inlineStr">
        <is>
          <t>RD</t>
        </is>
      </c>
      <c r="R40" s="273" t="n">
        <v>8</v>
      </c>
      <c r="S40" s="273" t="n">
        <v>8</v>
      </c>
      <c r="T40" s="273" t="n">
        <v>8</v>
      </c>
      <c r="U40" s="273" t="n">
        <v>8</v>
      </c>
      <c r="V40" s="273" t="n">
        <v>8</v>
      </c>
      <c r="W40" s="44" t="inlineStr">
        <is>
          <t>RD</t>
        </is>
      </c>
      <c r="X40" s="273" t="n">
        <v>8</v>
      </c>
      <c r="Y40" s="273" t="n">
        <v>8</v>
      </c>
      <c r="Z40" s="273" t="n">
        <v>8</v>
      </c>
      <c r="AA40" s="273" t="n">
        <v>8</v>
      </c>
      <c r="AB40" s="273" t="n">
        <v>8</v>
      </c>
      <c r="AC40" s="273" t="n">
        <v>8</v>
      </c>
      <c r="AD40" s="273" t="n">
        <v>8</v>
      </c>
      <c r="AE40" s="273" t="n">
        <v>8</v>
      </c>
      <c r="AF40" s="44" t="inlineStr">
        <is>
          <t>RD</t>
        </is>
      </c>
      <c r="AG40" s="273" t="n">
        <v>8</v>
      </c>
      <c r="AH40" s="273" t="n">
        <v>8</v>
      </c>
      <c r="AI40" s="273" t="n">
        <v>8</v>
      </c>
      <c r="AJ40" s="273" t="n">
        <v>8</v>
      </c>
      <c r="AK40" s="273" t="n">
        <v>8</v>
      </c>
      <c r="AL40" s="340" t="inlineStr">
        <is>
          <t>RD</t>
        </is>
      </c>
      <c r="AM40" s="241">
        <f>COUNT(H40:AL40)</f>
        <v/>
      </c>
      <c r="AN40" s="245">
        <f>SUM(H40:AL40)</f>
        <v/>
      </c>
      <c r="AO40" s="181">
        <f>COUNTIFS($H40:$AL40,$AO$6)</f>
        <v/>
      </c>
      <c r="AP40" s="63">
        <f>COUNTIFS($H40:$AL40,$AP$6)</f>
        <v/>
      </c>
      <c r="AQ40" s="63">
        <f>COUNTIFS($H40:$AL40,$AQ$6)</f>
        <v/>
      </c>
      <c r="AR40" s="63">
        <f>COUNTIFS($H40:$AL40,$AR$6)</f>
        <v/>
      </c>
      <c r="AS40" s="63">
        <f>COUNTIFS($H40:$AL40,$AS$6)</f>
        <v/>
      </c>
      <c r="AT40" s="63">
        <f>AT39</f>
        <v/>
      </c>
      <c r="AU40" s="221">
        <f>COUNTIF(H40:AL40,"RD")</f>
        <v/>
      </c>
      <c r="AV40" s="221">
        <f>AT40-AU40</f>
        <v/>
      </c>
      <c r="AW40" s="221">
        <f>COUNTIF(H40:AL40,"SH")</f>
        <v/>
      </c>
      <c r="AX40" s="221">
        <f>COUNTIF(H40:AL40,"SL")</f>
        <v/>
      </c>
      <c r="AY40" s="221">
        <f>COUNTIF(H40:AL40,"np")</f>
        <v/>
      </c>
      <c r="AZ40" s="221">
        <f>COUNTIF(H40:AL40,"AL*")</f>
        <v/>
      </c>
      <c r="BA40" s="221">
        <f>COUNTIF(H40:AL40,"NC*")</f>
        <v/>
      </c>
      <c r="BB40" s="77" t="n"/>
    </row>
    <row r="41" ht="30" customFormat="1" customHeight="1" s="270">
      <c r="B41" s="410" t="inlineStr">
        <is>
          <t>D24</t>
        </is>
      </c>
      <c r="C41" s="248" t="inlineStr">
        <is>
          <t>0004720</t>
        </is>
      </c>
      <c r="D41" s="346" t="inlineStr">
        <is>
          <t>戚志榮</t>
        </is>
      </c>
      <c r="E41" s="245" t="inlineStr">
        <is>
          <t>SG/G</t>
        </is>
      </c>
      <c r="F41" s="241" t="inlineStr">
        <is>
          <t>SECU_G(M)</t>
        </is>
      </c>
      <c r="G41" s="245" t="inlineStr">
        <is>
          <t>中</t>
        </is>
      </c>
      <c r="H41" s="341" t="n">
        <v>8</v>
      </c>
      <c r="I41" s="273" t="n">
        <v>8</v>
      </c>
      <c r="J41" s="273" t="n">
        <v>8</v>
      </c>
      <c r="K41" s="273" t="n">
        <v>8</v>
      </c>
      <c r="L41" s="44" t="inlineStr">
        <is>
          <t>RD</t>
        </is>
      </c>
      <c r="M41" s="273" t="n">
        <v>8</v>
      </c>
      <c r="N41" s="273" t="n">
        <v>8</v>
      </c>
      <c r="O41" s="273" t="n">
        <v>8</v>
      </c>
      <c r="P41" s="273" t="n">
        <v>8</v>
      </c>
      <c r="Q41" s="273" t="n">
        <v>8</v>
      </c>
      <c r="R41" s="273" t="n">
        <v>8</v>
      </c>
      <c r="S41" s="44" t="inlineStr">
        <is>
          <t>RD</t>
        </is>
      </c>
      <c r="T41" s="273" t="n">
        <v>8</v>
      </c>
      <c r="U41" s="273" t="n">
        <v>8</v>
      </c>
      <c r="V41" s="273" t="n">
        <v>8</v>
      </c>
      <c r="W41" s="273" t="n">
        <v>8</v>
      </c>
      <c r="X41" s="44" t="inlineStr">
        <is>
          <t>RD</t>
        </is>
      </c>
      <c r="Y41" s="44" t="inlineStr">
        <is>
          <t>RD</t>
        </is>
      </c>
      <c r="Z41" s="273" t="n">
        <v>8</v>
      </c>
      <c r="AA41" s="273" t="n">
        <v>8</v>
      </c>
      <c r="AB41" s="273" t="n">
        <v>8</v>
      </c>
      <c r="AC41" s="273" t="n">
        <v>8</v>
      </c>
      <c r="AD41" s="273" t="n">
        <v>8</v>
      </c>
      <c r="AE41" s="44" t="inlineStr">
        <is>
          <t>RD</t>
        </is>
      </c>
      <c r="AF41" s="273" t="n">
        <v>8</v>
      </c>
      <c r="AG41" s="44" t="n">
        <v>8</v>
      </c>
      <c r="AH41" s="273" t="n">
        <v>8</v>
      </c>
      <c r="AI41" s="273" t="n">
        <v>8</v>
      </c>
      <c r="AJ41" s="273" t="n">
        <v>8</v>
      </c>
      <c r="AK41" s="273" t="n">
        <v>8</v>
      </c>
      <c r="AL41" s="342" t="n">
        <v>8</v>
      </c>
      <c r="AM41" s="241">
        <f>COUNT(H41:AL41)</f>
        <v/>
      </c>
      <c r="AN41" s="245">
        <f>SUM(H41:AL41)</f>
        <v/>
      </c>
      <c r="AO41" s="181">
        <f>COUNTIFS($H41:$AL41,$AO$6)</f>
        <v/>
      </c>
      <c r="AP41" s="63">
        <f>COUNTIFS($H41:$AL41,$AP$6)</f>
        <v/>
      </c>
      <c r="AQ41" s="63">
        <f>COUNTIFS($H41:$AL41,$AQ$6)</f>
        <v/>
      </c>
      <c r="AR41" s="63">
        <f>COUNTIFS($H41:$AL41,$AR$6)</f>
        <v/>
      </c>
      <c r="AS41" s="63">
        <f>COUNTIFS($H41:$AL41,$AS$6)</f>
        <v/>
      </c>
      <c r="AT41" s="63">
        <f>AT40</f>
        <v/>
      </c>
      <c r="AU41" s="221">
        <f>COUNTIF(H41:AL41,"RD")</f>
        <v/>
      </c>
      <c r="AV41" s="221">
        <f>AT41-AU41</f>
        <v/>
      </c>
      <c r="AW41" s="221">
        <f>COUNTIF(H41:AL41,"SH")</f>
        <v/>
      </c>
      <c r="AX41" s="221">
        <f>COUNTIF(H41:AL41,"SL")</f>
        <v/>
      </c>
      <c r="AY41" s="221">
        <f>COUNTIF(H41:AL41,"np")</f>
        <v/>
      </c>
      <c r="AZ41" s="221">
        <f>COUNTIF(H41:AL41,"AL*")</f>
        <v/>
      </c>
      <c r="BA41" s="221">
        <f>COUNTIF(H41:AL41,"NC*")</f>
        <v/>
      </c>
      <c r="BB41" s="77" t="n"/>
    </row>
    <row r="42" ht="30" customFormat="1" customHeight="1" s="270">
      <c r="B42" s="410" t="inlineStr">
        <is>
          <t>D25</t>
        </is>
      </c>
      <c r="C42" s="248" t="inlineStr">
        <is>
          <t>0004722</t>
        </is>
      </c>
      <c r="D42" s="345" t="inlineStr">
        <is>
          <t>李振邦</t>
        </is>
      </c>
      <c r="E42" s="245" t="inlineStr">
        <is>
          <t>SG/G</t>
        </is>
      </c>
      <c r="F42" s="241" t="inlineStr">
        <is>
          <t>SECU_G(M)</t>
        </is>
      </c>
      <c r="G42" s="245" t="inlineStr">
        <is>
          <t>中</t>
        </is>
      </c>
      <c r="H42" s="264" t="inlineStr">
        <is>
          <t>RD</t>
        </is>
      </c>
      <c r="I42" s="273" t="n">
        <v>8</v>
      </c>
      <c r="J42" s="273" t="n">
        <v>8</v>
      </c>
      <c r="K42" s="273" t="n">
        <v>8</v>
      </c>
      <c r="L42" s="273" t="n">
        <v>8</v>
      </c>
      <c r="M42" s="273" t="n">
        <v>8</v>
      </c>
      <c r="N42" s="273" t="n">
        <v>8</v>
      </c>
      <c r="O42" s="273" t="n">
        <v>8</v>
      </c>
      <c r="P42" s="273" t="n">
        <v>8</v>
      </c>
      <c r="Q42" s="273" t="n">
        <v>8</v>
      </c>
      <c r="R42" s="273" t="n">
        <v>8</v>
      </c>
      <c r="S42" s="44" t="inlineStr">
        <is>
          <t>RD</t>
        </is>
      </c>
      <c r="T42" s="273" t="n">
        <v>8</v>
      </c>
      <c r="U42" s="273" t="n">
        <v>8</v>
      </c>
      <c r="V42" s="273" t="n">
        <v>8</v>
      </c>
      <c r="W42" s="273" t="n">
        <v>8</v>
      </c>
      <c r="X42" s="273" t="n">
        <v>8</v>
      </c>
      <c r="Y42" s="44" t="inlineStr">
        <is>
          <t>RD</t>
        </is>
      </c>
      <c r="Z42" s="44" t="inlineStr">
        <is>
          <t>RD</t>
        </is>
      </c>
      <c r="AA42" s="273" t="n">
        <v>8</v>
      </c>
      <c r="AB42" s="273" t="n">
        <v>8</v>
      </c>
      <c r="AC42" s="273" t="n">
        <v>8</v>
      </c>
      <c r="AD42" s="273" t="n">
        <v>8</v>
      </c>
      <c r="AE42" s="273" t="n">
        <v>8</v>
      </c>
      <c r="AF42" s="44" t="inlineStr">
        <is>
          <t>RD</t>
        </is>
      </c>
      <c r="AG42" s="273" t="n">
        <v>8</v>
      </c>
      <c r="AH42" s="273" t="n">
        <v>8</v>
      </c>
      <c r="AI42" s="273" t="n">
        <v>8</v>
      </c>
      <c r="AJ42" s="273" t="n">
        <v>8</v>
      </c>
      <c r="AK42" s="273" t="n">
        <v>8</v>
      </c>
      <c r="AL42" s="342" t="n">
        <v>8</v>
      </c>
      <c r="AM42" s="429">
        <f>COUNT(H42:AL42)</f>
        <v/>
      </c>
      <c r="AN42" s="367">
        <f>SUM(H42:AL42)</f>
        <v/>
      </c>
      <c r="AO42" s="181">
        <f>COUNTIFS($H42:$AL42,$AO$6)</f>
        <v/>
      </c>
      <c r="AP42" s="63">
        <f>COUNTIFS($H42:$AL42,$AP$6)</f>
        <v/>
      </c>
      <c r="AQ42" s="63">
        <f>COUNTIFS($H42:$AL42,$AQ$6)</f>
        <v/>
      </c>
      <c r="AR42" s="63">
        <f>COUNTIFS($H42:$AL42,$AR$6)</f>
        <v/>
      </c>
      <c r="AS42" s="63">
        <f>COUNTIFS($H42:$AL42,$AS$6)</f>
        <v/>
      </c>
      <c r="AT42" s="63">
        <f>AT41</f>
        <v/>
      </c>
      <c r="AU42" s="221">
        <f>COUNTIF(H42:AL42,"RD")</f>
        <v/>
      </c>
      <c r="AV42" s="221">
        <f>AT42-AU42</f>
        <v/>
      </c>
      <c r="AW42" s="221">
        <f>COUNTIF(H42:AL42,"SH")</f>
        <v/>
      </c>
      <c r="AX42" s="221">
        <f>COUNTIF(H42:AL42,"SL")</f>
        <v/>
      </c>
      <c r="AY42" s="221">
        <f>COUNTIF(H42:AL42,"np")</f>
        <v/>
      </c>
      <c r="AZ42" s="221">
        <f>COUNTIF(H42:AL42,"AL*")</f>
        <v/>
      </c>
      <c r="BA42" s="221">
        <f>COUNTIF(H42:AL42,"NC*")</f>
        <v/>
      </c>
      <c r="BB42" s="77" t="n"/>
    </row>
    <row r="43" ht="30" customFormat="1" customHeight="1" s="270">
      <c r="B43" s="410" t="inlineStr">
        <is>
          <t>D26</t>
        </is>
      </c>
      <c r="C43" s="248" t="inlineStr">
        <is>
          <t>0004723</t>
        </is>
      </c>
      <c r="D43" s="345" t="inlineStr">
        <is>
          <t>叶錦容</t>
        </is>
      </c>
      <c r="E43" s="245" t="inlineStr">
        <is>
          <t>SG/G</t>
        </is>
      </c>
      <c r="F43" s="241" t="inlineStr">
        <is>
          <t>SECU_G(M)</t>
        </is>
      </c>
      <c r="G43" s="245" t="inlineStr">
        <is>
          <t>中</t>
        </is>
      </c>
      <c r="H43" s="341" t="n">
        <v>8</v>
      </c>
      <c r="I43" s="273" t="n">
        <v>8</v>
      </c>
      <c r="J43" s="273" t="n">
        <v>8</v>
      </c>
      <c r="K43" s="273" t="n">
        <v>8</v>
      </c>
      <c r="L43" s="44" t="inlineStr">
        <is>
          <t>RD</t>
        </is>
      </c>
      <c r="M43" s="273" t="n">
        <v>8</v>
      </c>
      <c r="N43" s="273" t="n">
        <v>8</v>
      </c>
      <c r="O43" s="273" t="n">
        <v>8</v>
      </c>
      <c r="P43" s="273" t="n">
        <v>8</v>
      </c>
      <c r="Q43" s="44" t="inlineStr">
        <is>
          <t>RD</t>
        </is>
      </c>
      <c r="R43" s="44" t="inlineStr">
        <is>
          <t>RD</t>
        </is>
      </c>
      <c r="S43" s="273" t="n">
        <v>8</v>
      </c>
      <c r="T43" s="273" t="n">
        <v>8</v>
      </c>
      <c r="U43" s="273" t="n">
        <v>8</v>
      </c>
      <c r="V43" s="273" t="n">
        <v>8</v>
      </c>
      <c r="W43" s="273" t="n">
        <v>8</v>
      </c>
      <c r="X43" s="273" t="n">
        <v>8</v>
      </c>
      <c r="Y43" s="44" t="inlineStr">
        <is>
          <t>RD</t>
        </is>
      </c>
      <c r="Z43" s="273" t="n">
        <v>8</v>
      </c>
      <c r="AA43" s="273" t="n">
        <v>8</v>
      </c>
      <c r="AB43" s="273" t="n">
        <v>8</v>
      </c>
      <c r="AC43" s="273" t="n">
        <v>8</v>
      </c>
      <c r="AD43" s="273" t="n">
        <v>8</v>
      </c>
      <c r="AE43" s="273" t="n">
        <v>8</v>
      </c>
      <c r="AF43" s="273" t="n">
        <v>8</v>
      </c>
      <c r="AG43" s="273" t="n">
        <v>8</v>
      </c>
      <c r="AH43" s="44" t="inlineStr">
        <is>
          <t>RD</t>
        </is>
      </c>
      <c r="AI43" s="273" t="n">
        <v>8</v>
      </c>
      <c r="AJ43" s="273" t="n">
        <v>8</v>
      </c>
      <c r="AK43" s="273" t="n">
        <v>8</v>
      </c>
      <c r="AL43" s="342" t="n">
        <v>8</v>
      </c>
      <c r="AM43" s="241">
        <f>COUNT(H43:AL43)</f>
        <v/>
      </c>
      <c r="AN43" s="245">
        <f>SUM(H43:AL43)</f>
        <v/>
      </c>
      <c r="AO43" s="181">
        <f>COUNTIFS($H43:$AL43,$AO$6)</f>
        <v/>
      </c>
      <c r="AP43" s="63">
        <f>COUNTIFS($H43:$AL43,$AP$6)</f>
        <v/>
      </c>
      <c r="AQ43" s="63">
        <f>COUNTIFS($H43:$AL43,$AQ$6)</f>
        <v/>
      </c>
      <c r="AR43" s="63">
        <f>COUNTIFS($H43:$AL43,$AR$6)</f>
        <v/>
      </c>
      <c r="AS43" s="63">
        <f>COUNTIFS($H43:$AL43,$AS$6)</f>
        <v/>
      </c>
      <c r="AT43" s="63">
        <f>AT42</f>
        <v/>
      </c>
      <c r="AU43" s="221">
        <f>COUNTIF(H43:AL43,"RD")</f>
        <v/>
      </c>
      <c r="AV43" s="221">
        <f>AT43-AU43</f>
        <v/>
      </c>
      <c r="AW43" s="221">
        <f>COUNTIF(H43:AL43,"SH")</f>
        <v/>
      </c>
      <c r="AX43" s="221">
        <f>COUNTIF(H43:AL43,"SL")</f>
        <v/>
      </c>
      <c r="AY43" s="221">
        <f>COUNTIF(H43:AL43,"np")</f>
        <v/>
      </c>
      <c r="AZ43" s="221">
        <f>COUNTIF(H43:AL43,"AL*")</f>
        <v/>
      </c>
      <c r="BA43" s="221">
        <f>COUNTIF(H43:AL43,"NC*")</f>
        <v/>
      </c>
      <c r="BB43" s="77" t="n"/>
    </row>
    <row r="44" ht="30" customFormat="1" customHeight="1" s="240">
      <c r="B44" s="410" t="inlineStr">
        <is>
          <t>D27</t>
        </is>
      </c>
      <c r="C44" s="275" t="inlineStr">
        <is>
          <t>0004725</t>
        </is>
      </c>
      <c r="D44" s="346" t="inlineStr">
        <is>
          <t>彭晓琼</t>
        </is>
      </c>
      <c r="E44" s="274" t="inlineStr">
        <is>
          <t>SG/G</t>
        </is>
      </c>
      <c r="F44" s="286" t="inlineStr">
        <is>
          <t>SECU_G(M)</t>
        </is>
      </c>
      <c r="G44" s="274" t="inlineStr">
        <is>
          <t>中</t>
        </is>
      </c>
      <c r="H44" s="341" t="n">
        <v>8</v>
      </c>
      <c r="I44" s="273" t="n">
        <v>8</v>
      </c>
      <c r="J44" s="273" t="n">
        <v>8</v>
      </c>
      <c r="K44" s="273" t="n">
        <v>8</v>
      </c>
      <c r="L44" s="273" t="n">
        <v>8</v>
      </c>
      <c r="M44" s="273" t="n">
        <v>8</v>
      </c>
      <c r="N44" s="44" t="inlineStr">
        <is>
          <t>RD</t>
        </is>
      </c>
      <c r="O44" s="273" t="n">
        <v>8</v>
      </c>
      <c r="P44" s="273" t="n">
        <v>8</v>
      </c>
      <c r="Q44" s="273" t="n">
        <v>8</v>
      </c>
      <c r="R44" s="273" t="n">
        <v>8</v>
      </c>
      <c r="S44" s="273" t="n">
        <v>8</v>
      </c>
      <c r="T44" s="44" t="inlineStr">
        <is>
          <t>RD</t>
        </is>
      </c>
      <c r="U44" s="273" t="n">
        <v>8</v>
      </c>
      <c r="V44" s="273" t="n">
        <v>8</v>
      </c>
      <c r="W44" s="44" t="inlineStr">
        <is>
          <t>RD</t>
        </is>
      </c>
      <c r="X44" s="273" t="n">
        <v>8</v>
      </c>
      <c r="Y44" s="273" t="n">
        <v>8</v>
      </c>
      <c r="Z44" s="273" t="n">
        <v>8</v>
      </c>
      <c r="AA44" s="273" t="n">
        <v>8</v>
      </c>
      <c r="AB44" s="273" t="n">
        <v>8</v>
      </c>
      <c r="AC44" s="44" t="inlineStr">
        <is>
          <t>RD</t>
        </is>
      </c>
      <c r="AD44" s="273" t="n">
        <v>8</v>
      </c>
      <c r="AE44" s="273" t="n">
        <v>8</v>
      </c>
      <c r="AF44" s="273" t="n">
        <v>8</v>
      </c>
      <c r="AG44" s="273" t="n">
        <v>8</v>
      </c>
      <c r="AH44" s="273" t="n">
        <v>8</v>
      </c>
      <c r="AI44" s="273" t="n">
        <v>8</v>
      </c>
      <c r="AJ44" s="44" t="inlineStr">
        <is>
          <t>RD</t>
        </is>
      </c>
      <c r="AK44" s="273" t="n">
        <v>8</v>
      </c>
      <c r="AL44" s="342" t="n">
        <v>8</v>
      </c>
      <c r="AM44" s="286">
        <f>COUNT(H44:AL44)</f>
        <v/>
      </c>
      <c r="AN44" s="274">
        <f>SUM(H44:AL44)</f>
        <v/>
      </c>
      <c r="AO44" s="177">
        <f>COUNTIFS($H44:$AL44,$AO$6)</f>
        <v/>
      </c>
      <c r="AP44" s="178">
        <f>COUNTIFS($H44:$AL44,$AP$6)</f>
        <v/>
      </c>
      <c r="AQ44" s="178">
        <f>COUNTIFS($H44:$AL44,$AQ$6)</f>
        <v/>
      </c>
      <c r="AR44" s="178">
        <f>COUNTIFS($H44:$AL44,$AR$6)</f>
        <v/>
      </c>
      <c r="AS44" s="178">
        <f>COUNTIFS($H44:$AL44,$AS$6)</f>
        <v/>
      </c>
      <c r="AT44" s="63" t="n">
        <v>5</v>
      </c>
      <c r="AU44" s="221">
        <f>COUNTIF(H44:AL44,"RD")</f>
        <v/>
      </c>
      <c r="AV44" s="221">
        <f>AT44-AU44</f>
        <v/>
      </c>
      <c r="AW44" s="221">
        <f>COUNTIF(H44:AL44,"SH")</f>
        <v/>
      </c>
      <c r="AX44" s="221">
        <f>COUNTIF(H44:AL44,"SL")</f>
        <v/>
      </c>
      <c r="AY44" s="221">
        <f>COUNTIF(H44:AL44,"np")</f>
        <v/>
      </c>
      <c r="AZ44" s="221">
        <f>COUNTIF(H44:AL44,"AL*")</f>
        <v/>
      </c>
      <c r="BA44" s="221">
        <f>COUNTIF(H44:AL44,"NC*")</f>
        <v/>
      </c>
      <c r="BB44" s="77" t="n"/>
    </row>
    <row r="45" ht="30" customFormat="1" customHeight="1" s="270">
      <c r="A45" s="240" t="n"/>
      <c r="B45" s="410" t="inlineStr">
        <is>
          <t>D28</t>
        </is>
      </c>
      <c r="C45" s="275" t="inlineStr">
        <is>
          <t>0004726</t>
        </is>
      </c>
      <c r="D45" s="346" t="inlineStr">
        <is>
          <t>陳錫雄</t>
        </is>
      </c>
      <c r="E45" s="274" t="inlineStr">
        <is>
          <t>SG/G</t>
        </is>
      </c>
      <c r="F45" s="286" t="inlineStr">
        <is>
          <t>SECU_G(M)</t>
        </is>
      </c>
      <c r="G45" s="274" t="inlineStr">
        <is>
          <t>中</t>
        </is>
      </c>
      <c r="H45" s="341" t="n">
        <v>8</v>
      </c>
      <c r="I45" s="273" t="n">
        <v>8</v>
      </c>
      <c r="J45" s="273" t="n">
        <v>8</v>
      </c>
      <c r="K45" s="273" t="n">
        <v>8</v>
      </c>
      <c r="L45" s="273" t="n">
        <v>8</v>
      </c>
      <c r="M45" s="44" t="inlineStr">
        <is>
          <t>RD</t>
        </is>
      </c>
      <c r="N45" s="273" t="n">
        <v>8</v>
      </c>
      <c r="O45" s="273" t="n">
        <v>8</v>
      </c>
      <c r="P45" s="273" t="n">
        <v>8</v>
      </c>
      <c r="Q45" s="273" t="n">
        <v>8</v>
      </c>
      <c r="R45" s="44" t="inlineStr">
        <is>
          <t>RD</t>
        </is>
      </c>
      <c r="S45" s="44" t="inlineStr">
        <is>
          <t>RD</t>
        </is>
      </c>
      <c r="T45" s="44" t="inlineStr">
        <is>
          <t>RD</t>
        </is>
      </c>
      <c r="U45" s="273" t="n">
        <v>8</v>
      </c>
      <c r="V45" s="273" t="n">
        <v>8</v>
      </c>
      <c r="W45" s="273" t="n">
        <v>8</v>
      </c>
      <c r="X45" s="273" t="n">
        <v>8</v>
      </c>
      <c r="Y45" s="273" t="n">
        <v>8</v>
      </c>
      <c r="Z45" s="273" t="n">
        <v>8</v>
      </c>
      <c r="AA45" s="273" t="n">
        <v>8</v>
      </c>
      <c r="AB45" s="273" t="n">
        <v>8</v>
      </c>
      <c r="AC45" s="273" t="n">
        <v>8</v>
      </c>
      <c r="AD45" s="44" t="inlineStr">
        <is>
          <t>RD</t>
        </is>
      </c>
      <c r="AE45" s="273" t="n">
        <v>8</v>
      </c>
      <c r="AF45" s="273" t="n">
        <v>8</v>
      </c>
      <c r="AG45" s="273" t="n">
        <v>8</v>
      </c>
      <c r="AH45" s="273" t="n">
        <v>8</v>
      </c>
      <c r="AI45" s="273" t="n">
        <v>8</v>
      </c>
      <c r="AJ45" s="273" t="n">
        <v>8</v>
      </c>
      <c r="AK45" s="273" t="n">
        <v>8</v>
      </c>
      <c r="AL45" s="342" t="n">
        <v>8</v>
      </c>
      <c r="AM45" s="241">
        <f>COUNT(H45:AL45)</f>
        <v/>
      </c>
      <c r="AN45" s="245">
        <f>SUM(H45:AL45)</f>
        <v/>
      </c>
      <c r="AO45" s="177">
        <f>COUNTIFS($H45:$AL45,$AO$6)</f>
        <v/>
      </c>
      <c r="AP45" s="63">
        <f>COUNTIFS($H45:$AL45,$AP$6)</f>
        <v/>
      </c>
      <c r="AQ45" s="178">
        <f>COUNTIFS($H45:$AL45,$AQ$6)</f>
        <v/>
      </c>
      <c r="AR45" s="178">
        <f>COUNTIFS($H45:$AL45,$AR$6)</f>
        <v/>
      </c>
      <c r="AS45" s="178">
        <f>COUNTIFS($H45:$AL45,$AS$6)</f>
        <v/>
      </c>
      <c r="AT45" s="63">
        <f>AT44</f>
        <v/>
      </c>
      <c r="AU45" s="221">
        <f>COUNTIF(H45:AL45,"RD")</f>
        <v/>
      </c>
      <c r="AV45" s="221">
        <f>AT45-AU45</f>
        <v/>
      </c>
      <c r="AW45" s="221">
        <f>COUNTIF(H45:AL45,"SH")</f>
        <v/>
      </c>
      <c r="AX45" s="221">
        <f>COUNTIF(H45:AL45,"SL")</f>
        <v/>
      </c>
      <c r="AY45" s="221">
        <f>COUNTIF(H45:AL45,"np")</f>
        <v/>
      </c>
      <c r="AZ45" s="221">
        <f>COUNTIF(H45:AL45,"AL*")</f>
        <v/>
      </c>
      <c r="BA45" s="221">
        <f>COUNTIF(H45:AL45,"NC*")</f>
        <v/>
      </c>
      <c r="BB45" s="77" t="n"/>
      <c r="BC45" s="240" t="n"/>
    </row>
    <row r="46" ht="30" customFormat="1" customHeight="1" s="270">
      <c r="A46" s="240" t="n"/>
      <c r="B46" s="410" t="inlineStr">
        <is>
          <t>D29</t>
        </is>
      </c>
      <c r="C46" s="275" t="inlineStr">
        <is>
          <t>0004727</t>
        </is>
      </c>
      <c r="D46" s="346" t="inlineStr">
        <is>
          <t>朱君華</t>
        </is>
      </c>
      <c r="E46" s="274" t="inlineStr">
        <is>
          <t>SG/G</t>
        </is>
      </c>
      <c r="F46" s="286" t="inlineStr">
        <is>
          <t>SECU_G(M)</t>
        </is>
      </c>
      <c r="G46" s="274" t="inlineStr">
        <is>
          <t>中</t>
        </is>
      </c>
      <c r="H46" s="341" t="n">
        <v>8</v>
      </c>
      <c r="I46" s="273" t="n">
        <v>8</v>
      </c>
      <c r="J46" s="273" t="n">
        <v>8</v>
      </c>
      <c r="K46" s="273" t="n">
        <v>8</v>
      </c>
      <c r="L46" s="273" t="n">
        <v>8</v>
      </c>
      <c r="M46" s="273" t="n">
        <v>8</v>
      </c>
      <c r="N46" s="273" t="n">
        <v>8</v>
      </c>
      <c r="O46" s="44" t="inlineStr">
        <is>
          <t>RD</t>
        </is>
      </c>
      <c r="P46" s="273" t="n">
        <v>8</v>
      </c>
      <c r="Q46" s="273" t="n">
        <v>8</v>
      </c>
      <c r="R46" s="273" t="n">
        <v>8</v>
      </c>
      <c r="S46" s="273" t="n">
        <v>8</v>
      </c>
      <c r="T46" s="273" t="n">
        <v>8</v>
      </c>
      <c r="U46" s="273" t="n">
        <v>8</v>
      </c>
      <c r="V46" s="273" t="n">
        <v>8</v>
      </c>
      <c r="W46" s="273" t="n">
        <v>8</v>
      </c>
      <c r="X46" s="273" t="n">
        <v>8</v>
      </c>
      <c r="Y46" s="44" t="inlineStr">
        <is>
          <t>RD</t>
        </is>
      </c>
      <c r="Z46" s="273" t="n">
        <v>8</v>
      </c>
      <c r="AA46" s="273" t="n">
        <v>8</v>
      </c>
      <c r="AB46" s="273" t="n">
        <v>8</v>
      </c>
      <c r="AC46" s="273" t="n">
        <v>8</v>
      </c>
      <c r="AD46" s="273" t="n">
        <v>8</v>
      </c>
      <c r="AE46" s="273" t="n">
        <v>8</v>
      </c>
      <c r="AF46" s="273" t="n">
        <v>8</v>
      </c>
      <c r="AG46" s="44" t="inlineStr">
        <is>
          <t>RD</t>
        </is>
      </c>
      <c r="AH46" s="44" t="inlineStr">
        <is>
          <t>RD</t>
        </is>
      </c>
      <c r="AI46" s="44" t="inlineStr">
        <is>
          <t>RD</t>
        </is>
      </c>
      <c r="AJ46" s="273" t="inlineStr">
        <is>
          <t>NP</t>
        </is>
      </c>
      <c r="AK46" s="273" t="inlineStr">
        <is>
          <t>NP</t>
        </is>
      </c>
      <c r="AL46" s="342" t="inlineStr">
        <is>
          <t>NP</t>
        </is>
      </c>
      <c r="AM46" s="286">
        <f>COUNT(H46:AL46)</f>
        <v/>
      </c>
      <c r="AN46" s="274">
        <f>SUM(H46:AL46)</f>
        <v/>
      </c>
      <c r="AO46" s="177">
        <f>COUNTIFS($H46:$AL46,$AO$6)</f>
        <v/>
      </c>
      <c r="AP46" s="178">
        <f>COUNTIFS($H46:$AL46,$AP$6)</f>
        <v/>
      </c>
      <c r="AQ46" s="178">
        <f>COUNTIFS($H46:$AL46,$AQ$6)</f>
        <v/>
      </c>
      <c r="AR46" s="178">
        <f>COUNTIFS($H46:$AL46,$AR$6)</f>
        <v/>
      </c>
      <c r="AS46" s="178">
        <f>COUNTIFS($H46:$AL46,$AS$6)</f>
        <v/>
      </c>
      <c r="AT46" s="63">
        <f>AT45</f>
        <v/>
      </c>
      <c r="AU46" s="221">
        <f>COUNTIF(H46:AL46,"RD")</f>
        <v/>
      </c>
      <c r="AV46" s="221">
        <f>AT46-AU46</f>
        <v/>
      </c>
      <c r="AW46" s="221">
        <f>COUNTIF(H46:AL46,"SH")</f>
        <v/>
      </c>
      <c r="AX46" s="221">
        <f>COUNTIF(H46:AL46,"SL")</f>
        <v/>
      </c>
      <c r="AY46" s="221">
        <f>COUNTIF(H46:AL46,"np")</f>
        <v/>
      </c>
      <c r="AZ46" s="221">
        <f>COUNTIF(H46:AL46,"AL*")</f>
        <v/>
      </c>
      <c r="BA46" s="221">
        <f>COUNTIF(H46:AL46,"NC*")</f>
        <v/>
      </c>
      <c r="BB46" s="77" t="n"/>
      <c r="BC46" s="240" t="n"/>
    </row>
    <row r="47" ht="30" customFormat="1" customHeight="1" s="270">
      <c r="B47" s="410" t="inlineStr">
        <is>
          <t>D30</t>
        </is>
      </c>
      <c r="C47" s="248" t="inlineStr">
        <is>
          <t>0004728</t>
        </is>
      </c>
      <c r="D47" s="345" t="inlineStr">
        <is>
          <t>黃新娣</t>
        </is>
      </c>
      <c r="E47" s="245" t="inlineStr">
        <is>
          <t>SG/G</t>
        </is>
      </c>
      <c r="F47" s="241" t="inlineStr">
        <is>
          <t>SECU_G(M)</t>
        </is>
      </c>
      <c r="G47" s="245" t="inlineStr">
        <is>
          <t>中</t>
        </is>
      </c>
      <c r="H47" s="341" t="n">
        <v>8</v>
      </c>
      <c r="I47" s="273" t="n">
        <v>8</v>
      </c>
      <c r="J47" s="273" t="n">
        <v>8</v>
      </c>
      <c r="K47" s="44" t="inlineStr">
        <is>
          <t>RD</t>
        </is>
      </c>
      <c r="L47" s="273" t="n">
        <v>8</v>
      </c>
      <c r="M47" s="273" t="n">
        <v>8</v>
      </c>
      <c r="N47" s="273" t="n">
        <v>8</v>
      </c>
      <c r="O47" s="273" t="n">
        <v>8</v>
      </c>
      <c r="P47" s="44" t="inlineStr">
        <is>
          <t>RD</t>
        </is>
      </c>
      <c r="Q47" s="273" t="n">
        <v>8</v>
      </c>
      <c r="R47" s="273" t="n">
        <v>8</v>
      </c>
      <c r="S47" s="273" t="n">
        <v>8</v>
      </c>
      <c r="T47" s="273" t="n">
        <v>8</v>
      </c>
      <c r="U47" s="273" t="n">
        <v>8</v>
      </c>
      <c r="V47" s="273" t="n">
        <v>8</v>
      </c>
      <c r="W47" s="44" t="inlineStr">
        <is>
          <t>RD</t>
        </is>
      </c>
      <c r="X47" s="44" t="inlineStr">
        <is>
          <t>RD</t>
        </is>
      </c>
      <c r="Y47" s="273" t="n">
        <v>8</v>
      </c>
      <c r="Z47" s="273" t="n">
        <v>8</v>
      </c>
      <c r="AA47" s="273" t="n">
        <v>8</v>
      </c>
      <c r="AB47" s="273" t="n">
        <v>8</v>
      </c>
      <c r="AC47" s="273" t="n">
        <v>8</v>
      </c>
      <c r="AD47" s="273" t="n">
        <v>8</v>
      </c>
      <c r="AE47" s="273" t="n">
        <v>8</v>
      </c>
      <c r="AF47" s="44" t="inlineStr">
        <is>
          <t>RD</t>
        </is>
      </c>
      <c r="AG47" s="273" t="n">
        <v>8</v>
      </c>
      <c r="AH47" s="273" t="n">
        <v>8</v>
      </c>
      <c r="AI47" s="273" t="n">
        <v>8</v>
      </c>
      <c r="AJ47" s="273" t="n">
        <v>8</v>
      </c>
      <c r="AK47" s="273" t="n">
        <v>8</v>
      </c>
      <c r="AL47" s="342" t="n">
        <v>8</v>
      </c>
      <c r="AM47" s="241">
        <f>COUNT(H47:AL47)</f>
        <v/>
      </c>
      <c r="AN47" s="245">
        <f>SUM(H47:AL47)</f>
        <v/>
      </c>
      <c r="AO47" s="181">
        <f>COUNTIFS($H47:$AL47,$AO$6)</f>
        <v/>
      </c>
      <c r="AP47" s="63">
        <f>COUNTIFS($H47:$AL47,$AP$6)</f>
        <v/>
      </c>
      <c r="AQ47" s="63">
        <f>COUNTIFS($H47:$AL47,$AQ$6)</f>
        <v/>
      </c>
      <c r="AR47" s="63">
        <f>COUNTIFS($H47:$AL47,$AR$6)</f>
        <v/>
      </c>
      <c r="AS47" s="63">
        <f>COUNTIFS($H47:$AL47,$AS$6)</f>
        <v/>
      </c>
      <c r="AT47" s="63">
        <f>AT46</f>
        <v/>
      </c>
      <c r="AU47" s="221">
        <f>COUNTIF(H47:AL47,"RD")</f>
        <v/>
      </c>
      <c r="AV47" s="221">
        <f>AT47-AU47</f>
        <v/>
      </c>
      <c r="AW47" s="221">
        <f>COUNTIF(H47:AL47,"SH")</f>
        <v/>
      </c>
      <c r="AX47" s="221">
        <f>COUNTIF(H47:AL47,"SL")</f>
        <v/>
      </c>
      <c r="AY47" s="221">
        <f>COUNTIF(H47:AL47,"np")</f>
        <v/>
      </c>
      <c r="AZ47" s="221">
        <f>COUNTIF(H47:AL47,"AL*")</f>
        <v/>
      </c>
      <c r="BA47" s="221">
        <f>COUNTIF(H47:AL47,"NC*")</f>
        <v/>
      </c>
      <c r="BB47" s="77" t="n"/>
    </row>
    <row r="48" ht="30" customFormat="1" customHeight="1" s="270" thickBot="1">
      <c r="B48" s="410" t="inlineStr">
        <is>
          <t>D31</t>
        </is>
      </c>
      <c r="C48" s="248" t="inlineStr">
        <is>
          <t>0004729</t>
        </is>
      </c>
      <c r="D48" s="346" t="inlineStr">
        <is>
          <t>高月梅</t>
        </is>
      </c>
      <c r="E48" s="279" t="inlineStr">
        <is>
          <t>SG/G</t>
        </is>
      </c>
      <c r="F48" s="287" t="inlineStr">
        <is>
          <t>SECU_G(M)</t>
        </is>
      </c>
      <c r="G48" s="245" t="inlineStr">
        <is>
          <t>中</t>
        </is>
      </c>
      <c r="H48" s="341" t="n">
        <v>8</v>
      </c>
      <c r="I48" s="273" t="n">
        <v>8</v>
      </c>
      <c r="J48" s="273" t="n">
        <v>8</v>
      </c>
      <c r="K48" s="273" t="n">
        <v>8</v>
      </c>
      <c r="L48" s="273" t="n">
        <v>8</v>
      </c>
      <c r="M48" s="273" t="n">
        <v>8</v>
      </c>
      <c r="N48" s="44" t="inlineStr">
        <is>
          <t>RD</t>
        </is>
      </c>
      <c r="O48" s="273" t="n">
        <v>8</v>
      </c>
      <c r="P48" s="273" t="n">
        <v>8</v>
      </c>
      <c r="Q48" s="44" t="inlineStr">
        <is>
          <t>RD</t>
        </is>
      </c>
      <c r="R48" s="273" t="n">
        <v>8</v>
      </c>
      <c r="S48" s="273" t="n">
        <v>8</v>
      </c>
      <c r="T48" s="273" t="n">
        <v>8</v>
      </c>
      <c r="U48" s="273" t="n">
        <v>8</v>
      </c>
      <c r="V48" s="273" t="n">
        <v>8</v>
      </c>
      <c r="W48" s="273" t="n">
        <v>8</v>
      </c>
      <c r="X48" s="44" t="inlineStr">
        <is>
          <t>RD</t>
        </is>
      </c>
      <c r="Y48" s="273" t="n">
        <v>8</v>
      </c>
      <c r="Z48" s="44" t="n">
        <v>8</v>
      </c>
      <c r="AA48" s="273" t="n">
        <v>8</v>
      </c>
      <c r="AB48" s="273" t="n">
        <v>8</v>
      </c>
      <c r="AC48" s="273" t="n">
        <v>8</v>
      </c>
      <c r="AD48" s="273" t="n">
        <v>8</v>
      </c>
      <c r="AE48" s="273" t="n">
        <v>8</v>
      </c>
      <c r="AF48" s="273" t="n">
        <v>8</v>
      </c>
      <c r="AG48" s="273" t="n">
        <v>8</v>
      </c>
      <c r="AH48" s="273" t="n">
        <v>8</v>
      </c>
      <c r="AI48" s="44" t="inlineStr">
        <is>
          <t>RD</t>
        </is>
      </c>
      <c r="AJ48" s="44" t="inlineStr">
        <is>
          <t>RD</t>
        </is>
      </c>
      <c r="AK48" s="273" t="n">
        <v>8</v>
      </c>
      <c r="AL48" s="342" t="n">
        <v>8</v>
      </c>
      <c r="AM48" s="241">
        <f>COUNT(H48:AL48)</f>
        <v/>
      </c>
      <c r="AN48" s="245">
        <f>SUM(H48:AL48)</f>
        <v/>
      </c>
      <c r="AO48" s="181">
        <f>COUNTIFS($H48:$AL48,$AO$6)</f>
        <v/>
      </c>
      <c r="AP48" s="63">
        <f>COUNTIFS($H48:$AL48,$AP$6)</f>
        <v/>
      </c>
      <c r="AQ48" s="63">
        <f>COUNTIFS($H48:$AL48,$AQ$6)</f>
        <v/>
      </c>
      <c r="AR48" s="63">
        <f>COUNTIFS($H48:$AL48,$AR$6)</f>
        <v/>
      </c>
      <c r="AS48" s="63">
        <f>COUNTIFS($H48:$AL48,$AS$6)</f>
        <v/>
      </c>
      <c r="AT48" s="63">
        <f>AT47</f>
        <v/>
      </c>
      <c r="AU48" s="221">
        <f>COUNTIF(H48:AL48,"RD")</f>
        <v/>
      </c>
      <c r="AV48" s="221">
        <f>AT48-AU48</f>
        <v/>
      </c>
      <c r="AW48" s="221">
        <f>COUNTIF(H48:AL48,"SH")</f>
        <v/>
      </c>
      <c r="AX48" s="221">
        <f>COUNTIF(H48:AL48,"SL")</f>
        <v/>
      </c>
      <c r="AY48" s="221">
        <f>COUNTIF(H48:AL48,"np")</f>
        <v/>
      </c>
      <c r="AZ48" s="221">
        <f>COUNTIF(H48:AL48,"AL*")</f>
        <v/>
      </c>
      <c r="BA48" s="221">
        <f>COUNTIF(H48:AL48,"NC*")</f>
        <v/>
      </c>
      <c r="BB48" s="77" t="n"/>
    </row>
    <row r="49" ht="30" customFormat="1" customHeight="1" s="270">
      <c r="B49" s="410" t="inlineStr">
        <is>
          <t>D32</t>
        </is>
      </c>
      <c r="C49" s="248" t="inlineStr">
        <is>
          <t>0004730</t>
        </is>
      </c>
      <c r="D49" s="346" t="inlineStr">
        <is>
          <t>吳小萍</t>
        </is>
      </c>
      <c r="E49" s="271" t="inlineStr">
        <is>
          <t>SG/G</t>
        </is>
      </c>
      <c r="F49" s="246" t="inlineStr">
        <is>
          <t>SECU_G(M)</t>
        </is>
      </c>
      <c r="G49" s="414" t="inlineStr">
        <is>
          <t>中</t>
        </is>
      </c>
      <c r="H49" s="341" t="n">
        <v>8</v>
      </c>
      <c r="I49" s="273" t="n">
        <v>8</v>
      </c>
      <c r="J49" s="273" t="n">
        <v>8</v>
      </c>
      <c r="K49" s="273" t="n">
        <v>8</v>
      </c>
      <c r="L49" s="44" t="inlineStr">
        <is>
          <t>RD</t>
        </is>
      </c>
      <c r="M49" s="273" t="n">
        <v>8</v>
      </c>
      <c r="N49" s="273" t="n">
        <v>8</v>
      </c>
      <c r="O49" s="273" t="n">
        <v>8</v>
      </c>
      <c r="P49" s="273" t="n">
        <v>8</v>
      </c>
      <c r="Q49" s="44" t="inlineStr">
        <is>
          <t>RD</t>
        </is>
      </c>
      <c r="R49" s="44" t="inlineStr">
        <is>
          <t>RD</t>
        </is>
      </c>
      <c r="S49" s="273" t="n">
        <v>8</v>
      </c>
      <c r="T49" s="273" t="n">
        <v>8</v>
      </c>
      <c r="U49" s="273" t="n">
        <v>8</v>
      </c>
      <c r="V49" s="273" t="n">
        <v>8</v>
      </c>
      <c r="W49" s="273" t="n">
        <v>8</v>
      </c>
      <c r="X49" s="44" t="n">
        <v>8</v>
      </c>
      <c r="Y49" s="273" t="n">
        <v>8</v>
      </c>
      <c r="Z49" s="44" t="inlineStr">
        <is>
          <t>RD</t>
        </is>
      </c>
      <c r="AA49" s="273" t="n">
        <v>8</v>
      </c>
      <c r="AB49" s="273" t="n">
        <v>8</v>
      </c>
      <c r="AC49" s="273" t="n">
        <v>8</v>
      </c>
      <c r="AD49" s="273" t="n">
        <v>8</v>
      </c>
      <c r="AE49" s="273" t="n">
        <v>8</v>
      </c>
      <c r="AF49" s="273" t="n">
        <v>8</v>
      </c>
      <c r="AG49" s="273" t="n">
        <v>8</v>
      </c>
      <c r="AH49" s="273" t="n">
        <v>8</v>
      </c>
      <c r="AI49" s="273" t="n">
        <v>8</v>
      </c>
      <c r="AJ49" s="44" t="inlineStr">
        <is>
          <t>RD</t>
        </is>
      </c>
      <c r="AK49" s="273" t="n">
        <v>8</v>
      </c>
      <c r="AL49" s="342" t="n">
        <v>8</v>
      </c>
      <c r="AM49" s="241">
        <f>COUNT(H49:AL49)</f>
        <v/>
      </c>
      <c r="AN49" s="245">
        <f>SUM(H49:AL49)</f>
        <v/>
      </c>
      <c r="AO49" s="181">
        <f>COUNTIFS($H49:$AL49,$AO$6)</f>
        <v/>
      </c>
      <c r="AP49" s="63">
        <f>COUNTIFS($H49:$AL49,$AP$6)</f>
        <v/>
      </c>
      <c r="AQ49" s="63">
        <f>COUNTIFS($H49:$AL49,$AQ$6)</f>
        <v/>
      </c>
      <c r="AR49" s="63">
        <f>COUNTIFS($H49:$AL49,$AR$6)</f>
        <v/>
      </c>
      <c r="AS49" s="63">
        <f>COUNTIFS($H49:$AL49,$AS$6)</f>
        <v/>
      </c>
      <c r="AT49" s="63">
        <f>AT48</f>
        <v/>
      </c>
      <c r="AU49" s="221">
        <f>COUNTIF(H49:AL49,"RD")</f>
        <v/>
      </c>
      <c r="AV49" s="221">
        <f>AT49-AU49</f>
        <v/>
      </c>
      <c r="AW49" s="221">
        <f>COUNTIF(H49:AL49,"SH")</f>
        <v/>
      </c>
      <c r="AX49" s="221">
        <f>COUNTIF(H49:AL49,"SL")</f>
        <v/>
      </c>
      <c r="AY49" s="221">
        <f>COUNTIF(H49:AL49,"np")</f>
        <v/>
      </c>
      <c r="AZ49" s="221">
        <f>COUNTIF(H49:AL49,"AL*")</f>
        <v/>
      </c>
      <c r="BA49" s="221">
        <f>COUNTIF(H49:AL49,"NC*")</f>
        <v/>
      </c>
      <c r="BB49" s="77" t="n"/>
    </row>
    <row r="50" ht="30" customFormat="1" customHeight="1" s="240">
      <c r="A50" s="270" t="n"/>
      <c r="B50" s="410" t="inlineStr">
        <is>
          <t>D33</t>
        </is>
      </c>
      <c r="C50" s="248" t="inlineStr">
        <is>
          <t>0004731</t>
        </is>
      </c>
      <c r="D50" s="346" t="inlineStr">
        <is>
          <t>楊晓玲</t>
        </is>
      </c>
      <c r="E50" s="245" t="inlineStr">
        <is>
          <t>SG/G</t>
        </is>
      </c>
      <c r="F50" s="241" t="inlineStr">
        <is>
          <t>SECU_G(M)</t>
        </is>
      </c>
      <c r="G50" s="245" t="inlineStr">
        <is>
          <t>中</t>
        </is>
      </c>
      <c r="H50" s="341" t="n">
        <v>8</v>
      </c>
      <c r="I50" s="273" t="n">
        <v>8</v>
      </c>
      <c r="J50" s="44" t="inlineStr">
        <is>
          <t>RD</t>
        </is>
      </c>
      <c r="K50" s="273" t="n">
        <v>8</v>
      </c>
      <c r="L50" s="273" t="n">
        <v>8</v>
      </c>
      <c r="M50" s="273" t="n">
        <v>8</v>
      </c>
      <c r="N50" s="273" t="n">
        <v>8</v>
      </c>
      <c r="O50" s="273" t="n">
        <v>8</v>
      </c>
      <c r="P50" s="273" t="n">
        <v>8</v>
      </c>
      <c r="Q50" s="273" t="n">
        <v>8</v>
      </c>
      <c r="R50" s="273" t="n">
        <v>8</v>
      </c>
      <c r="S50" s="273" t="n">
        <v>8</v>
      </c>
      <c r="T50" s="273" t="n">
        <v>8</v>
      </c>
      <c r="U50" s="44" t="inlineStr">
        <is>
          <t>RD</t>
        </is>
      </c>
      <c r="V50" s="273" t="n">
        <v>8</v>
      </c>
      <c r="W50" s="273" t="n">
        <v>8</v>
      </c>
      <c r="X50" s="273" t="n">
        <v>8</v>
      </c>
      <c r="Y50" s="273" t="n">
        <v>8</v>
      </c>
      <c r="Z50" s="273" t="n">
        <v>8</v>
      </c>
      <c r="AA50" s="44" t="inlineStr">
        <is>
          <t>RD</t>
        </is>
      </c>
      <c r="AB50" s="44" t="inlineStr">
        <is>
          <t>RD</t>
        </is>
      </c>
      <c r="AC50" s="273" t="n">
        <v>8</v>
      </c>
      <c r="AD50" s="273" t="n">
        <v>8</v>
      </c>
      <c r="AE50" s="273" t="n">
        <v>8</v>
      </c>
      <c r="AF50" s="273" t="n">
        <v>8</v>
      </c>
      <c r="AG50" s="273" t="n">
        <v>8</v>
      </c>
      <c r="AH50" s="273" t="n">
        <v>8</v>
      </c>
      <c r="AI50" s="273" t="n">
        <v>8</v>
      </c>
      <c r="AJ50" s="273" t="n">
        <v>8</v>
      </c>
      <c r="AK50" s="44" t="inlineStr">
        <is>
          <t>RD</t>
        </is>
      </c>
      <c r="AL50" s="342" t="n">
        <v>8</v>
      </c>
      <c r="AM50" s="241">
        <f>COUNT(H50:AL50)</f>
        <v/>
      </c>
      <c r="AN50" s="245">
        <f>SUM(H50:AL50)</f>
        <v/>
      </c>
      <c r="AO50" s="181">
        <f>COUNTIFS($H50:$AL50,$AO$6)</f>
        <v/>
      </c>
      <c r="AP50" s="63">
        <f>COUNTIFS($H50:$AL50,$AP$6)</f>
        <v/>
      </c>
      <c r="AQ50" s="63">
        <f>COUNTIFS($H50:$AL50,$AQ$6)</f>
        <v/>
      </c>
      <c r="AR50" s="63">
        <f>COUNTIFS($H50:$AL50,$AR$6)</f>
        <v/>
      </c>
      <c r="AS50" s="63">
        <f>COUNTIFS($H50:$AL50,$AS$6)</f>
        <v/>
      </c>
      <c r="AT50" s="63">
        <f>AT49</f>
        <v/>
      </c>
      <c r="AU50" s="221">
        <f>COUNTIF(H50:AL50,"RD")</f>
        <v/>
      </c>
      <c r="AV50" s="221">
        <f>AT50-AU50</f>
        <v/>
      </c>
      <c r="AW50" s="221">
        <f>COUNTIF(H50:AL50,"SH")</f>
        <v/>
      </c>
      <c r="AX50" s="221">
        <f>COUNTIF(H50:AL50,"SL")</f>
        <v/>
      </c>
      <c r="AY50" s="221">
        <f>COUNTIF(H50:AL50,"np")</f>
        <v/>
      </c>
      <c r="AZ50" s="221">
        <f>COUNTIF(H50:AL50,"AL*")</f>
        <v/>
      </c>
      <c r="BA50" s="221">
        <f>COUNTIF(H50:AL50,"NC*")</f>
        <v/>
      </c>
      <c r="BB50" s="77" t="n"/>
      <c r="BC50" s="270" t="n"/>
    </row>
    <row r="51" ht="30" customFormat="1" customHeight="1" s="270">
      <c r="B51" s="410" t="inlineStr">
        <is>
          <t>D34</t>
        </is>
      </c>
      <c r="C51" s="317" t="inlineStr">
        <is>
          <t>0004732</t>
        </is>
      </c>
      <c r="D51" s="402" t="inlineStr">
        <is>
          <t>鍾京</t>
        </is>
      </c>
      <c r="E51" s="245" t="inlineStr">
        <is>
          <t>SG/G</t>
        </is>
      </c>
      <c r="F51" s="241" t="n"/>
      <c r="G51" s="245" t="inlineStr">
        <is>
          <t>中</t>
        </is>
      </c>
      <c r="H51" s="341" t="n">
        <v>8</v>
      </c>
      <c r="I51" s="260" t="n">
        <v>8</v>
      </c>
      <c r="J51" s="273" t="n">
        <v>8</v>
      </c>
      <c r="K51" s="273" t="n">
        <v>8</v>
      </c>
      <c r="L51" s="273" t="n">
        <v>8</v>
      </c>
      <c r="M51" s="44" t="inlineStr">
        <is>
          <t>RD</t>
        </is>
      </c>
      <c r="N51" s="273" t="n">
        <v>8</v>
      </c>
      <c r="O51" s="273" t="n">
        <v>8</v>
      </c>
      <c r="P51" s="273" t="n">
        <v>8</v>
      </c>
      <c r="Q51" s="273" t="n">
        <v>8</v>
      </c>
      <c r="R51" s="273" t="n">
        <v>8</v>
      </c>
      <c r="S51" s="273" t="n">
        <v>8</v>
      </c>
      <c r="T51" s="273" t="n">
        <v>8</v>
      </c>
      <c r="U51" s="273" t="n">
        <v>8</v>
      </c>
      <c r="V51" s="44" t="inlineStr">
        <is>
          <t>RD</t>
        </is>
      </c>
      <c r="W51" s="44" t="inlineStr">
        <is>
          <t>RD</t>
        </is>
      </c>
      <c r="X51" s="273" t="n">
        <v>8</v>
      </c>
      <c r="Y51" s="273" t="n">
        <v>8</v>
      </c>
      <c r="Z51" s="273" t="n">
        <v>8</v>
      </c>
      <c r="AA51" s="44" t="inlineStr">
        <is>
          <t>RD</t>
        </is>
      </c>
      <c r="AB51" s="273" t="n">
        <v>8</v>
      </c>
      <c r="AC51" s="273" t="n">
        <v>8</v>
      </c>
      <c r="AD51" s="273" t="n">
        <v>8</v>
      </c>
      <c r="AE51" s="273" t="n">
        <v>8</v>
      </c>
      <c r="AF51" s="273" t="n">
        <v>8</v>
      </c>
      <c r="AG51" s="44" t="inlineStr">
        <is>
          <t>RD</t>
        </is>
      </c>
      <c r="AH51" s="273" t="n">
        <v>8</v>
      </c>
      <c r="AI51" s="44" t="n">
        <v>8</v>
      </c>
      <c r="AJ51" s="273" t="n">
        <v>8</v>
      </c>
      <c r="AK51" s="273" t="n">
        <v>8</v>
      </c>
      <c r="AL51" s="342" t="n">
        <v>8</v>
      </c>
      <c r="AM51" s="241">
        <f>COUNT(H51:AL51)</f>
        <v/>
      </c>
      <c r="AN51" s="245">
        <f>SUM(H51:AL51)</f>
        <v/>
      </c>
      <c r="AO51" s="181">
        <f>COUNTIFS($H51:$AL51,$AO$6)</f>
        <v/>
      </c>
      <c r="AP51" s="63">
        <f>COUNTIFS($H51:$AL51,$AP$6)</f>
        <v/>
      </c>
      <c r="AQ51" s="63">
        <f>COUNTIFS($H51:$AL51,$AQ$6)</f>
        <v/>
      </c>
      <c r="AR51" s="63">
        <f>COUNTIFS($H51:$AL51,$AR$6)</f>
        <v/>
      </c>
      <c r="AS51" s="63">
        <f>COUNTIFS($H51:$AL51,$AS$6)</f>
        <v/>
      </c>
      <c r="AT51" s="63">
        <f>AT50</f>
        <v/>
      </c>
      <c r="AU51" s="221">
        <f>COUNTIF(H51:AL51,"RD")</f>
        <v/>
      </c>
      <c r="AV51" s="221">
        <f>AT51-AU51</f>
        <v/>
      </c>
      <c r="AW51" s="221">
        <f>COUNTIF(H51:AL51,"SH")</f>
        <v/>
      </c>
      <c r="AX51" s="221">
        <f>COUNTIF(H51:AL51,"SL")</f>
        <v/>
      </c>
      <c r="AY51" s="221">
        <f>COUNTIF(H51:AL51,"np")</f>
        <v/>
      </c>
      <c r="AZ51" s="221">
        <f>COUNTIF(H51:AL51,"AL*")</f>
        <v/>
      </c>
      <c r="BA51" s="221">
        <f>COUNTIF(H51:AL51,"NC*")</f>
        <v/>
      </c>
      <c r="BB51" s="77" t="n"/>
    </row>
    <row r="52" ht="30" customFormat="1" customHeight="1" s="240">
      <c r="A52" s="270" t="n"/>
      <c r="B52" s="410" t="inlineStr">
        <is>
          <t>D35</t>
        </is>
      </c>
      <c r="C52" s="248" t="inlineStr">
        <is>
          <t>0004733</t>
        </is>
      </c>
      <c r="D52" s="345" t="inlineStr">
        <is>
          <t>陳月惠</t>
        </is>
      </c>
      <c r="E52" s="245" t="inlineStr">
        <is>
          <t>SG/G</t>
        </is>
      </c>
      <c r="F52" s="241" t="inlineStr">
        <is>
          <t>SECU_G(M)</t>
        </is>
      </c>
      <c r="G52" s="245" t="inlineStr">
        <is>
          <t>中</t>
        </is>
      </c>
      <c r="H52" s="341" t="n">
        <v>8</v>
      </c>
      <c r="I52" s="273" t="n">
        <v>8</v>
      </c>
      <c r="J52" s="273" t="n">
        <v>8</v>
      </c>
      <c r="K52" s="44" t="inlineStr">
        <is>
          <t>RD</t>
        </is>
      </c>
      <c r="L52" s="273" t="n">
        <v>8</v>
      </c>
      <c r="M52" s="273" t="n">
        <v>8</v>
      </c>
      <c r="N52" s="273" t="n">
        <v>8</v>
      </c>
      <c r="O52" s="273" t="n">
        <v>8</v>
      </c>
      <c r="P52" s="273" t="n">
        <v>8</v>
      </c>
      <c r="Q52" s="273" t="n">
        <v>8</v>
      </c>
      <c r="R52" s="273" t="n">
        <v>8</v>
      </c>
      <c r="S52" s="273" t="n">
        <v>8</v>
      </c>
      <c r="T52" s="273" t="n">
        <v>8</v>
      </c>
      <c r="U52" s="273" t="n">
        <v>8</v>
      </c>
      <c r="V52" s="44" t="inlineStr">
        <is>
          <t>RD</t>
        </is>
      </c>
      <c r="W52" s="273" t="n">
        <v>8</v>
      </c>
      <c r="X52" s="273" t="n">
        <v>8</v>
      </c>
      <c r="Y52" s="273" t="n">
        <v>8</v>
      </c>
      <c r="Z52" s="273" t="n">
        <v>8</v>
      </c>
      <c r="AA52" s="273" t="n">
        <v>8</v>
      </c>
      <c r="AB52" s="273" t="n">
        <v>8</v>
      </c>
      <c r="AC52" s="273" t="n">
        <v>8</v>
      </c>
      <c r="AD52" s="44" t="inlineStr">
        <is>
          <t>RD</t>
        </is>
      </c>
      <c r="AE52" s="44" t="inlineStr">
        <is>
          <t>RD</t>
        </is>
      </c>
      <c r="AF52" s="273" t="n">
        <v>8</v>
      </c>
      <c r="AG52" s="273" t="n">
        <v>8</v>
      </c>
      <c r="AH52" s="273" t="n">
        <v>8</v>
      </c>
      <c r="AI52" s="273" t="n">
        <v>8</v>
      </c>
      <c r="AJ52" s="44" t="inlineStr">
        <is>
          <t>RD</t>
        </is>
      </c>
      <c r="AK52" s="273" t="n">
        <v>8</v>
      </c>
      <c r="AL52" s="342" t="n">
        <v>8</v>
      </c>
      <c r="AM52" s="241">
        <f>COUNT(H52:AL52)</f>
        <v/>
      </c>
      <c r="AN52" s="245">
        <f>SUM(H52:AL52)</f>
        <v/>
      </c>
      <c r="AO52" s="181">
        <f>COUNTIFS($H52:$AL52,$AO$6)</f>
        <v/>
      </c>
      <c r="AP52" s="63">
        <f>COUNTIFS($H52:$AL52,$AP$6)</f>
        <v/>
      </c>
      <c r="AQ52" s="63">
        <f>COUNTIFS($H52:$AL52,$AQ$6)</f>
        <v/>
      </c>
      <c r="AR52" s="63">
        <f>COUNTIFS($H52:$AL52,$AR$6)</f>
        <v/>
      </c>
      <c r="AS52" s="63">
        <f>COUNTIFS($H52:$AL52,$AS$6)</f>
        <v/>
      </c>
      <c r="AT52" s="63">
        <f>AT50</f>
        <v/>
      </c>
      <c r="AU52" s="220">
        <f>COUNTIF(H52:AL52,"RD")</f>
        <v/>
      </c>
      <c r="AV52" s="220">
        <f>AT52-AU52</f>
        <v/>
      </c>
      <c r="AW52" s="220">
        <f>COUNTIF(H52:AL52,"SH")</f>
        <v/>
      </c>
      <c r="AX52" s="220">
        <f>COUNTIF(H52:AL52,"SL")</f>
        <v/>
      </c>
      <c r="AY52" s="220">
        <f>COUNTIF(H52:AL52,"np")</f>
        <v/>
      </c>
      <c r="AZ52" s="220">
        <f>COUNTIF(H52:AL52,"AL*")</f>
        <v/>
      </c>
      <c r="BA52" s="220">
        <f>COUNTIF(H52:AL52,"NC*")</f>
        <v/>
      </c>
      <c r="BB52" s="226" t="n"/>
      <c r="BC52" s="270" t="n"/>
    </row>
    <row r="53" ht="30" customFormat="1" customHeight="1" s="270">
      <c r="A53" s="240" t="n"/>
      <c r="B53" s="410" t="inlineStr">
        <is>
          <t>D36</t>
        </is>
      </c>
      <c r="C53" s="275" t="inlineStr">
        <is>
          <t>0004734</t>
        </is>
      </c>
      <c r="D53" s="346" t="inlineStr">
        <is>
          <t>梁少雲</t>
        </is>
      </c>
      <c r="E53" s="274" t="inlineStr">
        <is>
          <t>SG/G</t>
        </is>
      </c>
      <c r="F53" s="286" t="inlineStr">
        <is>
          <t>SECU_G(M)</t>
        </is>
      </c>
      <c r="G53" s="274" t="inlineStr">
        <is>
          <t>中</t>
        </is>
      </c>
      <c r="H53" s="341" t="n">
        <v>8</v>
      </c>
      <c r="I53" s="273" t="n">
        <v>8</v>
      </c>
      <c r="J53" s="273" t="n">
        <v>8</v>
      </c>
      <c r="K53" s="273" t="n">
        <v>8</v>
      </c>
      <c r="L53" s="273" t="n">
        <v>8</v>
      </c>
      <c r="M53" s="273" t="n">
        <v>8</v>
      </c>
      <c r="N53" s="44" t="inlineStr">
        <is>
          <t>RD</t>
        </is>
      </c>
      <c r="O53" s="273" t="n">
        <v>8</v>
      </c>
      <c r="P53" s="273" t="n">
        <v>8</v>
      </c>
      <c r="Q53" s="273" t="n">
        <v>8</v>
      </c>
      <c r="R53" s="273" t="n">
        <v>8</v>
      </c>
      <c r="S53" s="273" t="n">
        <v>8</v>
      </c>
      <c r="T53" s="273" t="n">
        <v>8</v>
      </c>
      <c r="U53" s="273" t="n">
        <v>8</v>
      </c>
      <c r="V53" s="273" t="n">
        <v>8</v>
      </c>
      <c r="W53" s="273" t="n">
        <v>8</v>
      </c>
      <c r="X53" s="273" t="n">
        <v>8</v>
      </c>
      <c r="Y53" s="273" t="n">
        <v>8</v>
      </c>
      <c r="Z53" s="44" t="inlineStr">
        <is>
          <t>RD</t>
        </is>
      </c>
      <c r="AA53" s="273" t="n">
        <v>8</v>
      </c>
      <c r="AB53" s="273" t="n">
        <v>8</v>
      </c>
      <c r="AC53" s="273" t="n">
        <v>8</v>
      </c>
      <c r="AD53" s="273" t="n">
        <v>8</v>
      </c>
      <c r="AE53" s="273" t="n">
        <v>8</v>
      </c>
      <c r="AF53" s="273" t="n">
        <v>8</v>
      </c>
      <c r="AG53" s="273" t="n">
        <v>8</v>
      </c>
      <c r="AH53" s="44" t="inlineStr">
        <is>
          <t>RD</t>
        </is>
      </c>
      <c r="AI53" s="44" t="inlineStr">
        <is>
          <t>RD</t>
        </is>
      </c>
      <c r="AJ53" s="44" t="inlineStr">
        <is>
          <t>RD</t>
        </is>
      </c>
      <c r="AK53" s="273" t="n">
        <v>8</v>
      </c>
      <c r="AL53" s="342" t="n">
        <v>8</v>
      </c>
      <c r="AM53" s="241">
        <f>COUNT(H53:AL53)</f>
        <v/>
      </c>
      <c r="AN53" s="245">
        <f>SUM(H53:AL53)</f>
        <v/>
      </c>
      <c r="AO53" s="177">
        <f>COUNTIFS($H53:$AL53,$AO$6)</f>
        <v/>
      </c>
      <c r="AP53" s="63">
        <f>COUNTIFS($H53:$AL53,$AP$6)</f>
        <v/>
      </c>
      <c r="AQ53" s="178">
        <f>COUNTIFS($H53:$AL53,$AQ$6)</f>
        <v/>
      </c>
      <c r="AR53" s="178">
        <f>COUNTIFS($H53:$AL53,$AR$6)</f>
        <v/>
      </c>
      <c r="AS53" s="178">
        <f>COUNTIFS($H53:$AL53,$AS$6)</f>
        <v/>
      </c>
      <c r="AT53" s="63">
        <f>AT52</f>
        <v/>
      </c>
      <c r="AU53" s="221">
        <f>COUNTIF(H53:AL53,"RD")</f>
        <v/>
      </c>
      <c r="AV53" s="221">
        <f>AT53-AU53</f>
        <v/>
      </c>
      <c r="AW53" s="221">
        <f>COUNTIF(H53:AL53,"SH")</f>
        <v/>
      </c>
      <c r="AX53" s="221">
        <f>COUNTIF(H53:AL53,"SL")</f>
        <v/>
      </c>
      <c r="AY53" s="221">
        <f>COUNTIF(H53:AL53,"np")</f>
        <v/>
      </c>
      <c r="AZ53" s="221">
        <f>COUNTIF(H53:AL53,"AL*")</f>
        <v/>
      </c>
      <c r="BA53" s="221">
        <f>COUNTIF(H53:AL53,"NC*")</f>
        <v/>
      </c>
      <c r="BB53" s="77" t="n"/>
      <c r="BC53" s="240" t="n"/>
    </row>
    <row r="54" ht="30" customFormat="1" customHeight="1" s="270">
      <c r="B54" s="410" t="inlineStr">
        <is>
          <t>D37</t>
        </is>
      </c>
      <c r="C54" s="248" t="inlineStr">
        <is>
          <t>0004735</t>
        </is>
      </c>
      <c r="D54" s="346" t="inlineStr">
        <is>
          <t>吳逸森</t>
        </is>
      </c>
      <c r="E54" s="245" t="inlineStr">
        <is>
          <t>SG/G</t>
        </is>
      </c>
      <c r="F54" s="241" t="inlineStr">
        <is>
          <t>SECU_G(M)</t>
        </is>
      </c>
      <c r="G54" s="245" t="inlineStr">
        <is>
          <t>中</t>
        </is>
      </c>
      <c r="H54" s="264" t="inlineStr">
        <is>
          <t>RD</t>
        </is>
      </c>
      <c r="I54" s="273" t="inlineStr">
        <is>
          <t>FH</t>
        </is>
      </c>
      <c r="J54" s="273" t="inlineStr">
        <is>
          <t>FH</t>
        </is>
      </c>
      <c r="K54" s="273" t="n">
        <v>8</v>
      </c>
      <c r="L54" s="273" t="n">
        <v>8</v>
      </c>
      <c r="M54" s="273" t="n">
        <v>8</v>
      </c>
      <c r="N54" s="273" t="n">
        <v>8</v>
      </c>
      <c r="O54" s="273" t="n">
        <v>8</v>
      </c>
      <c r="P54" s="273" t="inlineStr">
        <is>
          <t>FH</t>
        </is>
      </c>
      <c r="Q54" s="273" t="n">
        <v>8</v>
      </c>
      <c r="R54" s="273" t="n">
        <v>8</v>
      </c>
      <c r="S54" s="44" t="inlineStr">
        <is>
          <t>RD</t>
        </is>
      </c>
      <c r="T54" s="273" t="inlineStr">
        <is>
          <t>FH</t>
        </is>
      </c>
      <c r="U54" s="273" t="n">
        <v>8</v>
      </c>
      <c r="V54" s="273" t="n">
        <v>8</v>
      </c>
      <c r="W54" s="273" t="n">
        <v>8</v>
      </c>
      <c r="X54" s="44" t="inlineStr">
        <is>
          <t>RD</t>
        </is>
      </c>
      <c r="Y54" s="273" t="n">
        <v>8</v>
      </c>
      <c r="Z54" s="273" t="inlineStr">
        <is>
          <t>FH</t>
        </is>
      </c>
      <c r="AA54" s="273" t="inlineStr">
        <is>
          <t>FH</t>
        </is>
      </c>
      <c r="AB54" s="273" t="inlineStr">
        <is>
          <t>FH</t>
        </is>
      </c>
      <c r="AC54" s="273" t="n">
        <v>8</v>
      </c>
      <c r="AD54" s="44" t="inlineStr">
        <is>
          <t>RD</t>
        </is>
      </c>
      <c r="AE54" s="273" t="inlineStr">
        <is>
          <t>FH</t>
        </is>
      </c>
      <c r="AF54" s="273" t="n">
        <v>8</v>
      </c>
      <c r="AG54" s="273" t="n">
        <v>8</v>
      </c>
      <c r="AH54" s="273" t="inlineStr">
        <is>
          <t>FH</t>
        </is>
      </c>
      <c r="AI54" s="273" t="n">
        <v>8</v>
      </c>
      <c r="AJ54" s="273" t="n">
        <v>8</v>
      </c>
      <c r="AK54" s="273" t="n">
        <v>8</v>
      </c>
      <c r="AL54" s="340" t="inlineStr">
        <is>
          <t>RD</t>
        </is>
      </c>
      <c r="AM54" s="241">
        <f>COUNT(H54:AL54)</f>
        <v/>
      </c>
      <c r="AN54" s="245">
        <f>SUM(H54:AL54)</f>
        <v/>
      </c>
      <c r="AO54" s="181">
        <f>COUNTIFS($H54:$AL54,$AO$6)</f>
        <v/>
      </c>
      <c r="AP54" s="63">
        <f>COUNTIFS($H54:$AL54,$AP$6)</f>
        <v/>
      </c>
      <c r="AQ54" s="63">
        <f>COUNTIFS($H54:$AL54,$AQ$6)</f>
        <v/>
      </c>
      <c r="AR54" s="63">
        <f>COUNTIFS($H54:$AL54,$AR$6)</f>
        <v/>
      </c>
      <c r="AS54" s="63">
        <f>COUNTIFS($H54:$AL54,$AS$6)</f>
        <v/>
      </c>
      <c r="AT54" s="63">
        <f>AT53</f>
        <v/>
      </c>
      <c r="AU54" s="221">
        <f>COUNTIF(H54:AL54,"RD")</f>
        <v/>
      </c>
      <c r="AV54" s="221">
        <f>AT54-AU54</f>
        <v/>
      </c>
      <c r="AW54" s="221">
        <f>COUNTIF(H54:AL54,"SH")</f>
        <v/>
      </c>
      <c r="AX54" s="221">
        <f>COUNTIF(H54:AL54,"SL")</f>
        <v/>
      </c>
      <c r="AY54" s="221">
        <f>COUNTIF(H54:AL54,"np")</f>
        <v/>
      </c>
      <c r="AZ54" s="221">
        <f>COUNTIF(H54:AL54,"AL*")</f>
        <v/>
      </c>
      <c r="BA54" s="221">
        <f>COUNTIF(H54:AL54,"NC*")</f>
        <v/>
      </c>
      <c r="BB54" s="77" t="n"/>
    </row>
    <row r="55" ht="30" customFormat="1" customHeight="1" s="270">
      <c r="B55" s="410" t="inlineStr">
        <is>
          <t>D38</t>
        </is>
      </c>
      <c r="C55" s="248" t="inlineStr">
        <is>
          <t>0004736</t>
        </is>
      </c>
      <c r="D55" s="345" t="inlineStr">
        <is>
          <t>蘇燕鈴</t>
        </is>
      </c>
      <c r="E55" s="245" t="inlineStr">
        <is>
          <t>SG/G</t>
        </is>
      </c>
      <c r="F55" s="241" t="inlineStr">
        <is>
          <t>SECU_G(M)</t>
        </is>
      </c>
      <c r="G55" s="245" t="inlineStr">
        <is>
          <t>中</t>
        </is>
      </c>
      <c r="H55" s="341" t="n">
        <v>8</v>
      </c>
      <c r="I55" s="44" t="inlineStr">
        <is>
          <t>RD</t>
        </is>
      </c>
      <c r="J55" s="273" t="n">
        <v>8</v>
      </c>
      <c r="K55" s="273" t="n">
        <v>8</v>
      </c>
      <c r="L55" s="273" t="n">
        <v>8</v>
      </c>
      <c r="M55" s="273" t="n">
        <v>8</v>
      </c>
      <c r="N55" s="273" t="n">
        <v>8</v>
      </c>
      <c r="O55" s="273" t="n">
        <v>8</v>
      </c>
      <c r="P55" s="273" t="n">
        <v>8</v>
      </c>
      <c r="Q55" s="273" t="n">
        <v>8</v>
      </c>
      <c r="R55" s="273" t="n">
        <v>8</v>
      </c>
      <c r="S55" s="273" t="n">
        <v>8</v>
      </c>
      <c r="T55" s="44" t="inlineStr">
        <is>
          <t>RD</t>
        </is>
      </c>
      <c r="U55" s="273" t="n">
        <v>8</v>
      </c>
      <c r="V55" s="273" t="n">
        <v>8</v>
      </c>
      <c r="W55" s="273" t="n">
        <v>8</v>
      </c>
      <c r="X55" s="273" t="n">
        <v>8</v>
      </c>
      <c r="Y55" s="273" t="n">
        <v>8</v>
      </c>
      <c r="Z55" s="273" t="n">
        <v>8</v>
      </c>
      <c r="AA55" s="44" t="inlineStr">
        <is>
          <t>RD</t>
        </is>
      </c>
      <c r="AB55" s="273" t="n">
        <v>8</v>
      </c>
      <c r="AC55" s="273" t="n">
        <v>8</v>
      </c>
      <c r="AD55" s="273" t="n">
        <v>8</v>
      </c>
      <c r="AE55" s="273" t="n">
        <v>8</v>
      </c>
      <c r="AF55" s="273" t="n">
        <v>8</v>
      </c>
      <c r="AG55" s="44" t="inlineStr">
        <is>
          <t>RD</t>
        </is>
      </c>
      <c r="AH55" s="44" t="inlineStr">
        <is>
          <t>RD</t>
        </is>
      </c>
      <c r="AI55" s="273" t="n">
        <v>8</v>
      </c>
      <c r="AJ55" s="273" t="n">
        <v>8</v>
      </c>
      <c r="AK55" s="273" t="n">
        <v>8</v>
      </c>
      <c r="AL55" s="342" t="n">
        <v>8</v>
      </c>
      <c r="AM55" s="241">
        <f>COUNT(H55:AL55)</f>
        <v/>
      </c>
      <c r="AN55" s="245">
        <f>SUM(H55:AL55)</f>
        <v/>
      </c>
      <c r="AO55" s="181">
        <f>COUNTIFS($H55:$AL55,$AO$6)</f>
        <v/>
      </c>
      <c r="AP55" s="63">
        <f>COUNTIFS($H55:$AL55,$AP$6)</f>
        <v/>
      </c>
      <c r="AQ55" s="63">
        <f>COUNTIFS($H55:$AL55,$AQ$6)</f>
        <v/>
      </c>
      <c r="AR55" s="63">
        <f>COUNTIFS($H55:$AL55,$AR$6)</f>
        <v/>
      </c>
      <c r="AS55" s="63">
        <f>COUNTIFS($H55:$AL55,$AS$6)</f>
        <v/>
      </c>
      <c r="AT55" s="63">
        <f>AT54</f>
        <v/>
      </c>
      <c r="AU55" s="221">
        <f>COUNTIF(H55:AL55,"RD")</f>
        <v/>
      </c>
      <c r="AV55" s="221">
        <f>AT55-AU55</f>
        <v/>
      </c>
      <c r="AW55" s="221">
        <f>COUNTIF(H55:AL55,"SH")</f>
        <v/>
      </c>
      <c r="AX55" s="221">
        <f>COUNTIF(H55:AL55,"SL")</f>
        <v/>
      </c>
      <c r="AY55" s="221">
        <f>COUNTIF(H55:AL55,"np")</f>
        <v/>
      </c>
      <c r="AZ55" s="221">
        <f>COUNTIF(H55:AL55,"AL*")</f>
        <v/>
      </c>
      <c r="BA55" s="221">
        <f>COUNTIF(H55:AL55,"NC*")</f>
        <v/>
      </c>
      <c r="BB55" s="77" t="n"/>
    </row>
    <row r="56" ht="30" customFormat="1" customHeight="1" s="270">
      <c r="A56" s="240" t="n"/>
      <c r="B56" s="410" t="inlineStr">
        <is>
          <t>D39</t>
        </is>
      </c>
      <c r="C56" s="248" t="inlineStr">
        <is>
          <t>0004737</t>
        </is>
      </c>
      <c r="D56" s="346" t="inlineStr">
        <is>
          <t>羅米辛</t>
        </is>
      </c>
      <c r="E56" s="245" t="inlineStr">
        <is>
          <t>SG/G</t>
        </is>
      </c>
      <c r="F56" s="241" t="inlineStr">
        <is>
          <t>SECU_G(M)</t>
        </is>
      </c>
      <c r="G56" s="245" t="inlineStr">
        <is>
          <t>中</t>
        </is>
      </c>
      <c r="H56" s="341" t="n">
        <v>8</v>
      </c>
      <c r="I56" s="273" t="n">
        <v>8</v>
      </c>
      <c r="J56" s="273" t="n">
        <v>8</v>
      </c>
      <c r="K56" s="44" t="inlineStr">
        <is>
          <t>RD</t>
        </is>
      </c>
      <c r="L56" s="273" t="n">
        <v>8</v>
      </c>
      <c r="M56" s="273" t="n">
        <v>8</v>
      </c>
      <c r="N56" s="273" t="n">
        <v>8</v>
      </c>
      <c r="O56" s="273" t="n">
        <v>8</v>
      </c>
      <c r="P56" s="273" t="n">
        <v>8</v>
      </c>
      <c r="Q56" s="44" t="inlineStr">
        <is>
          <t>RD</t>
        </is>
      </c>
      <c r="R56" s="44" t="inlineStr">
        <is>
          <t>RD</t>
        </is>
      </c>
      <c r="S56" s="273" t="n">
        <v>8</v>
      </c>
      <c r="T56" s="273" t="n">
        <v>8</v>
      </c>
      <c r="U56" s="273" t="n">
        <v>8</v>
      </c>
      <c r="V56" s="273" t="n">
        <v>8</v>
      </c>
      <c r="W56" s="273" t="n">
        <v>8</v>
      </c>
      <c r="X56" s="44" t="inlineStr">
        <is>
          <t>RD</t>
        </is>
      </c>
      <c r="Y56" s="273" t="n">
        <v>8</v>
      </c>
      <c r="Z56" s="273" t="n">
        <v>8</v>
      </c>
      <c r="AA56" s="273" t="n">
        <v>8</v>
      </c>
      <c r="AB56" s="273" t="n">
        <v>8</v>
      </c>
      <c r="AC56" s="273" t="n">
        <v>8</v>
      </c>
      <c r="AD56" s="273" t="n">
        <v>8</v>
      </c>
      <c r="AE56" s="273" t="n">
        <v>8</v>
      </c>
      <c r="AF56" s="273" t="n">
        <v>8</v>
      </c>
      <c r="AG56" s="44" t="inlineStr">
        <is>
          <t>RD</t>
        </is>
      </c>
      <c r="AH56" s="273" t="n">
        <v>8</v>
      </c>
      <c r="AI56" s="273" t="n">
        <v>8</v>
      </c>
      <c r="AJ56" s="273" t="n">
        <v>8</v>
      </c>
      <c r="AK56" s="273" t="n">
        <v>8</v>
      </c>
      <c r="AL56" s="342" t="n">
        <v>8</v>
      </c>
      <c r="AM56" s="430">
        <f>COUNT(H56:AL56)</f>
        <v/>
      </c>
      <c r="AN56" s="417">
        <f>SUM(H56:AL56)</f>
        <v/>
      </c>
      <c r="AO56" s="177">
        <f>COUNTIFS($H56:$AL56,$AO$6)</f>
        <v/>
      </c>
      <c r="AP56" s="63">
        <f>COUNTIFS($H56:$AL56,$AP$6)</f>
        <v/>
      </c>
      <c r="AQ56" s="178">
        <f>COUNTIFS($H56:$AL56,$AQ$6)</f>
        <v/>
      </c>
      <c r="AR56" s="178">
        <f>COUNTIFS($H56:$AL56,$AR$6)</f>
        <v/>
      </c>
      <c r="AS56" s="178">
        <f>COUNTIFS($H56:$AL56,$AS$6)</f>
        <v/>
      </c>
      <c r="AT56" s="63">
        <f>AT55</f>
        <v/>
      </c>
      <c r="AU56" s="221">
        <f>COUNTIF(H56:AL56,"RD")</f>
        <v/>
      </c>
      <c r="AV56" s="221">
        <f>AT56-AU56</f>
        <v/>
      </c>
      <c r="AW56" s="221">
        <f>COUNTIF(H56:AL56,"SH")</f>
        <v/>
      </c>
      <c r="AX56" s="221">
        <f>COUNTIF(H56:AL56,"SL")</f>
        <v/>
      </c>
      <c r="AY56" s="221">
        <f>COUNTIF(H56:AL56,"np")</f>
        <v/>
      </c>
      <c r="AZ56" s="221">
        <f>COUNTIF(H56:AL56,"AL*")</f>
        <v/>
      </c>
      <c r="BA56" s="221">
        <f>COUNTIF(H56:AL56,"NC*")</f>
        <v/>
      </c>
      <c r="BB56" s="77" t="n"/>
      <c r="BC56" s="240" t="n"/>
    </row>
    <row r="57" ht="30" customFormat="1" customHeight="1" s="270" thickBot="1">
      <c r="B57" s="410" t="inlineStr">
        <is>
          <t>D40</t>
        </is>
      </c>
      <c r="C57" s="248" t="inlineStr">
        <is>
          <t>0004983</t>
        </is>
      </c>
      <c r="D57" s="346" t="inlineStr">
        <is>
          <t>熊正會</t>
        </is>
      </c>
      <c r="E57" s="279" t="inlineStr">
        <is>
          <t>SG/G</t>
        </is>
      </c>
      <c r="F57" s="287" t="inlineStr">
        <is>
          <t>SECU_G(M)</t>
        </is>
      </c>
      <c r="G57" s="245" t="inlineStr">
        <is>
          <t>中</t>
        </is>
      </c>
      <c r="H57" s="341" t="n">
        <v>8</v>
      </c>
      <c r="I57" s="273" t="n">
        <v>8</v>
      </c>
      <c r="J57" s="273" t="n">
        <v>8</v>
      </c>
      <c r="K57" s="273" t="n">
        <v>8</v>
      </c>
      <c r="L57" s="44" t="inlineStr">
        <is>
          <t>RD</t>
        </is>
      </c>
      <c r="M57" s="273" t="n">
        <v>8</v>
      </c>
      <c r="N57" s="273" t="n">
        <v>8</v>
      </c>
      <c r="O57" s="273" t="n">
        <v>8</v>
      </c>
      <c r="P57" s="273" t="n">
        <v>8</v>
      </c>
      <c r="Q57" s="273" t="n">
        <v>8</v>
      </c>
      <c r="R57" s="273" t="n">
        <v>8</v>
      </c>
      <c r="S57" s="273" t="n">
        <v>8</v>
      </c>
      <c r="T57" s="44" t="inlineStr">
        <is>
          <t>RD</t>
        </is>
      </c>
      <c r="U57" s="273" t="n">
        <v>8</v>
      </c>
      <c r="V57" s="273" t="n">
        <v>8</v>
      </c>
      <c r="W57" s="273" t="n">
        <v>8</v>
      </c>
      <c r="X57" s="273" t="n">
        <v>8</v>
      </c>
      <c r="Y57" s="273" t="n">
        <v>8</v>
      </c>
      <c r="Z57" s="44" t="inlineStr">
        <is>
          <t>RD</t>
        </is>
      </c>
      <c r="AA57" s="273" t="n">
        <v>8</v>
      </c>
      <c r="AB57" s="273" t="n">
        <v>8</v>
      </c>
      <c r="AC57" s="273" t="n">
        <v>8</v>
      </c>
      <c r="AD57" s="273" t="n">
        <v>8</v>
      </c>
      <c r="AE57" s="273" t="n">
        <v>8</v>
      </c>
      <c r="AF57" s="273" t="n">
        <v>8</v>
      </c>
      <c r="AG57" s="44" t="inlineStr">
        <is>
          <t>RD</t>
        </is>
      </c>
      <c r="AH57" s="44" t="inlineStr">
        <is>
          <t>RD</t>
        </is>
      </c>
      <c r="AI57" s="273" t="n">
        <v>8</v>
      </c>
      <c r="AJ57" s="273" t="n">
        <v>8</v>
      </c>
      <c r="AK57" s="273" t="n">
        <v>8</v>
      </c>
      <c r="AL57" s="342" t="n">
        <v>8</v>
      </c>
      <c r="AM57" s="429">
        <f>COUNT(H57:AL57)</f>
        <v/>
      </c>
      <c r="AN57" s="367">
        <f>SUM(H57:AL57)</f>
        <v/>
      </c>
      <c r="AO57" s="181">
        <f>COUNTIFS($H57:$AL57,$AO$6)</f>
        <v/>
      </c>
      <c r="AP57" s="63">
        <f>COUNTIFS($H57:$AL57,$AP$6)</f>
        <v/>
      </c>
      <c r="AQ57" s="63">
        <f>COUNTIFS($H57:$AL57,$AQ$6)</f>
        <v/>
      </c>
      <c r="AR57" s="63">
        <f>COUNTIFS($H57:$AL57,$AR$6)</f>
        <v/>
      </c>
      <c r="AS57" s="63">
        <f>COUNTIFS($H57:$AL57,$AS$6)</f>
        <v/>
      </c>
      <c r="AT57" s="63">
        <f>AT56</f>
        <v/>
      </c>
      <c r="AU57" s="221">
        <f>COUNTIF(H57:AL57,"RD")</f>
        <v/>
      </c>
      <c r="AV57" s="221">
        <f>AT57-AU57</f>
        <v/>
      </c>
      <c r="AW57" s="221">
        <f>COUNTIF(H57:AL57,"SH")</f>
        <v/>
      </c>
      <c r="AX57" s="221">
        <f>COUNTIF(H57:AL57,"SL")</f>
        <v/>
      </c>
      <c r="AY57" s="221">
        <f>COUNTIF(H57:AL57,"np")</f>
        <v/>
      </c>
      <c r="AZ57" s="221">
        <f>COUNTIF(H57:AL57,"AL*")</f>
        <v/>
      </c>
      <c r="BA57" s="221">
        <f>COUNTIF(H57:AL57,"NC*")</f>
        <v/>
      </c>
      <c r="BB57" s="77" t="n"/>
    </row>
    <row r="58" ht="30" customFormat="1" customHeight="1" s="270" thickBot="1">
      <c r="B58" s="411" t="inlineStr">
        <is>
          <t>D41</t>
        </is>
      </c>
      <c r="C58" s="277" t="inlineStr">
        <is>
          <t>0005147</t>
        </is>
      </c>
      <c r="D58" s="403" t="inlineStr">
        <is>
          <t>莫風珍</t>
        </is>
      </c>
      <c r="E58" s="148" t="inlineStr">
        <is>
          <t>SG/G</t>
        </is>
      </c>
      <c r="F58" s="147" t="inlineStr">
        <is>
          <t>SECU_G(M)</t>
        </is>
      </c>
      <c r="G58" s="415" t="inlineStr">
        <is>
          <t>中</t>
        </is>
      </c>
      <c r="H58" s="343" t="inlineStr">
        <is>
          <t>NC</t>
        </is>
      </c>
      <c r="I58" s="283" t="inlineStr">
        <is>
          <t>NC</t>
        </is>
      </c>
      <c r="J58" s="283" t="inlineStr">
        <is>
          <t>NC</t>
        </is>
      </c>
      <c r="K58" s="283" t="inlineStr">
        <is>
          <t>NC</t>
        </is>
      </c>
      <c r="L58" s="283" t="inlineStr">
        <is>
          <t>NC</t>
        </is>
      </c>
      <c r="M58" s="283" t="inlineStr">
        <is>
          <t>NC</t>
        </is>
      </c>
      <c r="N58" s="283" t="inlineStr">
        <is>
          <t>NC</t>
        </is>
      </c>
      <c r="O58" s="283" t="inlineStr">
        <is>
          <t>NC</t>
        </is>
      </c>
      <c r="P58" s="283" t="inlineStr">
        <is>
          <t>NC</t>
        </is>
      </c>
      <c r="Q58" s="283" t="inlineStr">
        <is>
          <t>NC</t>
        </is>
      </c>
      <c r="R58" s="283" t="n">
        <v>8</v>
      </c>
      <c r="S58" s="283" t="n">
        <v>8</v>
      </c>
      <c r="T58" s="283" t="n">
        <v>8</v>
      </c>
      <c r="U58" s="283" t="n">
        <v>8</v>
      </c>
      <c r="V58" s="283" t="n">
        <v>8</v>
      </c>
      <c r="W58" s="283" t="n">
        <v>8</v>
      </c>
      <c r="X58" s="283" t="n">
        <v>8</v>
      </c>
      <c r="Y58" s="283" t="n">
        <v>8</v>
      </c>
      <c r="Z58" s="269" t="n">
        <v>8</v>
      </c>
      <c r="AA58" s="269" t="inlineStr">
        <is>
          <t>RD</t>
        </is>
      </c>
      <c r="AB58" s="269" t="inlineStr">
        <is>
          <t>RD</t>
        </is>
      </c>
      <c r="AC58" s="283" t="n">
        <v>8</v>
      </c>
      <c r="AD58" s="283" t="n">
        <v>8</v>
      </c>
      <c r="AE58" s="283" t="n">
        <v>8</v>
      </c>
      <c r="AF58" s="283" t="n">
        <v>8</v>
      </c>
      <c r="AG58" s="283" t="n">
        <v>8</v>
      </c>
      <c r="AH58" s="283" t="n">
        <v>8</v>
      </c>
      <c r="AI58" s="269" t="inlineStr">
        <is>
          <t>RD</t>
        </is>
      </c>
      <c r="AJ58" s="283" t="n">
        <v>8</v>
      </c>
      <c r="AK58" s="283" t="n">
        <v>8</v>
      </c>
      <c r="AL58" s="344" t="n">
        <v>8</v>
      </c>
      <c r="AM58" s="287">
        <f>COUNT(H58:AL58)</f>
        <v/>
      </c>
      <c r="AN58" s="279">
        <f>SUM(H58:AL58)</f>
        <v/>
      </c>
      <c r="AO58" s="215">
        <f>COUNTIFS($H58:$AL58,$AO$6)</f>
        <v/>
      </c>
      <c r="AP58" s="137">
        <f>COUNTIFS($H58:$AL58,$AP$6)</f>
        <v/>
      </c>
      <c r="AQ58" s="137">
        <f>COUNTIFS($H58:$AL58,$AQ$6)</f>
        <v/>
      </c>
      <c r="AR58" s="137">
        <f>COUNTIFS($H58:$AL58,$AR$6)</f>
        <v/>
      </c>
      <c r="AS58" s="137">
        <f>COUNTIFS($H58:$AL58,$AS$6)</f>
        <v/>
      </c>
      <c r="AT58" s="137" t="n">
        <v>3</v>
      </c>
      <c r="AU58" s="72">
        <f>COUNTIF(H58:AL58,"RD")</f>
        <v/>
      </c>
      <c r="AV58" s="72">
        <f>AT58-AU58</f>
        <v/>
      </c>
      <c r="AW58" s="72">
        <f>COUNTIF(H58:AL58,"SH")</f>
        <v/>
      </c>
      <c r="AX58" s="72">
        <f>COUNTIF(H58:AL58,"SL")</f>
        <v/>
      </c>
      <c r="AY58" s="72">
        <f>COUNTIF(H58:AL58,"np")</f>
        <v/>
      </c>
      <c r="AZ58" s="72">
        <f>COUNTIF(H58:AL58,"AL*")</f>
        <v/>
      </c>
      <c r="BA58" s="72">
        <f>COUNTIF(H58:AL58,"NC*")</f>
        <v/>
      </c>
      <c r="BB58" s="347" t="n"/>
    </row>
    <row r="59" ht="21.95" customHeight="1" s="506" thickBot="1">
      <c r="B59" s="477" t="inlineStr">
        <is>
          <t>合約要求每日人數:31</t>
        </is>
      </c>
      <c r="D59" s="478" t="inlineStr">
        <is>
          <t xml:space="preserve">每日出勤人數:  </t>
        </is>
      </c>
      <c r="H59" s="40">
        <f>COUNTIF(H20:H58,"8")</f>
        <v/>
      </c>
      <c r="I59" s="40">
        <f>COUNTIF(I20:I58,"8")</f>
        <v/>
      </c>
      <c r="J59" s="40">
        <f>COUNTIF(J20:J58,"8")</f>
        <v/>
      </c>
      <c r="K59" s="40">
        <f>COUNTIF(K20:K58,"8")</f>
        <v/>
      </c>
      <c r="L59" s="40">
        <f>COUNTIF(L20:L58,"8")</f>
        <v/>
      </c>
      <c r="M59" s="40">
        <f>COUNTIF(M20:M58,"8")</f>
        <v/>
      </c>
      <c r="N59" s="40">
        <f>COUNTIF(N20:N58,"8")</f>
        <v/>
      </c>
      <c r="O59" s="40">
        <f>COUNTIF(O20:O58,"8")</f>
        <v/>
      </c>
      <c r="P59" s="40">
        <f>COUNTIF(P20:P58,"8")</f>
        <v/>
      </c>
      <c r="Q59" s="40">
        <f>COUNTIF(Q20:Q58,"8")</f>
        <v/>
      </c>
      <c r="R59" s="40">
        <f>COUNTIF(R20:R58,"8")</f>
        <v/>
      </c>
      <c r="S59" s="40">
        <f>COUNTIF(S20:S58,"8")</f>
        <v/>
      </c>
      <c r="T59" s="40">
        <f>COUNTIF(T20:T58,"8")</f>
        <v/>
      </c>
      <c r="U59" s="40">
        <f>COUNTIF(U20:U58,"8")</f>
        <v/>
      </c>
      <c r="V59" s="40">
        <f>COUNTIF(V20:V58,"8")</f>
        <v/>
      </c>
      <c r="W59" s="40">
        <f>COUNTIF(W20:W58,"8")</f>
        <v/>
      </c>
      <c r="X59" s="40">
        <f>COUNTIF(X20:X58,"8")</f>
        <v/>
      </c>
      <c r="Y59" s="40">
        <f>COUNTIF(Y20:Y58,"8")</f>
        <v/>
      </c>
      <c r="Z59" s="40">
        <f>COUNTIF(Z20:Z58,"8")</f>
        <v/>
      </c>
      <c r="AA59" s="40">
        <f>COUNTIF(AA20:AA58,"8")</f>
        <v/>
      </c>
      <c r="AB59" s="40">
        <f>COUNTIF(AB20:AB58,"8")</f>
        <v/>
      </c>
      <c r="AC59" s="40">
        <f>COUNTIF(AC20:AC58,"8")</f>
        <v/>
      </c>
      <c r="AD59" s="40">
        <f>COUNTIF(AD20:AD58,"8")</f>
        <v/>
      </c>
      <c r="AE59" s="40">
        <f>COUNTIF(AE20:AE58,"8")</f>
        <v/>
      </c>
      <c r="AF59" s="40">
        <f>COUNTIF(AF20:AF58,"8")</f>
        <v/>
      </c>
      <c r="AG59" s="40">
        <f>COUNTIF(AG20:AG58,"8")</f>
        <v/>
      </c>
      <c r="AH59" s="40">
        <f>COUNTIF(AH20:AH58,"8")</f>
        <v/>
      </c>
      <c r="AI59" s="40">
        <f>COUNTIF(AI20:AI58,"8")</f>
        <v/>
      </c>
      <c r="AJ59" s="40">
        <f>COUNTIF(AJ20:AJ58,"8")</f>
        <v/>
      </c>
      <c r="AK59" s="40">
        <f>COUNTIF(AK20:AK58,"8")</f>
        <v/>
      </c>
      <c r="AL59" s="40">
        <f>COUNTIF(AL20:AL58,"8")</f>
        <v/>
      </c>
      <c r="AM59" s="94">
        <f>SUM(AM20:AM58)</f>
        <v/>
      </c>
      <c r="AN59" s="94">
        <f>SUM(AN20:AN58)</f>
        <v/>
      </c>
      <c r="AO59" s="40" t="n"/>
      <c r="AP59" s="40" t="n"/>
      <c r="AQ59" s="40" t="n"/>
      <c r="AR59" s="40" t="n"/>
      <c r="AS59" s="40" t="n"/>
      <c r="AT59" s="75" t="n"/>
      <c r="AU59" s="69" t="n"/>
      <c r="AV59" s="69" t="n"/>
      <c r="AW59" s="69" t="n"/>
      <c r="AX59" s="69" t="n"/>
      <c r="AY59" s="69" t="n"/>
      <c r="AZ59" s="69" t="n"/>
      <c r="BA59" s="69" t="n"/>
      <c r="BB59" s="68" t="n"/>
    </row>
    <row r="60" ht="15.75" customFormat="1" customHeight="1" s="1">
      <c r="A60" s="4" t="n"/>
      <c r="B60" s="67" t="n"/>
      <c r="C60" s="67" t="n"/>
      <c r="D60" s="67" t="n"/>
      <c r="E60" s="67" t="n"/>
      <c r="F60" s="67" t="n"/>
      <c r="G60" s="67" t="n"/>
      <c r="H60" s="40" t="n"/>
      <c r="I60" s="40" t="n"/>
      <c r="J60" s="40" t="n"/>
      <c r="K60" s="40" t="n"/>
      <c r="L60" s="40" t="n"/>
      <c r="M60" s="40" t="n"/>
      <c r="N60" s="40" t="n"/>
      <c r="O60" s="40" t="n"/>
      <c r="P60" s="40" t="n"/>
      <c r="Q60" s="40" t="n"/>
      <c r="R60" s="40" t="n"/>
      <c r="S60" s="40" t="n"/>
      <c r="T60" s="40" t="n"/>
      <c r="U60" s="40" t="n"/>
      <c r="V60" s="40" t="n"/>
      <c r="W60" s="40" t="n"/>
      <c r="X60" s="40" t="n"/>
      <c r="Y60" s="40" t="n"/>
      <c r="Z60" s="40" t="n"/>
      <c r="AA60" s="40" t="n"/>
      <c r="AB60" s="40" t="n"/>
      <c r="AC60" s="40" t="n"/>
      <c r="AD60" s="40" t="n"/>
      <c r="AE60" s="40" t="n"/>
      <c r="AF60" s="40" t="n"/>
      <c r="AG60" s="40" t="n"/>
      <c r="AH60" s="40" t="n"/>
      <c r="AI60" s="40" t="n"/>
      <c r="AJ60" s="40" t="n"/>
      <c r="AK60" s="40" t="n"/>
      <c r="AL60" s="40" t="n"/>
      <c r="AM60" s="78" t="n"/>
      <c r="AN60" s="78" t="n"/>
      <c r="AO60" s="78" t="n"/>
      <c r="AP60" s="78" t="n"/>
      <c r="AQ60" s="78" t="n"/>
      <c r="AR60" s="78" t="n"/>
      <c r="AS60" s="78" t="n"/>
      <c r="AT60" s="68" t="n"/>
      <c r="AU60" s="69" t="n"/>
      <c r="AV60" s="69" t="n"/>
      <c r="AW60" s="69" t="n"/>
      <c r="AX60" s="69" t="n"/>
      <c r="AY60" s="69" t="n"/>
      <c r="AZ60" s="69" t="n"/>
      <c r="BA60" s="69" t="n"/>
      <c r="BB60" s="68" t="n"/>
    </row>
    <row r="61" ht="21.95" customHeight="1" s="506" thickBot="1">
      <c r="B61" s="90" t="n"/>
      <c r="C61" s="91" t="n"/>
      <c r="D61" s="91" t="n"/>
      <c r="E61" s="91" t="n"/>
      <c r="F61" s="91" t="n"/>
      <c r="G61" s="91" t="n"/>
      <c r="H61" s="90" t="n"/>
      <c r="I61" s="90" t="n"/>
      <c r="J61" s="90" t="n"/>
      <c r="K61" s="90" t="n"/>
      <c r="L61" s="90" t="n"/>
      <c r="AM61" s="47" t="inlineStr">
        <is>
          <t>總日數</t>
        </is>
      </c>
      <c r="AN61" s="49" t="inlineStr">
        <is>
          <t>總時數</t>
        </is>
      </c>
    </row>
    <row r="62" ht="21.95" customHeight="1" s="506">
      <c r="B62" s="562" t="inlineStr">
        <is>
          <t>特別保安員每日工作(實際)總人數</t>
        </is>
      </c>
      <c r="C62" s="519" t="n"/>
      <c r="D62" s="520" t="n"/>
      <c r="E62" s="472" t="n"/>
      <c r="F62" s="472" t="n"/>
      <c r="G62" s="50" t="inlineStr">
        <is>
          <t>SG</t>
        </is>
      </c>
      <c r="H62" s="92">
        <f>H15</f>
        <v/>
      </c>
      <c r="I62" s="92">
        <f>I15</f>
        <v/>
      </c>
      <c r="J62" s="92">
        <f>J15</f>
        <v/>
      </c>
      <c r="K62" s="92">
        <f>K15</f>
        <v/>
      </c>
      <c r="L62" s="92">
        <f>L15</f>
        <v/>
      </c>
      <c r="M62" s="92">
        <f>M15</f>
        <v/>
      </c>
      <c r="N62" s="92">
        <f>N15</f>
        <v/>
      </c>
      <c r="O62" s="92">
        <f>O15</f>
        <v/>
      </c>
      <c r="P62" s="92">
        <f>P15</f>
        <v/>
      </c>
      <c r="Q62" s="92">
        <f>Q15</f>
        <v/>
      </c>
      <c r="R62" s="92">
        <f>R15</f>
        <v/>
      </c>
      <c r="S62" s="92">
        <f>S15</f>
        <v/>
      </c>
      <c r="T62" s="92">
        <f>T15</f>
        <v/>
      </c>
      <c r="U62" s="92">
        <f>U15</f>
        <v/>
      </c>
      <c r="V62" s="92">
        <f>V15</f>
        <v/>
      </c>
      <c r="W62" s="92">
        <f>W15</f>
        <v/>
      </c>
      <c r="X62" s="92">
        <f>X15</f>
        <v/>
      </c>
      <c r="Y62" s="92">
        <f>Y15</f>
        <v/>
      </c>
      <c r="Z62" s="92">
        <f>Z15</f>
        <v/>
      </c>
      <c r="AA62" s="92">
        <f>AA15</f>
        <v/>
      </c>
      <c r="AB62" s="92">
        <f>AB15</f>
        <v/>
      </c>
      <c r="AC62" s="92">
        <f>AC15</f>
        <v/>
      </c>
      <c r="AD62" s="92">
        <f>AD15</f>
        <v/>
      </c>
      <c r="AE62" s="92">
        <f>AE15</f>
        <v/>
      </c>
      <c r="AF62" s="92">
        <f>AF15</f>
        <v/>
      </c>
      <c r="AG62" s="92">
        <f>AG15</f>
        <v/>
      </c>
      <c r="AH62" s="92">
        <f>AH15</f>
        <v/>
      </c>
      <c r="AI62" s="92">
        <f>AI15</f>
        <v/>
      </c>
      <c r="AJ62" s="92">
        <f>AJ15</f>
        <v/>
      </c>
      <c r="AK62" s="92">
        <f>AK15</f>
        <v/>
      </c>
      <c r="AL62" s="92">
        <f>AL15</f>
        <v/>
      </c>
      <c r="AM62" s="50">
        <f>SUM(H62:AL62)</f>
        <v/>
      </c>
      <c r="AN62" s="50">
        <f>AM62*8</f>
        <v/>
      </c>
    </row>
    <row r="63" ht="21.95" customHeight="1" s="506">
      <c r="B63" s="563" t="inlineStr">
        <is>
          <t>特別保安員每日工作(要求)總人數</t>
        </is>
      </c>
      <c r="C63" s="522" t="n"/>
      <c r="D63" s="523" t="n"/>
      <c r="E63" s="475" t="n"/>
      <c r="F63" s="475" t="n"/>
      <c r="G63" s="51" t="n"/>
      <c r="H63" s="93" t="n">
        <v>2</v>
      </c>
      <c r="I63" s="93" t="n">
        <v>2</v>
      </c>
      <c r="J63" s="93" t="n">
        <v>2</v>
      </c>
      <c r="K63" s="93" t="n">
        <v>2</v>
      </c>
      <c r="L63" s="93" t="n">
        <v>2</v>
      </c>
      <c r="M63" s="93" t="n">
        <v>2</v>
      </c>
      <c r="N63" s="93" t="n">
        <v>2</v>
      </c>
      <c r="O63" s="93" t="n">
        <v>2</v>
      </c>
      <c r="P63" s="93" t="n">
        <v>2</v>
      </c>
      <c r="Q63" s="93" t="n">
        <v>2</v>
      </c>
      <c r="R63" s="93" t="n">
        <v>2</v>
      </c>
      <c r="S63" s="93" t="n">
        <v>2</v>
      </c>
      <c r="T63" s="93" t="n">
        <v>2</v>
      </c>
      <c r="U63" s="93" t="n">
        <v>2</v>
      </c>
      <c r="V63" s="93" t="n">
        <v>2</v>
      </c>
      <c r="W63" s="93" t="n">
        <v>2</v>
      </c>
      <c r="X63" s="93" t="n">
        <v>2</v>
      </c>
      <c r="Y63" s="93" t="n">
        <v>2</v>
      </c>
      <c r="Z63" s="93" t="n">
        <v>2</v>
      </c>
      <c r="AA63" s="93" t="n">
        <v>2</v>
      </c>
      <c r="AB63" s="93" t="n">
        <v>2</v>
      </c>
      <c r="AC63" s="93" t="n">
        <v>2</v>
      </c>
      <c r="AD63" s="93" t="n">
        <v>2</v>
      </c>
      <c r="AE63" s="93" t="n">
        <v>2</v>
      </c>
      <c r="AF63" s="93" t="n">
        <v>2</v>
      </c>
      <c r="AG63" s="93" t="n">
        <v>2</v>
      </c>
      <c r="AH63" s="93" t="n">
        <v>2</v>
      </c>
      <c r="AI63" s="93" t="n">
        <v>2</v>
      </c>
      <c r="AJ63" s="93" t="n">
        <v>2</v>
      </c>
      <c r="AK63" s="93" t="n">
        <v>2</v>
      </c>
      <c r="AL63" s="93" t="n">
        <v>2</v>
      </c>
      <c r="AM63" s="51">
        <f>SUM(H63:AL63)</f>
        <v/>
      </c>
      <c r="AN63" s="51">
        <f>AM63*8</f>
        <v/>
      </c>
    </row>
    <row r="64" ht="21.95" customHeight="1" s="506" thickBot="1">
      <c r="B64" s="564" t="inlineStr">
        <is>
          <t>特別保安員每日工作(缺勤)總人數</t>
        </is>
      </c>
      <c r="C64" s="525" t="n"/>
      <c r="D64" s="526" t="n"/>
      <c r="E64" s="469" t="n"/>
      <c r="F64" s="469" t="n"/>
      <c r="G64" s="89" t="n"/>
      <c r="H64" s="565">
        <f>IF((H62-H63)&lt;0,H62-H63,0)</f>
        <v/>
      </c>
      <c r="I64" s="565">
        <f>IF((I62-I63)&lt;0,I62-I63,0)</f>
        <v/>
      </c>
      <c r="J64" s="565">
        <f>IF((J62-J63)&lt;0,J62-J63,0)</f>
        <v/>
      </c>
      <c r="K64" s="565">
        <f>IF((K62-K63)&lt;0,K62-K63,0)</f>
        <v/>
      </c>
      <c r="L64" s="565">
        <f>IF((L62-L63)&lt;0,L62-L63,0)</f>
        <v/>
      </c>
      <c r="M64" s="565">
        <f>IF((M62-M63)&lt;0,M62-M63,0)</f>
        <v/>
      </c>
      <c r="N64" s="565">
        <f>IF((N62-N63)&lt;0,N62-N63,0)</f>
        <v/>
      </c>
      <c r="O64" s="565">
        <f>IF((O62-O63)&lt;0,O62-O63,0)</f>
        <v/>
      </c>
      <c r="P64" s="565">
        <f>IF((P62-P63)&lt;0,P62-P63,0)</f>
        <v/>
      </c>
      <c r="Q64" s="565">
        <f>IF((Q62-Q63)&lt;0,Q62-Q63,0)</f>
        <v/>
      </c>
      <c r="R64" s="565">
        <f>IF((R62-R63)&lt;0,R62-R63,0)</f>
        <v/>
      </c>
      <c r="S64" s="565">
        <f>IF((S62-S63)&lt;0,S62-S63,0)</f>
        <v/>
      </c>
      <c r="T64" s="565">
        <f>IF((T62-T63)&lt;0,T62-T63,0)</f>
        <v/>
      </c>
      <c r="U64" s="565">
        <f>IF((U62-U63)&lt;0,U62-U63,0)</f>
        <v/>
      </c>
      <c r="V64" s="565">
        <f>IF((V62-V63)&lt;0,V62-V63,0)</f>
        <v/>
      </c>
      <c r="W64" s="565">
        <f>IF((W62-W63)&lt;0,W62-W63,0)</f>
        <v/>
      </c>
      <c r="X64" s="565">
        <f>IF((X62-X63)&lt;0,X62-X63,0)</f>
        <v/>
      </c>
      <c r="Y64" s="565">
        <f>IF((Y62-Y63)&lt;0,Y62-Y63,0)</f>
        <v/>
      </c>
      <c r="Z64" s="565">
        <f>IF((Z62-Z63)&lt;0,Z62-Z63,0)</f>
        <v/>
      </c>
      <c r="AA64" s="565">
        <f>IF((AA62-AA63)&lt;0,AA62-AA63,0)</f>
        <v/>
      </c>
      <c r="AB64" s="565">
        <f>IF((AB62-AB63)&lt;0,AB62-AB63,0)</f>
        <v/>
      </c>
      <c r="AC64" s="565">
        <f>IF((AC62-AC63)&lt;0,AC62-AC63,0)</f>
        <v/>
      </c>
      <c r="AD64" s="565">
        <f>IF((AD62-AD63)&lt;0,AD62-AD63,0)</f>
        <v/>
      </c>
      <c r="AE64" s="565">
        <f>IF((AE62-AE63)&lt;0,AE62-AE63,0)</f>
        <v/>
      </c>
      <c r="AF64" s="565">
        <f>IF((AF62-AF63)&lt;0,AF62-AF63,0)</f>
        <v/>
      </c>
      <c r="AG64" s="565">
        <f>IF((AG62-AG63)&lt;0,AG62-AG63,0)</f>
        <v/>
      </c>
      <c r="AH64" s="565">
        <f>IF((AH62-AH63)&lt;0,AH62-AH63,0)</f>
        <v/>
      </c>
      <c r="AI64" s="565">
        <f>IF((AI62-AI63)&lt;0,AI62-AI63,0)</f>
        <v/>
      </c>
      <c r="AJ64" s="565">
        <f>IF((AJ62-AJ63)&lt;0,AJ62-AJ63,0)</f>
        <v/>
      </c>
      <c r="AK64" s="565">
        <f>IF((AK62-AK63)&lt;0,AK62-AK63,0)</f>
        <v/>
      </c>
      <c r="AL64" s="565">
        <f>IF((AL62-AL63)&lt;0,AL62-AL63,0)</f>
        <v/>
      </c>
      <c r="AM64" s="560">
        <f>SUM(H64:AL64)</f>
        <v/>
      </c>
      <c r="AN64" s="560">
        <f>AM64*8</f>
        <v/>
      </c>
    </row>
    <row r="65" ht="21.95" customHeight="1" s="506">
      <c r="B65" s="562" t="inlineStr">
        <is>
          <t>普通保安每日工作(實際)總人數</t>
        </is>
      </c>
      <c r="C65" s="519" t="n"/>
      <c r="D65" s="520" t="n"/>
      <c r="E65" s="472" t="n"/>
      <c r="F65" s="472" t="n"/>
      <c r="G65" s="50" t="inlineStr">
        <is>
          <t>G</t>
        </is>
      </c>
      <c r="H65" s="92">
        <f>H59-H62</f>
        <v/>
      </c>
      <c r="I65" s="92">
        <f>I59-I62</f>
        <v/>
      </c>
      <c r="J65" s="92">
        <f>J59-J62</f>
        <v/>
      </c>
      <c r="K65" s="92">
        <f>K59-K62</f>
        <v/>
      </c>
      <c r="L65" s="92">
        <f>L59-L62</f>
        <v/>
      </c>
      <c r="M65" s="92">
        <f>M59-M62</f>
        <v/>
      </c>
      <c r="N65" s="92">
        <f>N59-N62</f>
        <v/>
      </c>
      <c r="O65" s="92">
        <f>O59-O62</f>
        <v/>
      </c>
      <c r="P65" s="92">
        <f>P59-P62</f>
        <v/>
      </c>
      <c r="Q65" s="92">
        <f>Q59-Q62</f>
        <v/>
      </c>
      <c r="R65" s="92">
        <f>R59-R62</f>
        <v/>
      </c>
      <c r="S65" s="92">
        <f>S59-S62</f>
        <v/>
      </c>
      <c r="T65" s="92">
        <f>T59-T62</f>
        <v/>
      </c>
      <c r="U65" s="92">
        <f>U59-U62</f>
        <v/>
      </c>
      <c r="V65" s="92">
        <f>V59-V62</f>
        <v/>
      </c>
      <c r="W65" s="92">
        <f>W59-W62</f>
        <v/>
      </c>
      <c r="X65" s="92">
        <f>X59-X62</f>
        <v/>
      </c>
      <c r="Y65" s="92">
        <f>Y59-Y62</f>
        <v/>
      </c>
      <c r="Z65" s="92">
        <f>Z59-Z62</f>
        <v/>
      </c>
      <c r="AA65" s="92">
        <f>AA59-AA62</f>
        <v/>
      </c>
      <c r="AB65" s="92">
        <f>AB59-AB62</f>
        <v/>
      </c>
      <c r="AC65" s="92">
        <f>AC59-AC62</f>
        <v/>
      </c>
      <c r="AD65" s="92">
        <f>AD59-AD62</f>
        <v/>
      </c>
      <c r="AE65" s="92">
        <f>AE59-AE62</f>
        <v/>
      </c>
      <c r="AF65" s="92">
        <f>AF59-AF62</f>
        <v/>
      </c>
      <c r="AG65" s="92">
        <f>AG59-AG62</f>
        <v/>
      </c>
      <c r="AH65" s="92">
        <f>AH59-AH62</f>
        <v/>
      </c>
      <c r="AI65" s="92">
        <f>AI59-AI62</f>
        <v/>
      </c>
      <c r="AJ65" s="92">
        <f>AJ59-AJ62</f>
        <v/>
      </c>
      <c r="AK65" s="92">
        <f>AK59-AK62</f>
        <v/>
      </c>
      <c r="AL65" s="92">
        <f>AL59-AL62</f>
        <v/>
      </c>
      <c r="AM65" s="50">
        <f>SUM(H65:AL65)</f>
        <v/>
      </c>
      <c r="AN65" s="50">
        <f>AM65*8</f>
        <v/>
      </c>
    </row>
    <row r="66" ht="21.95" customHeight="1" s="506">
      <c r="B66" s="563" t="inlineStr">
        <is>
          <t>普通保安每日工作(要求)總人數</t>
        </is>
      </c>
      <c r="C66" s="522" t="n"/>
      <c r="D66" s="523" t="n"/>
      <c r="E66" s="475" t="n"/>
      <c r="F66" s="475" t="n"/>
      <c r="G66" s="51" t="n"/>
      <c r="H66" s="93" t="n">
        <v>29</v>
      </c>
      <c r="I66" s="93" t="n">
        <v>29</v>
      </c>
      <c r="J66" s="93" t="n">
        <v>29</v>
      </c>
      <c r="K66" s="93" t="n">
        <v>29</v>
      </c>
      <c r="L66" s="93" t="n">
        <v>29</v>
      </c>
      <c r="M66" s="93" t="n">
        <v>29</v>
      </c>
      <c r="N66" s="93" t="n">
        <v>29</v>
      </c>
      <c r="O66" s="93" t="n">
        <v>29</v>
      </c>
      <c r="P66" s="93" t="n">
        <v>29</v>
      </c>
      <c r="Q66" s="93" t="n">
        <v>29</v>
      </c>
      <c r="R66" s="93" t="n">
        <v>29</v>
      </c>
      <c r="S66" s="93" t="n">
        <v>29</v>
      </c>
      <c r="T66" s="93" t="n">
        <v>29</v>
      </c>
      <c r="U66" s="93" t="n">
        <v>29</v>
      </c>
      <c r="V66" s="93" t="n">
        <v>29</v>
      </c>
      <c r="W66" s="93" t="n">
        <v>29</v>
      </c>
      <c r="X66" s="93" t="n">
        <v>29</v>
      </c>
      <c r="Y66" s="93" t="n">
        <v>29</v>
      </c>
      <c r="Z66" s="93" t="n">
        <v>29</v>
      </c>
      <c r="AA66" s="93" t="n">
        <v>29</v>
      </c>
      <c r="AB66" s="93" t="n">
        <v>29</v>
      </c>
      <c r="AC66" s="93" t="n">
        <v>29</v>
      </c>
      <c r="AD66" s="93" t="n">
        <v>29</v>
      </c>
      <c r="AE66" s="93" t="n">
        <v>29</v>
      </c>
      <c r="AF66" s="93" t="n">
        <v>29</v>
      </c>
      <c r="AG66" s="93" t="n">
        <v>29</v>
      </c>
      <c r="AH66" s="93" t="n">
        <v>29</v>
      </c>
      <c r="AI66" s="93" t="n">
        <v>29</v>
      </c>
      <c r="AJ66" s="93" t="n">
        <v>29</v>
      </c>
      <c r="AK66" s="93" t="n">
        <v>29</v>
      </c>
      <c r="AL66" s="93" t="n">
        <v>29</v>
      </c>
      <c r="AM66" s="51">
        <f>SUM(H66:AL66)</f>
        <v/>
      </c>
      <c r="AN66" s="51">
        <f>AM66*8</f>
        <v/>
      </c>
    </row>
    <row r="67" ht="21.95" customHeight="1" s="506" thickBot="1">
      <c r="B67" s="564" t="inlineStr">
        <is>
          <t>普通保安每日工作(缺勤)總人數</t>
        </is>
      </c>
      <c r="C67" s="525" t="n"/>
      <c r="D67" s="526" t="n"/>
      <c r="E67" s="469" t="n"/>
      <c r="F67" s="469" t="n"/>
      <c r="G67" s="89" t="n"/>
      <c r="H67" s="565">
        <f>IF((H65-H66)&lt;0,H65-H66,0)</f>
        <v/>
      </c>
      <c r="I67" s="558">
        <f>IF((I65-I66)&lt;0,I65-I66,0)</f>
        <v/>
      </c>
      <c r="J67" s="558">
        <f>IF((J65-J66)&lt;0,J65-J66,0)</f>
        <v/>
      </c>
      <c r="K67" s="558">
        <f>IF((K65-K66)&lt;0,K65-K66,0)</f>
        <v/>
      </c>
      <c r="L67" s="558">
        <f>IF((L65-L66)&lt;0,L65-L66,0)</f>
        <v/>
      </c>
      <c r="M67" s="558">
        <f>IF((M65-M66)&lt;0,M65-M66,0)</f>
        <v/>
      </c>
      <c r="N67" s="558">
        <f>IF((N65-N66)&lt;0,N65-N66,0)</f>
        <v/>
      </c>
      <c r="O67" s="558">
        <f>IF((O65-O66)&lt;0,O65-O66,0)</f>
        <v/>
      </c>
      <c r="P67" s="558">
        <f>IF((P65-P66)&lt;0,P65-P66,0)</f>
        <v/>
      </c>
      <c r="Q67" s="558">
        <f>IF((Q65-Q66)&lt;0,Q65-Q66,0)</f>
        <v/>
      </c>
      <c r="R67" s="558">
        <f>IF((R65-R66)&lt;0,R65-R66,0)</f>
        <v/>
      </c>
      <c r="S67" s="558">
        <f>IF((S65-S66)&lt;0,S65-S66,0)</f>
        <v/>
      </c>
      <c r="T67" s="558">
        <f>IF((T65-T66)&lt;0,T65-T66,0)</f>
        <v/>
      </c>
      <c r="U67" s="558">
        <f>IF((U65-U66)&lt;0,U65-U66,0)</f>
        <v/>
      </c>
      <c r="V67" s="558">
        <f>IF((V65-V66)&lt;0,V65-V66,0)</f>
        <v/>
      </c>
      <c r="W67" s="558">
        <f>IF((W65-W66)&lt;0,W65-W66,0)</f>
        <v/>
      </c>
      <c r="X67" s="558">
        <f>IF((X65-X66)&lt;0,X65-X66,0)</f>
        <v/>
      </c>
      <c r="Y67" s="558">
        <f>IF((Y65-Y66)&lt;0,Y65-Y66,0)</f>
        <v/>
      </c>
      <c r="Z67" s="558">
        <f>IF((Z65-Z66)&lt;0,Z65-Z66,0)</f>
        <v/>
      </c>
      <c r="AA67" s="558">
        <f>IF((AA65-AA66)&lt;0,AA65-AA66,0)</f>
        <v/>
      </c>
      <c r="AB67" s="558">
        <f>IF((AB65-AB66)&lt;0,AB65-AB66,0)</f>
        <v/>
      </c>
      <c r="AC67" s="558">
        <f>IF((AC65-AC66)&lt;0,AC65-AC66,0)</f>
        <v/>
      </c>
      <c r="AD67" s="558">
        <f>IF((AD65-AD66)&lt;0,AD65-AD66,0)</f>
        <v/>
      </c>
      <c r="AE67" s="558">
        <f>IF((AE65-AE66)&lt;0,AE65-AE66,0)</f>
        <v/>
      </c>
      <c r="AF67" s="558">
        <f>IF((AF65-AF66)&lt;0,AF65-AF66,0)</f>
        <v/>
      </c>
      <c r="AG67" s="558">
        <f>IF((AG65-AG66)&lt;0,AG65-AG66,0)</f>
        <v/>
      </c>
      <c r="AH67" s="558">
        <f>IF((AH65-AH66)&lt;0,AH65-AH66,0)</f>
        <v/>
      </c>
      <c r="AI67" s="558">
        <f>IF((AI65-AI66)&lt;0,AI65-AI66,0)</f>
        <v/>
      </c>
      <c r="AJ67" s="558">
        <f>IF((AJ65-AJ66)&lt;0,AJ65-AJ66,0)</f>
        <v/>
      </c>
      <c r="AK67" s="558">
        <f>IF((AK65-AK66)&lt;0,AK65-AK66,0)</f>
        <v/>
      </c>
      <c r="AL67" s="558">
        <f>IF((AL65-AL66)&lt;0,AL65-AL66,0)</f>
        <v/>
      </c>
      <c r="AM67" s="560">
        <f>SUM(H67:AL67)</f>
        <v/>
      </c>
      <c r="AN67" s="560">
        <f>AM67*8</f>
        <v/>
      </c>
    </row>
    <row r="68" ht="21.95" customHeight="1" s="506">
      <c r="B68" s="562" t="inlineStr">
        <is>
          <t>保安每日工作(實際)總人數</t>
        </is>
      </c>
      <c r="C68" s="519" t="n"/>
      <c r="D68" s="520" t="n"/>
      <c r="E68" s="472" t="n"/>
      <c r="F68" s="472" t="n"/>
      <c r="G68" s="50" t="n"/>
      <c r="H68" s="92">
        <f>SUM(H15+H62+H65)</f>
        <v/>
      </c>
      <c r="I68" s="92">
        <f>SUM(I15+I62+I65)</f>
        <v/>
      </c>
      <c r="J68" s="92">
        <f>SUM(J15+J62+J65)</f>
        <v/>
      </c>
      <c r="K68" s="92">
        <f>SUM(K15+K62+K65)</f>
        <v/>
      </c>
      <c r="L68" s="92">
        <f>SUM(L15+L62+L65)</f>
        <v/>
      </c>
      <c r="M68" s="92">
        <f>SUM(M15+M62+M65)</f>
        <v/>
      </c>
      <c r="N68" s="92">
        <f>SUM(N15+N62+N65)</f>
        <v/>
      </c>
      <c r="O68" s="92">
        <f>SUM(O15+O62+O65)</f>
        <v/>
      </c>
      <c r="P68" s="92">
        <f>SUM(P15+P62+P65)</f>
        <v/>
      </c>
      <c r="Q68" s="92">
        <f>SUM(Q15+Q62+Q65)</f>
        <v/>
      </c>
      <c r="R68" s="92">
        <f>SUM(R15+R62+R65)</f>
        <v/>
      </c>
      <c r="S68" s="92">
        <f>SUM(S15+S62+S65)</f>
        <v/>
      </c>
      <c r="T68" s="92">
        <f>SUM(T15+T62+T65)</f>
        <v/>
      </c>
      <c r="U68" s="92">
        <f>SUM(U15+U62+U65)</f>
        <v/>
      </c>
      <c r="V68" s="92">
        <f>SUM(V15+V62+V65)</f>
        <v/>
      </c>
      <c r="W68" s="92">
        <f>SUM(W15+W62+W65)</f>
        <v/>
      </c>
      <c r="X68" s="92">
        <f>SUM(X15+X62+X65)</f>
        <v/>
      </c>
      <c r="Y68" s="92">
        <f>SUM(Y15+Y62+Y65)</f>
        <v/>
      </c>
      <c r="Z68" s="92">
        <f>SUM(Z15+Z62+Z65)</f>
        <v/>
      </c>
      <c r="AA68" s="92">
        <f>SUM(AA15+AA62+AA65)</f>
        <v/>
      </c>
      <c r="AB68" s="92">
        <f>SUM(AB15+AB62+AB65)</f>
        <v/>
      </c>
      <c r="AC68" s="92">
        <f>SUM(AC15+AC62+AC65)</f>
        <v/>
      </c>
      <c r="AD68" s="92">
        <f>SUM(AD15+AD62+AD65)</f>
        <v/>
      </c>
      <c r="AE68" s="92">
        <f>SUM(AE15+AE62+AE65)</f>
        <v/>
      </c>
      <c r="AF68" s="92">
        <f>SUM(AF15+AF62+AF65)</f>
        <v/>
      </c>
      <c r="AG68" s="92">
        <f>SUM(AG15+AG62+AG65)</f>
        <v/>
      </c>
      <c r="AH68" s="92">
        <f>SUM(AH15+AH62+AH65)</f>
        <v/>
      </c>
      <c r="AI68" s="92">
        <f>SUM(AI15+AI62+AI65)</f>
        <v/>
      </c>
      <c r="AJ68" s="92">
        <f>SUM(AJ15+AJ62+AJ65)</f>
        <v/>
      </c>
      <c r="AK68" s="92">
        <f>SUM(AK15+AK62+AK65)</f>
        <v/>
      </c>
      <c r="AL68" s="92">
        <f>SUM(AL15+AL62+AL65)</f>
        <v/>
      </c>
      <c r="AM68" s="50">
        <f>SUM(H68:AL68)</f>
        <v/>
      </c>
      <c r="AN68" s="50">
        <f>AM68*8</f>
        <v/>
      </c>
    </row>
    <row r="69" ht="21.95" customHeight="1" s="506">
      <c r="B69" s="563" t="inlineStr">
        <is>
          <t>保安每日工作(要求)總人數</t>
        </is>
      </c>
      <c r="C69" s="522" t="n"/>
      <c r="D69" s="523" t="n"/>
      <c r="E69" s="475" t="n"/>
      <c r="F69" s="475" t="n"/>
      <c r="G69" s="51" t="n"/>
      <c r="H69" s="93">
        <f>SUM(H16+H63+H66)</f>
        <v/>
      </c>
      <c r="I69" s="93">
        <f>SUM(I16+I63+I66)</f>
        <v/>
      </c>
      <c r="J69" s="93">
        <f>SUM(J16+J63+J66)</f>
        <v/>
      </c>
      <c r="K69" s="93">
        <f>SUM(K16+K63+K66)</f>
        <v/>
      </c>
      <c r="L69" s="93">
        <f>SUM(L16+L63+L66)</f>
        <v/>
      </c>
      <c r="M69" s="93">
        <f>SUM(M16+M63+M66)</f>
        <v/>
      </c>
      <c r="N69" s="93">
        <f>SUM(N16+N63+N66)</f>
        <v/>
      </c>
      <c r="O69" s="93">
        <f>SUM(O16+O63+O66)</f>
        <v/>
      </c>
      <c r="P69" s="93">
        <f>SUM(P16+P63+P66)</f>
        <v/>
      </c>
      <c r="Q69" s="93">
        <f>SUM(Q16+Q63+Q66)</f>
        <v/>
      </c>
      <c r="R69" s="93">
        <f>SUM(R16+R63+R66)</f>
        <v/>
      </c>
      <c r="S69" s="93">
        <f>SUM(S16+S63+S66)</f>
        <v/>
      </c>
      <c r="T69" s="93">
        <f>SUM(T16+T63+T66)</f>
        <v/>
      </c>
      <c r="U69" s="93">
        <f>SUM(U16+U63+U66)</f>
        <v/>
      </c>
      <c r="V69" s="93">
        <f>SUM(V16+V63+V66)</f>
        <v/>
      </c>
      <c r="W69" s="93">
        <f>SUM(W16+W63+W66)</f>
        <v/>
      </c>
      <c r="X69" s="93">
        <f>SUM(X16+X63+X66)</f>
        <v/>
      </c>
      <c r="Y69" s="93">
        <f>SUM(Y16+Y63+Y66)</f>
        <v/>
      </c>
      <c r="Z69" s="93">
        <f>SUM(Z16+Z63+Z66)</f>
        <v/>
      </c>
      <c r="AA69" s="93">
        <f>SUM(AA16+AA63+AA66)</f>
        <v/>
      </c>
      <c r="AB69" s="93">
        <f>SUM(AB16+AB63+AB66)</f>
        <v/>
      </c>
      <c r="AC69" s="93">
        <f>SUM(AC16+AC63+AC66)</f>
        <v/>
      </c>
      <c r="AD69" s="93">
        <f>SUM(AD16+AD63+AD66)</f>
        <v/>
      </c>
      <c r="AE69" s="93">
        <f>SUM(AE16+AE63+AE66)</f>
        <v/>
      </c>
      <c r="AF69" s="93">
        <f>SUM(AF16+AF63+AF66)</f>
        <v/>
      </c>
      <c r="AG69" s="93">
        <f>SUM(AG16+AG63+AG66)</f>
        <v/>
      </c>
      <c r="AH69" s="93">
        <f>SUM(AH16+AH63+AH66)</f>
        <v/>
      </c>
      <c r="AI69" s="93">
        <f>SUM(AI16+AI63+AI66)</f>
        <v/>
      </c>
      <c r="AJ69" s="93">
        <f>SUM(AJ16+AJ63+AJ66)</f>
        <v/>
      </c>
      <c r="AK69" s="93">
        <f>SUM(AK16+AK63+AK66)</f>
        <v/>
      </c>
      <c r="AL69" s="93">
        <f>SUM(AL16+AL63+AL66)</f>
        <v/>
      </c>
      <c r="AM69" s="51">
        <f>SUM(H69:AL69)</f>
        <v/>
      </c>
      <c r="AN69" s="51">
        <f>AM69*8</f>
        <v/>
      </c>
    </row>
    <row r="70" ht="21.95" customHeight="1" s="506" thickBot="1">
      <c r="B70" s="564" t="inlineStr">
        <is>
          <t>保安每日工作(缺勤)總人數</t>
        </is>
      </c>
      <c r="C70" s="525" t="n"/>
      <c r="D70" s="526" t="n"/>
      <c r="E70" s="469" t="n"/>
      <c r="F70" s="469" t="n"/>
      <c r="G70" s="89" t="n"/>
      <c r="H70" s="565">
        <f>H68-H69</f>
        <v/>
      </c>
      <c r="I70" s="558">
        <f>I68-I69</f>
        <v/>
      </c>
      <c r="J70" s="558">
        <f>J68-J69</f>
        <v/>
      </c>
      <c r="K70" s="558">
        <f>K68-K69</f>
        <v/>
      </c>
      <c r="L70" s="558">
        <f>L68-L69</f>
        <v/>
      </c>
      <c r="M70" s="558">
        <f>M68-M69</f>
        <v/>
      </c>
      <c r="N70" s="558">
        <f>N68-N69</f>
        <v/>
      </c>
      <c r="O70" s="558">
        <f>O68-O69</f>
        <v/>
      </c>
      <c r="P70" s="558">
        <f>P68-P69</f>
        <v/>
      </c>
      <c r="Q70" s="558">
        <f>Q68-Q69</f>
        <v/>
      </c>
      <c r="R70" s="558">
        <f>R68-R69</f>
        <v/>
      </c>
      <c r="S70" s="558">
        <f>S68-S69</f>
        <v/>
      </c>
      <c r="T70" s="558">
        <f>T68-T69</f>
        <v/>
      </c>
      <c r="U70" s="558">
        <f>U68-U69</f>
        <v/>
      </c>
      <c r="V70" s="558">
        <f>V68-V69</f>
        <v/>
      </c>
      <c r="W70" s="558">
        <f>W68-W69</f>
        <v/>
      </c>
      <c r="X70" s="558">
        <f>X68-X69</f>
        <v/>
      </c>
      <c r="Y70" s="558">
        <f>Y68-Y69</f>
        <v/>
      </c>
      <c r="Z70" s="558">
        <f>Z68-Z69</f>
        <v/>
      </c>
      <c r="AA70" s="558">
        <f>AA68-AA69</f>
        <v/>
      </c>
      <c r="AB70" s="558">
        <f>AB68-AB69</f>
        <v/>
      </c>
      <c r="AC70" s="558">
        <f>AC68-AC69</f>
        <v/>
      </c>
      <c r="AD70" s="558">
        <f>AD68-AD69</f>
        <v/>
      </c>
      <c r="AE70" s="558">
        <f>AE68-AE69</f>
        <v/>
      </c>
      <c r="AF70" s="558">
        <f>AF68-AF69</f>
        <v/>
      </c>
      <c r="AG70" s="558">
        <f>AG68-AG69</f>
        <v/>
      </c>
      <c r="AH70" s="558">
        <f>AH68-AH69</f>
        <v/>
      </c>
      <c r="AI70" s="558">
        <f>AI68-AI69</f>
        <v/>
      </c>
      <c r="AJ70" s="558">
        <f>AJ68-AJ69</f>
        <v/>
      </c>
      <c r="AK70" s="558">
        <f>AK68-AK69</f>
        <v/>
      </c>
      <c r="AL70" s="558">
        <f>AL68-AL69</f>
        <v/>
      </c>
      <c r="AM70" s="560">
        <f>SUM(H70:AL70)</f>
        <v/>
      </c>
      <c r="AN70" s="560">
        <f>AN68-AN69</f>
        <v/>
      </c>
    </row>
    <row r="71" ht="21.95" customHeight="1" s="506"/>
    <row r="72" ht="21.95" customFormat="1" customHeight="1" s="3">
      <c r="C72" s="40" t="n"/>
      <c r="D72" s="115" t="inlineStr">
        <is>
          <t>備註：</t>
        </is>
      </c>
      <c r="E72" s="40" t="n"/>
      <c r="F72" s="40" t="n"/>
      <c r="G72" s="40" t="n"/>
      <c r="I72" s="3" t="inlineStr">
        <is>
          <t xml:space="preserve"> GS=Guard Supervisor     SG=Special Guard      G=Security Guard</t>
        </is>
      </c>
      <c r="J72" s="545" t="n"/>
      <c r="K72" s="545" t="n"/>
      <c r="L72" s="545" t="n"/>
      <c r="M72" s="545" t="n"/>
      <c r="N72" s="545" t="n"/>
      <c r="O72" s="545" t="n"/>
      <c r="P72" s="545" t="n"/>
      <c r="Q72" s="545" t="n"/>
      <c r="R72" s="67" t="n"/>
      <c r="S72" s="40" t="n"/>
      <c r="W72" s="40" t="n"/>
      <c r="X72" s="40" t="n"/>
      <c r="Y72" s="434" t="inlineStr">
        <is>
          <t>NSH/SH</t>
        </is>
      </c>
      <c r="Z72" s="546" t="n"/>
      <c r="AA72" s="44" t="inlineStr">
        <is>
          <t>RD</t>
        </is>
      </c>
      <c r="AB72" s="364" t="inlineStr">
        <is>
          <t>NP</t>
        </is>
      </c>
      <c r="AC72" s="45" t="inlineStr">
        <is>
          <t>SL</t>
        </is>
      </c>
      <c r="AD72" s="46" t="inlineStr">
        <is>
          <t>AL</t>
        </is>
      </c>
      <c r="AE72" s="119" t="inlineStr">
        <is>
          <t>EC</t>
        </is>
      </c>
      <c r="AF72" s="129" t="inlineStr">
        <is>
          <t>NC</t>
        </is>
      </c>
      <c r="AG72" s="124" t="inlineStr">
        <is>
          <t>TY/FS/FH/WTT/POH</t>
        </is>
      </c>
      <c r="AH72" s="125" t="n"/>
      <c r="AI72" s="126" t="n"/>
      <c r="AJ72" s="40" t="n"/>
      <c r="AK72" s="40" t="n"/>
      <c r="AL72" s="40" t="n"/>
      <c r="AM72" s="40" t="n"/>
      <c r="AN72" s="40" t="n"/>
      <c r="AO72" s="40" t="n"/>
      <c r="AP72" s="40" t="n"/>
      <c r="AQ72" s="40" t="n"/>
      <c r="AR72" s="40" t="n"/>
      <c r="AS72" s="40" t="n"/>
      <c r="AT72" s="40" t="n"/>
      <c r="AU72" s="78" t="n"/>
      <c r="AV72" s="40" t="n"/>
      <c r="BA72" s="40" t="n"/>
    </row>
    <row r="73" ht="21.95" customFormat="1" customHeight="1" s="3">
      <c r="C73" s="40" t="n"/>
      <c r="D73" s="40" t="n"/>
      <c r="E73" s="40" t="n"/>
      <c r="F73" s="40" t="n"/>
      <c r="G73" s="40" t="n"/>
      <c r="I73" s="3" t="inlineStr">
        <is>
          <t>【AL=年假】【SH=法定假】【NSH=無薪法定假】【NP=無薪假期】【RD=例假】【SL=病假】【NC=非合約期】【ND=休班】【EC=工傷休假】</t>
        </is>
      </c>
      <c r="O73" s="40" t="n"/>
      <c r="R73" s="85" t="n"/>
      <c r="AN73" s="40" t="n"/>
      <c r="AO73" s="40" t="n"/>
      <c r="AP73" s="40" t="n"/>
      <c r="AQ73" s="40" t="n"/>
      <c r="AR73" s="40" t="n"/>
      <c r="AS73" s="40" t="n"/>
      <c r="AT73" s="40" t="n"/>
      <c r="AU73" s="40" t="n"/>
      <c r="AV73" s="40" t="n"/>
      <c r="AW73" s="78" t="n"/>
      <c r="AX73" s="40" t="n"/>
      <c r="BC73" s="40" t="n"/>
    </row>
    <row r="74" ht="21.95" customHeight="1" s="506">
      <c r="B74" s="80" t="n"/>
      <c r="C74" s="285" t="n"/>
      <c r="D74" s="75" t="n"/>
      <c r="E74" s="75" t="n"/>
      <c r="F74" s="75" t="n"/>
      <c r="G74" s="75" t="n"/>
      <c r="H74" s="192" t="n"/>
      <c r="I74" s="192" t="n"/>
      <c r="J74" s="3" t="n"/>
      <c r="K74" s="3" t="n"/>
      <c r="L74" s="3" t="n"/>
      <c r="M74" s="3" t="n"/>
      <c r="N74" s="3" t="n"/>
      <c r="O74" s="3" t="n"/>
      <c r="P74" s="3" t="n"/>
      <c r="Q74" s="3" t="n"/>
      <c r="R74" s="85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</row>
    <row r="75" ht="21.95" customFormat="1" customHeight="1" s="3">
      <c r="B75" s="104" t="n"/>
      <c r="C75" s="483" t="n"/>
      <c r="E75" s="40" t="n"/>
      <c r="F75" s="105" t="n"/>
      <c r="G75" s="467" t="n"/>
      <c r="W75" s="4" t="n"/>
      <c r="AG75" s="84" t="n"/>
      <c r="AH75" s="85" t="n"/>
      <c r="AI75" s="40" t="n"/>
      <c r="AJ75" s="40" t="n"/>
      <c r="AK75" s="40" t="n"/>
      <c r="AL75" s="40" t="n"/>
      <c r="AM75" s="40" t="n"/>
      <c r="AN75" s="40" t="n"/>
      <c r="AO75" s="40" t="n"/>
      <c r="AP75" s="40" t="n"/>
      <c r="AQ75" s="40" t="n"/>
      <c r="AR75" s="40" t="n"/>
      <c r="AS75" s="40" t="n"/>
      <c r="AT75" s="40" t="n"/>
      <c r="AU75" s="40" t="n"/>
      <c r="AV75" s="78" t="n"/>
      <c r="BB75" s="40" t="n"/>
    </row>
    <row r="76" ht="21.95" customFormat="1" customHeight="1" s="3">
      <c r="C76" s="40" t="n"/>
      <c r="D76" s="40" t="n"/>
      <c r="E76" s="40" t="n"/>
      <c r="F76" s="105" t="n"/>
      <c r="G76" s="40" t="n"/>
      <c r="W76" s="4" t="n"/>
      <c r="AO76" s="40" t="n"/>
      <c r="AP76" s="40" t="n"/>
      <c r="AQ76" s="40" t="n"/>
      <c r="AR76" s="40" t="n"/>
      <c r="AS76" s="40" t="n"/>
      <c r="AT76" s="40" t="n"/>
      <c r="AU76" s="40" t="n"/>
      <c r="AV76" s="78" t="n"/>
      <c r="BB76" s="40" t="n"/>
    </row>
    <row r="77" ht="21.95" customFormat="1" customHeight="1" s="3">
      <c r="C77" s="40" t="n"/>
      <c r="E77" s="40" t="n"/>
      <c r="F77" s="40" t="n"/>
      <c r="G77" s="40" t="n"/>
      <c r="H77" s="40" t="n"/>
      <c r="I77" s="40" t="n"/>
      <c r="W77" s="4" t="n"/>
      <c r="AM77" s="40" t="n"/>
      <c r="AN77" s="40" t="n"/>
      <c r="AO77" s="40" t="n"/>
      <c r="AP77" s="40" t="n"/>
      <c r="AQ77" s="40" t="n"/>
      <c r="AR77" s="40" t="n"/>
      <c r="AS77" s="40" t="n"/>
      <c r="AT77" s="40" t="n"/>
      <c r="AU77" s="40" t="n"/>
      <c r="AV77" s="78" t="n"/>
      <c r="BB77" s="40" t="n"/>
    </row>
    <row r="78" ht="21.95" customFormat="1" customHeight="1" s="3">
      <c r="C78" s="40" t="n"/>
      <c r="E78" s="40" t="n"/>
      <c r="F78" s="40" t="n"/>
      <c r="G78" s="40" t="n"/>
      <c r="L78" s="106" t="inlineStr">
        <is>
          <t xml:space="preserve"> </t>
        </is>
      </c>
      <c r="AM78" s="40" t="n"/>
      <c r="AN78" s="40" t="n"/>
      <c r="AO78" s="40" t="n"/>
      <c r="AP78" s="40" t="n"/>
      <c r="AQ78" s="40" t="n"/>
      <c r="AR78" s="40" t="n"/>
      <c r="AS78" s="40" t="n"/>
      <c r="AT78" s="40" t="n"/>
      <c r="AU78" s="40" t="n"/>
      <c r="AV78" s="78" t="n"/>
      <c r="BB78" s="40" t="n"/>
    </row>
    <row r="79" ht="21.95" customHeight="1" s="506">
      <c r="AG79" s="84" t="n"/>
      <c r="AI79" s="2" t="n"/>
      <c r="AJ79" s="2" t="n"/>
      <c r="AK79" s="2" t="n"/>
      <c r="AL79" s="2" t="n"/>
    </row>
    <row r="80" ht="21.95" customHeight="1" s="506">
      <c r="AM80" s="4" t="n"/>
      <c r="AN80" s="4" t="n"/>
    </row>
    <row r="81" ht="21.95" customHeight="1" s="506"/>
    <row r="82" ht="21.95" customHeight="1" s="506"/>
    <row r="83" ht="21.95" customHeight="1" s="506">
      <c r="AG83" s="84" t="n"/>
      <c r="AH83" s="86" t="n"/>
      <c r="AI83" s="2" t="n"/>
      <c r="AJ83" s="2" t="n"/>
      <c r="AK83" s="2" t="n"/>
      <c r="AL83" s="2" t="n"/>
    </row>
    <row r="84" ht="21.95" customHeight="1" s="506"/>
    <row r="85" ht="21.95" customHeight="1" s="506">
      <c r="Y85" s="4" t="inlineStr">
        <is>
          <t xml:space="preserve">  </t>
        </is>
      </c>
      <c r="Z85" s="4" t="inlineStr">
        <is>
          <t xml:space="preserve">  </t>
        </is>
      </c>
    </row>
    <row r="86" ht="21.95" customHeight="1" s="506"/>
    <row r="87" ht="21.95" customHeight="1" s="506"/>
    <row r="88" ht="21.95" customHeight="1" s="506"/>
    <row r="89" ht="21.95" customHeight="1" s="506"/>
    <row r="90" ht="21.95" customHeight="1" s="506"/>
    <row r="91" ht="21.95" customHeight="1" s="506"/>
    <row r="92" ht="21.95" customHeight="1" s="506"/>
    <row r="93" ht="21.95" customHeight="1" s="506"/>
    <row r="94" ht="21.95" customHeight="1" s="506"/>
    <row r="95" ht="21.95" customHeight="1" s="506"/>
    <row r="96" ht="21.95" customHeight="1" s="506"/>
    <row r="97" ht="21.95" customHeight="1" s="506"/>
    <row r="98" ht="21.95" customHeight="1" s="506"/>
    <row r="99" ht="21.95" customHeight="1" s="506"/>
    <row r="100" ht="21.95" customHeight="1" s="506"/>
    <row r="101" ht="21.95" customHeight="1" s="506"/>
    <row r="102" ht="21.95" customHeight="1" s="506"/>
    <row r="103" ht="21.95" customHeight="1" s="506"/>
    <row r="104" ht="21.95" customHeight="1" s="506"/>
    <row r="105" ht="21.95" customHeight="1" s="506"/>
  </sheetData>
  <mergeCells count="21">
    <mergeCell ref="B67:D67"/>
    <mergeCell ref="Y72:Z72"/>
    <mergeCell ref="B59:C59"/>
    <mergeCell ref="B2:AN2"/>
    <mergeCell ref="B69:D69"/>
    <mergeCell ref="BB18:BB19"/>
    <mergeCell ref="B1:AN1"/>
    <mergeCell ref="D59:G59"/>
    <mergeCell ref="C75:D75"/>
    <mergeCell ref="B65:D65"/>
    <mergeCell ref="B68:D68"/>
    <mergeCell ref="BB6:BB7"/>
    <mergeCell ref="B64:D64"/>
    <mergeCell ref="AM6:AM7"/>
    <mergeCell ref="B63:D63"/>
    <mergeCell ref="B62:D62"/>
    <mergeCell ref="B66:D66"/>
    <mergeCell ref="B4:AN4"/>
    <mergeCell ref="B70:D70"/>
    <mergeCell ref="AN6:AN7"/>
    <mergeCell ref="B3:AN3"/>
  </mergeCells>
  <conditionalFormatting sqref="H58:X58">
    <cfRule type="containsText" priority="29" operator="containsText" dxfId="792" text="NC">
      <formula>NOT(ISERROR(SEARCH("NC",H58)))</formula>
    </cfRule>
  </conditionalFormatting>
  <conditionalFormatting sqref="H10:AL11">
    <cfRule type="containsText" priority="27" operator="containsText" dxfId="74" text="G">
      <formula>NOT(ISERROR(SEARCH("G",H10)))</formula>
    </cfRule>
  </conditionalFormatting>
  <conditionalFormatting sqref="H20:AL21">
    <cfRule type="containsText" priority="25" operator="containsText" dxfId="74" text="GS">
      <formula>NOT(ISERROR(SEARCH("GS",H20)))</formula>
    </cfRule>
  </conditionalFormatting>
  <conditionalFormatting sqref="H20:AL58">
    <cfRule type="containsText" priority="19" operator="containsText" dxfId="1774" text="8">
      <formula>NOT(ISERROR(SEARCH("8",H20)))</formula>
    </cfRule>
    <cfRule type="containsText" priority="20" operator="containsText" dxfId="1644" text="RD">
      <formula>NOT(ISERROR(SEARCH("RD",H20)))</formula>
    </cfRule>
  </conditionalFormatting>
  <conditionalFormatting sqref="H24:AL24">
    <cfRule type="containsText" priority="21" operator="containsText" dxfId="74" text="FH">
      <formula>NOT(ISERROR(SEARCH("FH",H24)))</formula>
    </cfRule>
  </conditionalFormatting>
  <conditionalFormatting sqref="H26:AL26">
    <cfRule type="containsText" priority="23" operator="containsText" dxfId="1769" text="SL">
      <formula>NOT(ISERROR(SEARCH("SL",H26)))</formula>
    </cfRule>
  </conditionalFormatting>
  <conditionalFormatting sqref="H27:AL27">
    <cfRule type="containsText" priority="24" operator="containsText" dxfId="74" text="WTT">
      <formula>NOT(ISERROR(SEARCH("WTT",H27)))</formula>
    </cfRule>
  </conditionalFormatting>
  <conditionalFormatting sqref="H31:AL31">
    <cfRule type="containsText" priority="32" operator="containsText" dxfId="1769" text="SL">
      <formula>NOT(ISERROR(SEARCH("SL",H31)))</formula>
    </cfRule>
  </conditionalFormatting>
  <conditionalFormatting sqref="H51:AL51">
    <cfRule type="containsText" priority="22" operator="containsText" dxfId="74" text="GS">
      <formula>NOT(ISERROR(SEARCH("GS",H51)))</formula>
    </cfRule>
  </conditionalFormatting>
  <conditionalFormatting sqref="H54:AL54">
    <cfRule type="containsText" priority="30" operator="containsText" dxfId="74" text="FH">
      <formula>NOT(ISERROR(SEARCH("FH",H54)))</formula>
    </cfRule>
  </conditionalFormatting>
  <conditionalFormatting sqref="I73">
    <cfRule type="cellIs" priority="1" operator="equal" dxfId="1660">
      <formula>"NP"</formula>
    </cfRule>
  </conditionalFormatting>
  <conditionalFormatting sqref="J20:K20 M20:T20 Z20 AI20">
    <cfRule type="containsText" priority="26" operator="containsText" dxfId="74" text="G">
      <formula>NOT(ISERROR(SEARCH("G",J20)))</formula>
    </cfRule>
  </conditionalFormatting>
  <conditionalFormatting sqref="AA73">
    <cfRule type="cellIs" priority="10" operator="equal" dxfId="9" stopIfTrue="1">
      <formula>"TPN"</formula>
    </cfRule>
  </conditionalFormatting>
  <conditionalFormatting sqref="AB58:AH58 AJ58:AL58">
    <cfRule type="containsText" priority="28" operator="containsText" dxfId="74" text="早">
      <formula>NOT(ISERROR(SEARCH("早",AB58)))</formula>
    </cfRule>
  </conditionalFormatting>
  <conditionalFormatting sqref="AH72:AI72">
    <cfRule type="cellIs" priority="2" operator="equal" dxfId="1660">
      <formula>"NP"</formula>
    </cfRule>
    <cfRule type="cellIs" priority="3" operator="equal" dxfId="1761">
      <formula>"NC"</formula>
    </cfRule>
    <cfRule type="cellIs" priority="4" operator="equal" dxfId="1760">
      <formula>"NC"</formula>
    </cfRule>
    <cfRule type="cellIs" priority="5" operator="equal" dxfId="1759">
      <formula>"R"</formula>
    </cfRule>
    <cfRule type="cellIs" priority="6" operator="equal" dxfId="1660">
      <formula>"NH11"</formula>
    </cfRule>
    <cfRule type="cellIs" priority="7" operator="equal" dxfId="1660">
      <formula>"NH"</formula>
    </cfRule>
    <cfRule type="cellIs" priority="8" operator="equal" dxfId="1639" stopIfTrue="1">
      <formula>"NP"</formula>
    </cfRule>
    <cfRule type="cellIs" priority="9" operator="equal" dxfId="1755" stopIfTrue="1">
      <formula>"RD"</formula>
    </cfRule>
  </conditionalFormatting>
  <conditionalFormatting sqref="AJ46:AL46">
    <cfRule type="containsText" priority="31" operator="containsText" dxfId="1754" text="NP">
      <formula>NOT(ISERROR(SEARCH("NP",AJ46)))</formula>
    </cfRule>
  </conditionalFormatting>
  <printOptions horizontalCentered="1"/>
  <pageMargins left="0.2362204724409449" right="0.2362204724409449" top="0.3543307086614174" bottom="0.3543307086614174" header="0.3149606299212598" footer="0.3149606299212598"/>
  <pageSetup orientation="landscape" paperSize="9" scale="52" fitToHeight="0"/>
  <rowBreaks count="1" manualBreakCount="1">
    <brk id="39" min="1" max="39" man="1"/>
  </row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C74"/>
  <sheetViews>
    <sheetView view="pageBreakPreview" zoomScale="70" zoomScaleNormal="70" zoomScaleSheetLayoutView="70" workbookViewId="0">
      <selection activeCell="AP15" sqref="AP15"/>
    </sheetView>
  </sheetViews>
  <sheetFormatPr baseColWidth="8" defaultColWidth="9" defaultRowHeight="15"/>
  <cols>
    <col width="1.625" customWidth="1" style="4" min="1" max="1"/>
    <col width="9" customWidth="1" style="4" min="2" max="2"/>
    <col width="18.875" customWidth="1" style="2" min="3" max="3"/>
    <col width="14.125" customWidth="1" style="2" min="4" max="4"/>
    <col hidden="1" outlineLevel="1" width="6.625" customWidth="1" style="2" min="5" max="7"/>
    <col collapsed="1" width="6.625" customWidth="1" style="4" min="8" max="8"/>
    <col width="6" customWidth="1" style="4" min="9" max="39"/>
    <col width="9.625" customWidth="1" style="2" min="40" max="41"/>
    <col outlineLevel="1" width="9" customWidth="1" style="2" min="42" max="44"/>
    <col outlineLevel="1" width="9" customWidth="1" style="4" min="45" max="46"/>
    <col width="4" customWidth="1" style="4" min="47" max="48"/>
    <col width="4" customWidth="1" style="1" min="49" max="49"/>
    <col width="4" customWidth="1" style="4" min="50" max="54"/>
    <col outlineLevel="1" width="6.5" customWidth="1" style="4" min="55" max="55"/>
    <col width="6.5" customWidth="1" style="4" min="56" max="57"/>
    <col width="9" customWidth="1" style="4" min="58" max="16384"/>
  </cols>
  <sheetData>
    <row r="1" ht="21.95" customHeight="1" s="506">
      <c r="B1" s="460" t="inlineStr">
        <is>
          <t>泓 建 物 業 管 理 有 限 公 司</t>
        </is>
      </c>
      <c r="AP1" s="56" t="n"/>
      <c r="AQ1" s="56" t="n"/>
      <c r="AR1" s="56" t="n"/>
      <c r="AS1" s="56" t="n"/>
      <c r="AT1" s="56" t="n"/>
    </row>
    <row r="2" ht="21.95" customHeight="1" s="506">
      <c r="B2" s="460" t="inlineStr">
        <is>
          <t>Pacific Extend Properties Management Limited</t>
        </is>
      </c>
      <c r="AP2" s="56" t="n"/>
      <c r="AQ2" s="56" t="n"/>
      <c r="AR2" s="56" t="n"/>
      <c r="AS2" s="56" t="n"/>
      <c r="AT2" s="56" t="n"/>
    </row>
    <row r="3" ht="21.95" customHeight="1" s="506">
      <c r="B3" s="464">
        <f>YEAR(I6)&amp;"年"&amp;MONTH(I6)&amp;"月保安出勤及休假記錄  (夜更 23:00 - 07:00) "</f>
        <v/>
      </c>
      <c r="AP3" s="57" t="n"/>
      <c r="AQ3" s="57" t="n"/>
      <c r="AR3" s="57" t="n"/>
      <c r="AS3" s="57" t="n"/>
      <c r="AT3" s="57" t="n"/>
    </row>
    <row r="4" ht="21.95" customHeight="1" s="506">
      <c r="B4" s="464" t="inlineStr">
        <is>
          <t>大 元 邨</t>
        </is>
      </c>
      <c r="AP4" s="57" t="n"/>
      <c r="AQ4" s="57" t="n"/>
      <c r="AR4" s="57" t="n"/>
      <c r="AS4" s="57" t="n"/>
      <c r="AT4" s="57" t="n"/>
    </row>
    <row r="5" ht="21.95" customHeight="1" s="506" thickBot="1">
      <c r="B5" s="6" t="inlineStr">
        <is>
          <t>1. 保安主管出勤時數</t>
        </is>
      </c>
      <c r="I5" s="30" t="n"/>
      <c r="J5" s="30" t="n"/>
      <c r="K5" s="30" t="n"/>
      <c r="L5" s="30" t="n"/>
      <c r="M5" s="30" t="n"/>
      <c r="N5" s="30" t="n"/>
      <c r="O5" s="30" t="n"/>
      <c r="P5" s="30" t="n"/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  <c r="AA5" s="30" t="n"/>
      <c r="AB5" s="30" t="n"/>
      <c r="AC5" s="30" t="n"/>
      <c r="AD5" s="30" t="n"/>
      <c r="AE5" s="30" t="n"/>
      <c r="AF5" s="30" t="n"/>
      <c r="AG5" s="30" t="n"/>
      <c r="AH5" s="30" t="n"/>
      <c r="AI5" s="30" t="n"/>
      <c r="AJ5" s="30" t="n"/>
      <c r="AK5" s="30" t="n"/>
      <c r="AL5" s="30" t="n"/>
      <c r="AM5" s="30" t="n"/>
    </row>
    <row r="6" ht="30" customFormat="1" customHeight="1" s="90">
      <c r="B6" s="293" t="n"/>
      <c r="C6" s="271" t="n"/>
      <c r="D6" s="231" t="n"/>
      <c r="E6" s="232" t="n"/>
      <c r="F6" s="232" t="n"/>
      <c r="G6" s="232" t="n"/>
      <c r="H6" s="294" t="n"/>
      <c r="I6" s="566">
        <f>早!I6</f>
        <v/>
      </c>
      <c r="J6" s="549">
        <f>I6+1</f>
        <v/>
      </c>
      <c r="K6" s="549">
        <f>J6+1</f>
        <v/>
      </c>
      <c r="L6" s="549">
        <f>K6+1</f>
        <v/>
      </c>
      <c r="M6" s="549">
        <f>L6+1</f>
        <v/>
      </c>
      <c r="N6" s="549">
        <f>M6+1</f>
        <v/>
      </c>
      <c r="O6" s="549">
        <f>N6+1</f>
        <v/>
      </c>
      <c r="P6" s="549">
        <f>O6+1</f>
        <v/>
      </c>
      <c r="Q6" s="549">
        <f>P6+1</f>
        <v/>
      </c>
      <c r="R6" s="549">
        <f>Q6+1</f>
        <v/>
      </c>
      <c r="S6" s="549">
        <f>R6+1</f>
        <v/>
      </c>
      <c r="T6" s="549">
        <f>S6+1</f>
        <v/>
      </c>
      <c r="U6" s="549">
        <f>T6+1</f>
        <v/>
      </c>
      <c r="V6" s="549">
        <f>U6+1</f>
        <v/>
      </c>
      <c r="W6" s="549">
        <f>V6+1</f>
        <v/>
      </c>
      <c r="X6" s="549">
        <f>W6+1</f>
        <v/>
      </c>
      <c r="Y6" s="549">
        <f>X6+1</f>
        <v/>
      </c>
      <c r="Z6" s="549">
        <f>Y6+1</f>
        <v/>
      </c>
      <c r="AA6" s="549">
        <f>Z6+1</f>
        <v/>
      </c>
      <c r="AB6" s="549">
        <f>AA6+1</f>
        <v/>
      </c>
      <c r="AC6" s="549">
        <f>AB6+1</f>
        <v/>
      </c>
      <c r="AD6" s="549">
        <f>AC6+1</f>
        <v/>
      </c>
      <c r="AE6" s="549">
        <f>AD6+1</f>
        <v/>
      </c>
      <c r="AF6" s="549">
        <f>AE6+1</f>
        <v/>
      </c>
      <c r="AG6" s="551">
        <f>AF6+1</f>
        <v/>
      </c>
      <c r="AH6" s="567">
        <f>AG6+1</f>
        <v/>
      </c>
      <c r="AI6" s="549">
        <f>AH6+1</f>
        <v/>
      </c>
      <c r="AJ6" s="549">
        <f>AI6+1</f>
        <v/>
      </c>
      <c r="AK6" s="549">
        <f>AJ6+1</f>
        <v/>
      </c>
      <c r="AL6" s="549">
        <f>AK6+1</f>
        <v/>
      </c>
      <c r="AM6" s="552">
        <f>AL6+1</f>
        <v/>
      </c>
      <c r="AN6" s="568" t="inlineStr">
        <is>
          <t>工作總
日數</t>
        </is>
      </c>
      <c r="AO6" s="481" t="inlineStr">
        <is>
          <t>工作總
時數</t>
        </is>
      </c>
      <c r="AP6" s="131" t="inlineStr">
        <is>
          <t>SH</t>
        </is>
      </c>
      <c r="AQ6" s="62" t="inlineStr">
        <is>
          <t>RD</t>
        </is>
      </c>
      <c r="AR6" s="62" t="inlineStr">
        <is>
          <t>NP</t>
        </is>
      </c>
      <c r="AS6" s="62" t="inlineStr">
        <is>
          <t>SL</t>
        </is>
      </c>
      <c r="AT6" s="58" t="inlineStr">
        <is>
          <t>AL</t>
        </is>
      </c>
      <c r="AU6" s="58" t="inlineStr">
        <is>
          <t>RD</t>
        </is>
      </c>
      <c r="AV6" s="59" t="inlineStr">
        <is>
          <t>RD</t>
        </is>
      </c>
      <c r="AW6" s="70" t="inlineStr">
        <is>
          <t>OT</t>
        </is>
      </c>
      <c r="AX6" s="59" t="inlineStr">
        <is>
          <t>SH</t>
        </is>
      </c>
      <c r="AY6" s="62" t="inlineStr">
        <is>
          <t>SL</t>
        </is>
      </c>
      <c r="AZ6" s="59" t="inlineStr">
        <is>
          <t>NP</t>
        </is>
      </c>
      <c r="BA6" s="59" t="inlineStr">
        <is>
          <t>AL</t>
        </is>
      </c>
      <c r="BB6" s="71" t="inlineStr">
        <is>
          <t>NC</t>
        </is>
      </c>
      <c r="BC6" s="484" t="inlineStr">
        <is>
          <t>已放年假</t>
        </is>
      </c>
    </row>
    <row r="7" ht="30" customFormat="1" customHeight="1" s="90" thickBot="1">
      <c r="B7" s="287" t="inlineStr">
        <is>
          <t>排位</t>
        </is>
      </c>
      <c r="C7" s="367" t="inlineStr">
        <is>
          <t>員工編號</t>
        </is>
      </c>
      <c r="D7" s="368" t="inlineStr">
        <is>
          <t>姓名</t>
        </is>
      </c>
      <c r="E7" s="288" t="inlineStr">
        <is>
          <t>Rank</t>
        </is>
      </c>
      <c r="F7" s="288" t="inlineStr">
        <is>
          <t>職銜</t>
        </is>
      </c>
      <c r="G7" s="288" t="inlineStr">
        <is>
          <t>工作時數</t>
        </is>
      </c>
      <c r="H7" s="297" t="inlineStr">
        <is>
          <t>更份</t>
        </is>
      </c>
      <c r="I7" s="569">
        <f>SUBSTITUTE(TEXT(I6,"aaa"),"週","")</f>
        <v/>
      </c>
      <c r="J7" s="251">
        <f>SUBSTITUTE(TEXT(J6,"aaa"),"週","")</f>
        <v/>
      </c>
      <c r="K7" s="251">
        <f>SUBSTITUTE(TEXT(K6,"aaa"),"週","")</f>
        <v/>
      </c>
      <c r="L7" s="251">
        <f>SUBSTITUTE(TEXT(L6,"aaa"),"週","")</f>
        <v/>
      </c>
      <c r="M7" s="251">
        <f>SUBSTITUTE(TEXT(M6,"aaa"),"週","")</f>
        <v/>
      </c>
      <c r="N7" s="307">
        <f>SUBSTITUTE(TEXT(N6,"aaa"),"週","")</f>
        <v/>
      </c>
      <c r="O7" s="251">
        <f>SUBSTITUTE(TEXT(O6,"aaa"),"週","")</f>
        <v/>
      </c>
      <c r="P7" s="251">
        <f>SUBSTITUTE(TEXT(P6,"aaa"),"週","")</f>
        <v/>
      </c>
      <c r="Q7" s="251">
        <f>SUBSTITUTE(TEXT(Q6,"aaa"),"週","")</f>
        <v/>
      </c>
      <c r="R7" s="251">
        <f>SUBSTITUTE(TEXT(R6,"aaa"),"週","")</f>
        <v/>
      </c>
      <c r="S7" s="251">
        <f>SUBSTITUTE(TEXT(S6,"aaa"),"週","")</f>
        <v/>
      </c>
      <c r="T7" s="251">
        <f>SUBSTITUTE(TEXT(T6,"aaa"),"週","")</f>
        <v/>
      </c>
      <c r="U7" s="251">
        <f>SUBSTITUTE(TEXT(U6,"aaa"),"週","")</f>
        <v/>
      </c>
      <c r="V7" s="251">
        <f>SUBSTITUTE(TEXT(V6,"aaa"),"週","")</f>
        <v/>
      </c>
      <c r="W7" s="251">
        <f>SUBSTITUTE(TEXT(W6,"aaa"),"週","")</f>
        <v/>
      </c>
      <c r="X7" s="251">
        <f>SUBSTITUTE(TEXT(X6,"aaa"),"週","")</f>
        <v/>
      </c>
      <c r="Y7" s="251">
        <f>SUBSTITUTE(TEXT(Y6,"aaa"),"週","")</f>
        <v/>
      </c>
      <c r="Z7" s="251">
        <f>SUBSTITUTE(TEXT(Z6,"aaa"),"週","")</f>
        <v/>
      </c>
      <c r="AA7" s="251">
        <f>SUBSTITUTE(TEXT(AA6,"aaa"),"週","")</f>
        <v/>
      </c>
      <c r="AB7" s="251">
        <f>SUBSTITUTE(TEXT(AB6,"aaa"),"週","")</f>
        <v/>
      </c>
      <c r="AC7" s="251">
        <f>SUBSTITUTE(TEXT(AC6,"aaa"),"週","")</f>
        <v/>
      </c>
      <c r="AD7" s="251">
        <f>SUBSTITUTE(TEXT(AD6,"aaa"),"週","")</f>
        <v/>
      </c>
      <c r="AE7" s="251">
        <f>SUBSTITUTE(TEXT(AE6,"aaa"),"週","")</f>
        <v/>
      </c>
      <c r="AF7" s="251">
        <f>SUBSTITUTE(TEXT(AF6,"aaa"),"週","")</f>
        <v/>
      </c>
      <c r="AG7" s="257">
        <f>SUBSTITUTE(TEXT(AG6,"aaa"),"週","")</f>
        <v/>
      </c>
      <c r="AH7" s="307">
        <f>SUBSTITUTE(TEXT(AH6,"aaa"),"週","")</f>
        <v/>
      </c>
      <c r="AI7" s="251">
        <f>SUBSTITUTE(TEXT(AI6,"aaa"),"週","")</f>
        <v/>
      </c>
      <c r="AJ7" s="251">
        <f>SUBSTITUTE(TEXT(AJ6,"aaa"),"週","")</f>
        <v/>
      </c>
      <c r="AK7" s="251">
        <f>SUBSTITUTE(TEXT(AK6,"aaa"),"週","")</f>
        <v/>
      </c>
      <c r="AL7" s="251">
        <f>SUBSTITUTE(TEXT(AL6,"aaa"),"週","")</f>
        <v/>
      </c>
      <c r="AM7" s="252">
        <f>SUBSTITUTE(TEXT(AM6,"aaa"),"週","")</f>
        <v/>
      </c>
      <c r="AN7" s="570" t="n"/>
      <c r="AO7" s="515" t="n"/>
      <c r="AP7" s="136" t="inlineStr">
        <is>
          <t>法定假期</t>
        </is>
      </c>
      <c r="AQ7" s="137" t="inlineStr">
        <is>
          <t>例假</t>
        </is>
      </c>
      <c r="AR7" s="137" t="inlineStr">
        <is>
          <t>無薪假</t>
        </is>
      </c>
      <c r="AS7" s="137" t="inlineStr">
        <is>
          <t>病假</t>
        </is>
      </c>
      <c r="AT7" s="298" t="inlineStr">
        <is>
          <t>年假</t>
        </is>
      </c>
      <c r="AU7" s="137" t="inlineStr">
        <is>
          <t>享有</t>
        </is>
      </c>
      <c r="AV7" s="361" t="inlineStr">
        <is>
          <t>已放</t>
        </is>
      </c>
      <c r="AW7" s="72" t="n"/>
      <c r="AX7" s="361" t="inlineStr">
        <is>
          <t>已放</t>
        </is>
      </c>
      <c r="AY7" s="361" t="inlineStr">
        <is>
          <t>已放</t>
        </is>
      </c>
      <c r="AZ7" s="361" t="inlineStr">
        <is>
          <t>已放</t>
        </is>
      </c>
      <c r="BA7" s="361" t="inlineStr">
        <is>
          <t>已放</t>
        </is>
      </c>
      <c r="BB7" s="73" t="inlineStr">
        <is>
          <t>已放</t>
        </is>
      </c>
      <c r="BC7" s="513" t="n"/>
    </row>
    <row r="8" ht="29.25" customFormat="1" customHeight="1" s="90">
      <c r="B8" s="299" t="inlineStr">
        <is>
          <t>N01</t>
        </is>
      </c>
      <c r="C8" s="311" t="inlineStr">
        <is>
          <t>0004738</t>
        </is>
      </c>
      <c r="D8" s="271" t="inlineStr">
        <is>
          <t>鍾劍雄</t>
        </is>
      </c>
      <c r="E8" s="242" t="inlineStr">
        <is>
          <t>GS</t>
        </is>
      </c>
      <c r="F8" s="288" t="n"/>
      <c r="G8" s="243" t="n"/>
      <c r="H8" s="246" t="inlineStr">
        <is>
          <t>夜</t>
        </is>
      </c>
      <c r="I8" s="214" t="n">
        <v>8</v>
      </c>
      <c r="J8" s="58" t="n">
        <v>8</v>
      </c>
      <c r="K8" s="58" t="n">
        <v>8</v>
      </c>
      <c r="L8" s="58" t="n">
        <v>8</v>
      </c>
      <c r="M8" s="58" t="n">
        <v>8</v>
      </c>
      <c r="N8" s="31" t="inlineStr">
        <is>
          <t>RD</t>
        </is>
      </c>
      <c r="O8" s="31" t="inlineStr">
        <is>
          <t>RD</t>
        </is>
      </c>
      <c r="P8" s="31" t="inlineStr">
        <is>
          <t>RD</t>
        </is>
      </c>
      <c r="Q8" s="31" t="inlineStr">
        <is>
          <t>RD</t>
        </is>
      </c>
      <c r="R8" s="58" t="n">
        <v>8</v>
      </c>
      <c r="S8" s="58" t="n">
        <v>8</v>
      </c>
      <c r="T8" s="58" t="n">
        <v>8</v>
      </c>
      <c r="U8" s="58" t="n">
        <v>8</v>
      </c>
      <c r="V8" s="58" t="n">
        <v>8</v>
      </c>
      <c r="W8" s="58" t="n">
        <v>8</v>
      </c>
      <c r="X8" s="58" t="n">
        <v>8</v>
      </c>
      <c r="Y8" s="58" t="n">
        <v>8</v>
      </c>
      <c r="Z8" s="58" t="n">
        <v>8</v>
      </c>
      <c r="AA8" s="58" t="n">
        <v>8</v>
      </c>
      <c r="AB8" s="31" t="inlineStr">
        <is>
          <t>RD</t>
        </is>
      </c>
      <c r="AC8" s="58" t="n">
        <v>8</v>
      </c>
      <c r="AD8" s="58" t="n">
        <v>8</v>
      </c>
      <c r="AE8" s="58" t="n">
        <v>8</v>
      </c>
      <c r="AF8" s="58" t="n">
        <v>8</v>
      </c>
      <c r="AG8" s="58" t="n">
        <v>8</v>
      </c>
      <c r="AH8" s="58" t="n">
        <v>8</v>
      </c>
      <c r="AI8" s="58" t="n">
        <v>8</v>
      </c>
      <c r="AJ8" s="58" t="n">
        <v>8</v>
      </c>
      <c r="AK8" s="58" t="n">
        <v>8</v>
      </c>
      <c r="AL8" s="58" t="n">
        <v>8</v>
      </c>
      <c r="AM8" s="236" t="n">
        <v>8</v>
      </c>
      <c r="AN8" s="308">
        <f>COUNT(I8:AM8)</f>
        <v/>
      </c>
      <c r="AO8" s="271">
        <f>SUM(I8:AM8)</f>
        <v/>
      </c>
      <c r="AP8" s="131">
        <f>COUNTIFS($I8:$AM8,$AP$6)</f>
        <v/>
      </c>
      <c r="AQ8" s="62">
        <f>COUNTIFS($I8:$AM8,$AQ$6)</f>
        <v/>
      </c>
      <c r="AR8" s="62">
        <f>COUNTIFS($I8:$AM8,$AR$6)</f>
        <v/>
      </c>
      <c r="AS8" s="62">
        <f>COUNTIFS($I8:$AM8,$AS$6)</f>
        <v/>
      </c>
      <c r="AT8" s="62">
        <f>COUNTIFS($I8:$AM8,$AT$6)</f>
        <v/>
      </c>
      <c r="AU8" s="62" t="n">
        <v>5</v>
      </c>
      <c r="AV8" s="70">
        <f>COUNTIF(I8:AM8,"RD")</f>
        <v/>
      </c>
      <c r="AW8" s="70">
        <f>AU8-AV8</f>
        <v/>
      </c>
      <c r="AX8" s="70">
        <f>COUNTIF(I8:AM8,"SH")</f>
        <v/>
      </c>
      <c r="AY8" s="70">
        <f>COUNTIF(I8:AM8,"SL")</f>
        <v/>
      </c>
      <c r="AZ8" s="70">
        <f>COUNTIF(I8:AM8,"np")</f>
        <v/>
      </c>
      <c r="BA8" s="70">
        <f>COUNTIF(I8:AM8,"AL*")</f>
        <v/>
      </c>
      <c r="BB8" s="225">
        <f>COUNTIF(I8:AM8,"NC*")</f>
        <v/>
      </c>
      <c r="BC8" s="101" t="n">
        <v>6</v>
      </c>
    </row>
    <row r="9" ht="29.25" customFormat="1" customHeight="1" s="90">
      <c r="B9" s="241" t="inlineStr">
        <is>
          <t>N02</t>
        </is>
      </c>
      <c r="C9" s="248" t="inlineStr">
        <is>
          <t>0004748</t>
        </is>
      </c>
      <c r="D9" s="245" t="inlineStr">
        <is>
          <t>刁吉順</t>
        </is>
      </c>
      <c r="E9" s="242" t="inlineStr">
        <is>
          <t>GS</t>
        </is>
      </c>
      <c r="F9" s="288" t="n"/>
      <c r="G9" s="243" t="n"/>
      <c r="H9" s="241" t="inlineStr">
        <is>
          <t>夜</t>
        </is>
      </c>
      <c r="I9" s="300" t="n">
        <v>8</v>
      </c>
      <c r="J9" s="122" t="inlineStr">
        <is>
          <t>RD</t>
        </is>
      </c>
      <c r="K9" s="301" t="n">
        <v>8</v>
      </c>
      <c r="L9" s="301" t="n">
        <v>8</v>
      </c>
      <c r="M9" s="301" t="n">
        <v>8</v>
      </c>
      <c r="N9" s="301" t="n">
        <v>8</v>
      </c>
      <c r="O9" s="301" t="n">
        <v>8</v>
      </c>
      <c r="P9" s="301" t="n">
        <v>8</v>
      </c>
      <c r="Q9" s="122" t="inlineStr">
        <is>
          <t>RD</t>
        </is>
      </c>
      <c r="R9" s="301" t="n">
        <v>8</v>
      </c>
      <c r="S9" s="301" t="n">
        <v>8</v>
      </c>
      <c r="T9" s="301" t="n">
        <v>8</v>
      </c>
      <c r="U9" s="301" t="n">
        <v>8</v>
      </c>
      <c r="V9" s="301" t="n">
        <v>8</v>
      </c>
      <c r="W9" s="301" t="n">
        <v>8</v>
      </c>
      <c r="X9" s="122" t="inlineStr">
        <is>
          <t>RD</t>
        </is>
      </c>
      <c r="Y9" s="301" t="n">
        <v>8</v>
      </c>
      <c r="Z9" s="301" t="n">
        <v>8</v>
      </c>
      <c r="AA9" s="301" t="n">
        <v>8</v>
      </c>
      <c r="AB9" s="301" t="n">
        <v>8</v>
      </c>
      <c r="AC9" s="301" t="n">
        <v>8</v>
      </c>
      <c r="AD9" s="301" t="n">
        <v>8</v>
      </c>
      <c r="AE9" s="122" t="inlineStr">
        <is>
          <t>RD</t>
        </is>
      </c>
      <c r="AF9" s="301" t="n">
        <v>8</v>
      </c>
      <c r="AG9" s="301" t="n">
        <v>8</v>
      </c>
      <c r="AH9" s="301" t="n">
        <v>8</v>
      </c>
      <c r="AI9" s="301" t="n">
        <v>8</v>
      </c>
      <c r="AJ9" s="301" t="n">
        <v>8</v>
      </c>
      <c r="AK9" s="301" t="n">
        <v>8</v>
      </c>
      <c r="AL9" s="122" t="inlineStr">
        <is>
          <t>RD</t>
        </is>
      </c>
      <c r="AM9" s="302" t="n">
        <v>8</v>
      </c>
      <c r="AN9" s="309">
        <f>COUNT(I9:AM9)</f>
        <v/>
      </c>
      <c r="AO9" s="245">
        <f>SUM(I9:AM9)</f>
        <v/>
      </c>
      <c r="AP9" s="291">
        <f>COUNTIFS($I9:$AM9,$AP$6)</f>
        <v/>
      </c>
      <c r="AQ9" s="63">
        <f>COUNTIFS($I9:$AM9,$AQ$6)</f>
        <v/>
      </c>
      <c r="AR9" s="63">
        <f>COUNTIFS($I9:$AM9,$AR$6)</f>
        <v/>
      </c>
      <c r="AS9" s="63">
        <f>COUNTIFS($I9:$AM9,$AS$6)</f>
        <v/>
      </c>
      <c r="AT9" s="63">
        <f>COUNTIFS($I9:$AM9,$AT$6)</f>
        <v/>
      </c>
      <c r="AU9" s="63" t="n">
        <v>5</v>
      </c>
      <c r="AV9" s="221">
        <f>COUNTIF(I9:AM9,"RD")</f>
        <v/>
      </c>
      <c r="AW9" s="221">
        <f>AU9-AV9</f>
        <v/>
      </c>
      <c r="AX9" s="221">
        <f>COUNTIF(I9:AM9,"SH")</f>
        <v/>
      </c>
      <c r="AY9" s="221">
        <f>COUNTIF(I9:AM9,"SL")</f>
        <v/>
      </c>
      <c r="AZ9" s="221">
        <f>COUNTIF(I9:AM9,"np")</f>
        <v/>
      </c>
      <c r="BA9" s="221">
        <f>COUNTIF(I9:AM9,"AL*")</f>
        <v/>
      </c>
      <c r="BB9" s="272">
        <f>COUNTIF(I9:AM9,"NC*")</f>
        <v/>
      </c>
      <c r="BC9" s="102" t="n">
        <v>6</v>
      </c>
    </row>
    <row r="10" ht="29.25" customFormat="1" customHeight="1" s="90">
      <c r="B10" s="241" t="inlineStr">
        <is>
          <t>N03</t>
        </is>
      </c>
      <c r="C10" s="248" t="inlineStr">
        <is>
          <t>0004745</t>
        </is>
      </c>
      <c r="D10" s="337" t="inlineStr">
        <is>
          <t>李金鳳</t>
        </is>
      </c>
      <c r="E10" s="314" t="inlineStr">
        <is>
          <t>GS</t>
        </is>
      </c>
      <c r="F10" s="289" t="n"/>
      <c r="G10" s="303" t="n"/>
      <c r="H10" s="286" t="inlineStr">
        <is>
          <t>夜</t>
        </is>
      </c>
      <c r="I10" s="123" t="inlineStr">
        <is>
          <t>RD</t>
        </is>
      </c>
      <c r="J10" s="301" t="n">
        <v>8</v>
      </c>
      <c r="K10" s="260" t="inlineStr">
        <is>
          <t>G</t>
        </is>
      </c>
      <c r="L10" s="260" t="inlineStr">
        <is>
          <t>G</t>
        </is>
      </c>
      <c r="M10" s="260" t="inlineStr">
        <is>
          <t>G</t>
        </is>
      </c>
      <c r="N10" s="301" t="n">
        <v>8</v>
      </c>
      <c r="O10" s="122" t="inlineStr">
        <is>
          <t>RD</t>
        </is>
      </c>
      <c r="P10" s="301" t="n">
        <v>8</v>
      </c>
      <c r="Q10" s="301" t="n">
        <v>8</v>
      </c>
      <c r="R10" s="260" t="inlineStr">
        <is>
          <t>G</t>
        </is>
      </c>
      <c r="S10" s="260" t="inlineStr">
        <is>
          <t>G</t>
        </is>
      </c>
      <c r="T10" s="260" t="inlineStr">
        <is>
          <t>G</t>
        </is>
      </c>
      <c r="U10" s="260" t="inlineStr">
        <is>
          <t>G</t>
        </is>
      </c>
      <c r="V10" s="260" t="inlineStr">
        <is>
          <t>G</t>
        </is>
      </c>
      <c r="W10" s="122" t="inlineStr">
        <is>
          <t>RD</t>
        </is>
      </c>
      <c r="X10" s="301" t="n">
        <v>8</v>
      </c>
      <c r="Y10" s="260" t="inlineStr">
        <is>
          <t>G</t>
        </is>
      </c>
      <c r="Z10" s="260" t="inlineStr">
        <is>
          <t>G</t>
        </is>
      </c>
      <c r="AA10" s="260" t="inlineStr">
        <is>
          <t>G</t>
        </is>
      </c>
      <c r="AB10" s="301" t="n">
        <v>8</v>
      </c>
      <c r="AC10" s="260" t="inlineStr">
        <is>
          <t>G</t>
        </is>
      </c>
      <c r="AD10" s="122" t="inlineStr">
        <is>
          <t>RD</t>
        </is>
      </c>
      <c r="AE10" s="301" t="n">
        <v>8</v>
      </c>
      <c r="AF10" s="260" t="inlineStr">
        <is>
          <t>G</t>
        </is>
      </c>
      <c r="AG10" s="260" t="inlineStr">
        <is>
          <t>G</t>
        </is>
      </c>
      <c r="AH10" s="260" t="inlineStr">
        <is>
          <t>G</t>
        </is>
      </c>
      <c r="AI10" s="260" t="inlineStr">
        <is>
          <t>G</t>
        </is>
      </c>
      <c r="AJ10" s="260" t="inlineStr">
        <is>
          <t>G</t>
        </is>
      </c>
      <c r="AK10" s="122" t="inlineStr">
        <is>
          <t>RD</t>
        </is>
      </c>
      <c r="AL10" s="301" t="n">
        <v>8</v>
      </c>
      <c r="AM10" s="265" t="inlineStr">
        <is>
          <t>G</t>
        </is>
      </c>
      <c r="AN10" s="309">
        <f>COUNT(I10:AM10)</f>
        <v/>
      </c>
      <c r="AO10" s="245">
        <f>SUM(I10:AM10)</f>
        <v/>
      </c>
      <c r="AP10" s="291" t="n"/>
      <c r="AQ10" s="63" t="n"/>
      <c r="AR10" s="63" t="n"/>
      <c r="AS10" s="63" t="n"/>
      <c r="AT10" s="63" t="n"/>
      <c r="AU10" s="63" t="n"/>
      <c r="AV10" s="221" t="n"/>
      <c r="AW10" s="221" t="n"/>
      <c r="AX10" s="221" t="n"/>
      <c r="AY10" s="221" t="n"/>
      <c r="AZ10" s="221" t="n"/>
      <c r="BA10" s="221" t="n"/>
      <c r="BB10" s="272" t="n"/>
      <c r="BC10" s="102" t="n"/>
    </row>
    <row r="11" ht="29.25" customFormat="1" customHeight="1" s="90" thickBot="1">
      <c r="B11" s="287" t="inlineStr">
        <is>
          <t>N03</t>
        </is>
      </c>
      <c r="C11" s="369" t="inlineStr">
        <is>
          <t>0004763</t>
        </is>
      </c>
      <c r="D11" s="370" t="inlineStr">
        <is>
          <t>唐蘭金</t>
        </is>
      </c>
      <c r="E11" s="296" t="inlineStr">
        <is>
          <t>GS</t>
        </is>
      </c>
      <c r="F11" s="304" t="n"/>
      <c r="G11" s="305" t="n"/>
      <c r="H11" s="287" t="inlineStr">
        <is>
          <t>夜</t>
        </is>
      </c>
      <c r="I11" s="306" t="inlineStr">
        <is>
          <t>G</t>
        </is>
      </c>
      <c r="J11" s="268" t="inlineStr">
        <is>
          <t>G</t>
        </is>
      </c>
      <c r="K11" s="60" t="inlineStr">
        <is>
          <t>RD</t>
        </is>
      </c>
      <c r="L11" s="268" t="inlineStr">
        <is>
          <t>G</t>
        </is>
      </c>
      <c r="M11" s="268" t="inlineStr">
        <is>
          <t>G</t>
        </is>
      </c>
      <c r="N11" s="268" t="inlineStr">
        <is>
          <t>G</t>
        </is>
      </c>
      <c r="O11" s="298" t="n">
        <v>8</v>
      </c>
      <c r="P11" s="268" t="inlineStr">
        <is>
          <t>G</t>
        </is>
      </c>
      <c r="Q11" s="298" t="n">
        <v>8</v>
      </c>
      <c r="R11" s="268" t="inlineStr">
        <is>
          <t>G</t>
        </is>
      </c>
      <c r="S11" s="298" t="inlineStr">
        <is>
          <t>NP</t>
        </is>
      </c>
      <c r="T11" s="60" t="inlineStr">
        <is>
          <t>RD</t>
        </is>
      </c>
      <c r="U11" s="60" t="inlineStr">
        <is>
          <t>RD</t>
        </is>
      </c>
      <c r="V11" s="60" t="inlineStr">
        <is>
          <t>RD</t>
        </is>
      </c>
      <c r="W11" s="268" t="inlineStr">
        <is>
          <t>G</t>
        </is>
      </c>
      <c r="X11" s="268" t="inlineStr">
        <is>
          <t>G</t>
        </is>
      </c>
      <c r="Y11" s="268" t="inlineStr">
        <is>
          <t>G</t>
        </is>
      </c>
      <c r="Z11" s="268" t="inlineStr">
        <is>
          <t>G</t>
        </is>
      </c>
      <c r="AA11" s="268" t="inlineStr">
        <is>
          <t>G</t>
        </is>
      </c>
      <c r="AB11" s="268" t="inlineStr">
        <is>
          <t>G</t>
        </is>
      </c>
      <c r="AC11" s="268" t="inlineStr">
        <is>
          <t>G</t>
        </is>
      </c>
      <c r="AD11" s="268" t="inlineStr">
        <is>
          <t>G</t>
        </is>
      </c>
      <c r="AE11" s="268" t="inlineStr">
        <is>
          <t>G</t>
        </is>
      </c>
      <c r="AF11" s="268" t="inlineStr">
        <is>
          <t>G</t>
        </is>
      </c>
      <c r="AG11" s="60" t="inlineStr">
        <is>
          <t>RD</t>
        </is>
      </c>
      <c r="AH11" s="268" t="inlineStr">
        <is>
          <t>G</t>
        </is>
      </c>
      <c r="AI11" s="268" t="inlineStr">
        <is>
          <t>G</t>
        </is>
      </c>
      <c r="AJ11" s="268" t="inlineStr">
        <is>
          <t>G</t>
        </is>
      </c>
      <c r="AK11" s="268" t="inlineStr">
        <is>
          <t>G</t>
        </is>
      </c>
      <c r="AL11" s="268" t="inlineStr">
        <is>
          <t>G</t>
        </is>
      </c>
      <c r="AM11" s="422" t="inlineStr">
        <is>
          <t>G</t>
        </is>
      </c>
      <c r="AN11" s="310">
        <f>COUNT(I11:AM11)</f>
        <v/>
      </c>
      <c r="AO11" s="279">
        <f>SUM(I11:AM11)</f>
        <v/>
      </c>
      <c r="AP11" s="291" t="n"/>
      <c r="AQ11" s="63" t="n"/>
      <c r="AR11" s="63" t="n"/>
      <c r="AS11" s="63" t="n"/>
      <c r="AT11" s="63" t="n"/>
      <c r="AU11" s="63" t="n"/>
      <c r="AV11" s="221" t="n"/>
      <c r="AW11" s="221" t="n"/>
      <c r="AX11" s="221" t="n"/>
      <c r="AY11" s="221" t="n"/>
      <c r="AZ11" s="221" t="n"/>
      <c r="BA11" s="221" t="n"/>
      <c r="BB11" s="272" t="n"/>
      <c r="BC11" s="102" t="n"/>
    </row>
    <row r="12" ht="21.95" customHeight="1" s="506" thickBot="1">
      <c r="B12" s="2" t="n"/>
      <c r="H12" s="2" t="n"/>
      <c r="I12" s="32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  <c r="X12" s="32" t="n"/>
      <c r="Y12" s="32" t="n"/>
      <c r="Z12" s="32" t="n"/>
      <c r="AA12" s="32" t="n"/>
      <c r="AB12" s="32" t="n"/>
      <c r="AC12" s="32" t="n"/>
      <c r="AD12" s="32" t="n"/>
      <c r="AE12" s="32" t="n"/>
      <c r="AF12" s="32" t="n"/>
      <c r="AG12" s="32" t="n"/>
      <c r="AH12" s="32" t="n"/>
      <c r="AI12" s="32" t="n"/>
      <c r="AJ12" s="32" t="n"/>
      <c r="AK12" s="32" t="n"/>
      <c r="AL12" s="32" t="n"/>
      <c r="AM12" s="32" t="n"/>
      <c r="AN12" s="423">
        <f>SUM(AN8:AN11)</f>
        <v/>
      </c>
      <c r="AO12" s="20">
        <f>SUM(AO8:AO11)</f>
        <v/>
      </c>
      <c r="AP12" s="40" t="n"/>
      <c r="AQ12" s="40" t="n"/>
      <c r="AR12" s="40" t="n"/>
      <c r="AS12" s="40" t="n"/>
      <c r="AT12" s="40" t="n"/>
      <c r="BC12" s="40" t="n"/>
    </row>
    <row r="13" ht="21.95" customHeight="1" s="506" thickBot="1">
      <c r="B13" s="2" t="n"/>
      <c r="H13" s="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2" t="n"/>
      <c r="Y13" s="32" t="n"/>
      <c r="Z13" s="32" t="n"/>
      <c r="AA13" s="32" t="n"/>
      <c r="AB13" s="32" t="n"/>
      <c r="AC13" s="32" t="n"/>
      <c r="AD13" s="32" t="n"/>
      <c r="AE13" s="32" t="n"/>
      <c r="AF13" s="32" t="n"/>
      <c r="AG13" s="32" t="n"/>
      <c r="AH13" s="32" t="n"/>
      <c r="AI13" s="32" t="n"/>
      <c r="AJ13" s="32" t="n"/>
      <c r="AK13" s="32" t="n"/>
      <c r="AL13" s="32" t="n"/>
      <c r="AM13" s="32" t="n"/>
      <c r="AN13" s="48" t="n"/>
      <c r="AP13" s="40" t="n"/>
      <c r="AQ13" s="40" t="n"/>
      <c r="AR13" s="40" t="n"/>
      <c r="AS13" s="40" t="n"/>
      <c r="AT13" s="40" t="n"/>
      <c r="BC13" s="40" t="n"/>
    </row>
    <row r="14" ht="21.95" customHeight="1" s="506" thickBot="1">
      <c r="AN14" s="49" t="inlineStr">
        <is>
          <t>總日數</t>
        </is>
      </c>
      <c r="AO14" s="64" t="inlineStr">
        <is>
          <t>總時數</t>
        </is>
      </c>
    </row>
    <row r="15" ht="21.95" customHeight="1" s="506">
      <c r="B15" s="571" t="inlineStr">
        <is>
          <t>保安主任每日工作(實際)總人數</t>
        </is>
      </c>
      <c r="C15" s="519" t="n"/>
      <c r="D15" s="520" t="n"/>
      <c r="E15" s="472" t="n"/>
      <c r="F15" s="472" t="n"/>
      <c r="G15" s="9" t="n"/>
      <c r="H15" s="10" t="inlineStr">
        <is>
          <t>GS</t>
        </is>
      </c>
      <c r="I15" s="33">
        <f>COUNT(I8:I11)</f>
        <v/>
      </c>
      <c r="J15" s="34">
        <f>COUNT(J8:J11)</f>
        <v/>
      </c>
      <c r="K15" s="34">
        <f>COUNT(K8:K11)</f>
        <v/>
      </c>
      <c r="L15" s="34">
        <f>COUNT(L8:L11)</f>
        <v/>
      </c>
      <c r="M15" s="34">
        <f>COUNT(M8:M11)</f>
        <v/>
      </c>
      <c r="N15" s="34">
        <f>COUNT(N8:N11)</f>
        <v/>
      </c>
      <c r="O15" s="34">
        <f>COUNT(O8:O11)</f>
        <v/>
      </c>
      <c r="P15" s="34">
        <f>COUNT(P8:P11)</f>
        <v/>
      </c>
      <c r="Q15" s="34">
        <f>COUNT(Q8:Q11)</f>
        <v/>
      </c>
      <c r="R15" s="34">
        <f>COUNT(R8:R11)</f>
        <v/>
      </c>
      <c r="S15" s="34">
        <f>COUNT(S8:S11)</f>
        <v/>
      </c>
      <c r="T15" s="34">
        <f>COUNT(T8:T11)</f>
        <v/>
      </c>
      <c r="U15" s="34">
        <f>COUNT(U8:U11)</f>
        <v/>
      </c>
      <c r="V15" s="34">
        <f>COUNT(V8:V11)</f>
        <v/>
      </c>
      <c r="W15" s="34">
        <f>COUNT(W8:W11)</f>
        <v/>
      </c>
      <c r="X15" s="34">
        <f>COUNT(X8:X11)</f>
        <v/>
      </c>
      <c r="Y15" s="34">
        <f>COUNT(Y8:Y11)</f>
        <v/>
      </c>
      <c r="Z15" s="34">
        <f>COUNT(Z8:Z11)</f>
        <v/>
      </c>
      <c r="AA15" s="34">
        <f>COUNT(AA8:AA11)</f>
        <v/>
      </c>
      <c r="AB15" s="34">
        <f>COUNT(AB8:AB11)</f>
        <v/>
      </c>
      <c r="AC15" s="34">
        <f>COUNT(AC8:AC11)</f>
        <v/>
      </c>
      <c r="AD15" s="34">
        <f>COUNT(AD8:AD11)</f>
        <v/>
      </c>
      <c r="AE15" s="34">
        <f>COUNT(AE8:AE11)</f>
        <v/>
      </c>
      <c r="AF15" s="34">
        <f>COUNT(AF8:AF11)</f>
        <v/>
      </c>
      <c r="AG15" s="34">
        <f>COUNT(AG8:AG11)</f>
        <v/>
      </c>
      <c r="AH15" s="34">
        <f>COUNT(AH8:AH12)</f>
        <v/>
      </c>
      <c r="AI15" s="34">
        <f>COUNT(AI8:AI11)</f>
        <v/>
      </c>
      <c r="AJ15" s="34">
        <f>COUNT(AJ8:AJ11)</f>
        <v/>
      </c>
      <c r="AK15" s="34">
        <f>COUNT(AK8:AK11)</f>
        <v/>
      </c>
      <c r="AL15" s="10">
        <f>COUNT(AL8:AL11)</f>
        <v/>
      </c>
      <c r="AM15" s="10">
        <f>COUNT(AM8:AM11)</f>
        <v/>
      </c>
      <c r="AN15" s="50">
        <f>SUM(I15:AM15)</f>
        <v/>
      </c>
      <c r="AO15" s="53">
        <f>AN15*8</f>
        <v/>
      </c>
    </row>
    <row r="16" ht="21.95" customHeight="1" s="506">
      <c r="B16" s="572" t="inlineStr">
        <is>
          <t>保安主任每日工作(要求)總人數</t>
        </is>
      </c>
      <c r="C16" s="522" t="n"/>
      <c r="D16" s="523" t="n"/>
      <c r="E16" s="475" t="n"/>
      <c r="F16" s="475" t="n"/>
      <c r="G16" s="13" t="n"/>
      <c r="H16" s="14" t="n"/>
      <c r="I16" s="35" t="n">
        <v>2</v>
      </c>
      <c r="J16" s="36" t="n">
        <v>2</v>
      </c>
      <c r="K16" s="36" t="n">
        <v>2</v>
      </c>
      <c r="L16" s="36" t="n">
        <v>2</v>
      </c>
      <c r="M16" s="36" t="n">
        <v>2</v>
      </c>
      <c r="N16" s="36" t="n">
        <v>2</v>
      </c>
      <c r="O16" s="36" t="n">
        <v>2</v>
      </c>
      <c r="P16" s="36" t="n">
        <v>2</v>
      </c>
      <c r="Q16" s="36" t="n">
        <v>2</v>
      </c>
      <c r="R16" s="36" t="n">
        <v>2</v>
      </c>
      <c r="S16" s="36" t="n">
        <v>2</v>
      </c>
      <c r="T16" s="36" t="n">
        <v>2</v>
      </c>
      <c r="U16" s="36" t="n">
        <v>2</v>
      </c>
      <c r="V16" s="36" t="n">
        <v>2</v>
      </c>
      <c r="W16" s="36" t="n">
        <v>2</v>
      </c>
      <c r="X16" s="36" t="n">
        <v>2</v>
      </c>
      <c r="Y16" s="36" t="n">
        <v>2</v>
      </c>
      <c r="Z16" s="36" t="n">
        <v>2</v>
      </c>
      <c r="AA16" s="36" t="n">
        <v>2</v>
      </c>
      <c r="AB16" s="36" t="n">
        <v>2</v>
      </c>
      <c r="AC16" s="36" t="n">
        <v>2</v>
      </c>
      <c r="AD16" s="36" t="n">
        <v>2</v>
      </c>
      <c r="AE16" s="36" t="n">
        <v>2</v>
      </c>
      <c r="AF16" s="36" t="n">
        <v>2</v>
      </c>
      <c r="AG16" s="36" t="n">
        <v>2</v>
      </c>
      <c r="AH16" s="36" t="n">
        <v>2</v>
      </c>
      <c r="AI16" s="36" t="n">
        <v>2</v>
      </c>
      <c r="AJ16" s="36" t="n">
        <v>2</v>
      </c>
      <c r="AK16" s="36" t="n">
        <v>2</v>
      </c>
      <c r="AL16" s="14" t="n">
        <v>2</v>
      </c>
      <c r="AM16" s="14" t="n">
        <v>2</v>
      </c>
      <c r="AN16" s="51">
        <f>SUM(I16:AM16)</f>
        <v/>
      </c>
      <c r="AO16" s="54">
        <f>AN16*8</f>
        <v/>
      </c>
    </row>
    <row r="17" ht="21.95" customHeight="1" s="506" thickBot="1">
      <c r="B17" s="573" t="inlineStr">
        <is>
          <t>保安主任每日工作(缺勤)總人數</t>
        </is>
      </c>
      <c r="C17" s="525" t="n"/>
      <c r="D17" s="526" t="n"/>
      <c r="E17" s="469" t="n"/>
      <c r="F17" s="469" t="n"/>
      <c r="G17" s="17" t="n"/>
      <c r="H17" s="18" t="n"/>
      <c r="I17" s="557">
        <f>IF((I15-I16)&lt;0,I15-I16,0)</f>
        <v/>
      </c>
      <c r="J17" s="558">
        <f>IF((J15-J16)&lt;0,J15-J16,0)</f>
        <v/>
      </c>
      <c r="K17" s="558">
        <f>IF((K15-K16)&lt;0,K15-K16,0)</f>
        <v/>
      </c>
      <c r="L17" s="558">
        <f>IF((L15-L16)&lt;0,L15-L16,0)</f>
        <v/>
      </c>
      <c r="M17" s="558">
        <f>IF((M15-M16)&lt;0,M15-M16,0)</f>
        <v/>
      </c>
      <c r="N17" s="558">
        <f>IF((N15-N16)&lt;0,N15-N16,0)</f>
        <v/>
      </c>
      <c r="O17" s="558">
        <f>IF((O15-O16)&lt;0,O15-O16,0)</f>
        <v/>
      </c>
      <c r="P17" s="558">
        <f>IF((P15-P16)&lt;0,P15-P16,0)</f>
        <v/>
      </c>
      <c r="Q17" s="558">
        <f>IF((Q15-Q16)&lt;0,Q15-Q16,0)</f>
        <v/>
      </c>
      <c r="R17" s="558">
        <f>IF((R15-R16)&lt;0,R15-R16,0)</f>
        <v/>
      </c>
      <c r="S17" s="558">
        <f>IF((S15-S16)&lt;0,S15-S16,0)</f>
        <v/>
      </c>
      <c r="T17" s="558">
        <f>IF((T15-T16)&lt;0,T15-T16,0)</f>
        <v/>
      </c>
      <c r="U17" s="558">
        <f>IF((U15-U16)&lt;0,U15-U16,0)</f>
        <v/>
      </c>
      <c r="V17" s="558">
        <f>IF((V15-V16)&lt;0,V15-V16,0)</f>
        <v/>
      </c>
      <c r="W17" s="558">
        <f>IF((W15-W16)&lt;0,W15-W16,0)</f>
        <v/>
      </c>
      <c r="X17" s="558">
        <f>IF((X15-X16)&lt;0,X15-X16,0)</f>
        <v/>
      </c>
      <c r="Y17" s="558">
        <f>IF((Y15-Y16)&lt;0,Y15-Y16,0)</f>
        <v/>
      </c>
      <c r="Z17" s="558">
        <f>IF((Z15-Z16)&lt;0,Z15-Z16,0)</f>
        <v/>
      </c>
      <c r="AA17" s="558">
        <f>IF((AA15-AA16)&lt;0,AA15-AA16,0)</f>
        <v/>
      </c>
      <c r="AB17" s="558">
        <f>IF((AB15-AB16)&lt;0,AB15-AB16,0)</f>
        <v/>
      </c>
      <c r="AC17" s="558">
        <f>IF((AC15-AC16)&lt;0,AC15-AC16,0)</f>
        <v/>
      </c>
      <c r="AD17" s="558">
        <f>IF((AD15-AD16)&lt;0,AD15-AD16,0)</f>
        <v/>
      </c>
      <c r="AE17" s="558">
        <f>IF((AE15-AE16)&lt;0,AE15-AE16,0)</f>
        <v/>
      </c>
      <c r="AF17" s="558">
        <f>IF((AF15-AF16)&lt;0,AF15-AF16,0)</f>
        <v/>
      </c>
      <c r="AG17" s="558">
        <f>IF((AG15-AG16)&lt;0,AG15-AG16,0)</f>
        <v/>
      </c>
      <c r="AH17" s="558">
        <f>IF((AH15-AH16)&lt;0,AH15-AH16,0)</f>
        <v/>
      </c>
      <c r="AI17" s="558">
        <f>IF((AI15-AI16)&lt;0,AI15-AI16,0)</f>
        <v/>
      </c>
      <c r="AJ17" s="558">
        <f>IF((AJ15-AJ16)&lt;0,AJ15-AJ16,0)</f>
        <v/>
      </c>
      <c r="AK17" s="558">
        <f>IF((AK15-AK16)&lt;0,AK15-AK16,0)</f>
        <v/>
      </c>
      <c r="AL17" s="574">
        <f>IF((AL15-AL16)&lt;0,AL15-AL16,0)</f>
        <v/>
      </c>
      <c r="AM17" s="574">
        <f>IF((AM15-AM16)&lt;0,AM15-AM16,0)</f>
        <v/>
      </c>
      <c r="AN17" s="560">
        <f>SUM(I17:AM17)</f>
        <v/>
      </c>
      <c r="AO17" s="575">
        <f>AN17*8</f>
        <v/>
      </c>
    </row>
    <row r="18" ht="21.95" customHeight="1" s="506">
      <c r="B18" s="5" t="n"/>
      <c r="C18" s="5" t="n"/>
      <c r="D18" s="5" t="n"/>
      <c r="E18" s="5" t="n"/>
      <c r="F18" s="5" t="n"/>
      <c r="G18" s="5" t="n"/>
      <c r="H18" s="19" t="n"/>
      <c r="I18" s="561" t="n"/>
      <c r="J18" s="561" t="n"/>
      <c r="K18" s="561" t="n"/>
      <c r="L18" s="561" t="n"/>
      <c r="M18" s="561" t="n"/>
      <c r="N18" s="561" t="n"/>
      <c r="O18" s="561" t="n"/>
      <c r="P18" s="561" t="n"/>
      <c r="Q18" s="561" t="n"/>
      <c r="R18" s="561" t="n"/>
      <c r="S18" s="561" t="n"/>
      <c r="T18" s="561" t="n"/>
      <c r="U18" s="561" t="n"/>
      <c r="V18" s="561" t="n"/>
      <c r="W18" s="561" t="n"/>
      <c r="X18" s="561" t="n"/>
      <c r="Y18" s="561" t="n"/>
      <c r="Z18" s="561" t="n"/>
      <c r="AA18" s="561" t="n"/>
      <c r="AB18" s="561" t="n"/>
      <c r="AC18" s="561" t="n"/>
      <c r="AD18" s="561" t="n"/>
      <c r="AE18" s="561" t="n"/>
      <c r="AF18" s="561" t="n"/>
      <c r="AG18" s="561" t="n"/>
      <c r="AH18" s="561" t="n"/>
      <c r="AI18" s="561" t="n"/>
      <c r="AJ18" s="561" t="n"/>
      <c r="AK18" s="561" t="n"/>
      <c r="AL18" s="561" t="n"/>
      <c r="AM18" s="561" t="n"/>
      <c r="AN18" s="561" t="n"/>
      <c r="AO18" s="561" t="n"/>
      <c r="AU18" s="65" t="n"/>
      <c r="AV18" s="66" t="n"/>
      <c r="AW18" s="74" t="n"/>
      <c r="AX18" s="66" t="n"/>
      <c r="AY18" s="75" t="n"/>
      <c r="AZ18" s="66" t="n"/>
      <c r="BA18" s="66" t="n"/>
      <c r="BB18" s="66" t="n"/>
    </row>
    <row r="19" ht="21.95" customHeight="1" s="506" thickBot="1">
      <c r="B19" s="6" t="inlineStr">
        <is>
          <t>2. 特別保安員/普通保安員出勤時數</t>
        </is>
      </c>
      <c r="H19" s="2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2" t="n"/>
      <c r="V19" s="32" t="n"/>
      <c r="W19" s="32" t="n"/>
      <c r="X19" s="32" t="n"/>
      <c r="Y19" s="32" t="n"/>
      <c r="Z19" s="32" t="n"/>
      <c r="AA19" s="32" t="n"/>
      <c r="AB19" s="32" t="n"/>
      <c r="AC19" s="32" t="n"/>
      <c r="AD19" s="32" t="n"/>
      <c r="AE19" s="32" t="n"/>
      <c r="AF19" s="32" t="n"/>
      <c r="AG19" s="32" t="n"/>
      <c r="AH19" s="32" t="n"/>
      <c r="AI19" s="32" t="n"/>
      <c r="AJ19" s="32" t="n"/>
      <c r="AK19" s="32" t="n"/>
      <c r="AL19" s="32" t="n"/>
      <c r="AM19" s="32" t="n"/>
      <c r="AQ19" s="48" t="n"/>
      <c r="AS19" s="40" t="n"/>
      <c r="AT19" s="40" t="n"/>
      <c r="AU19" s="67" t="n"/>
      <c r="AV19" s="66" t="n"/>
      <c r="AW19" s="74" t="n"/>
      <c r="AX19" s="66" t="n"/>
      <c r="AY19" s="66" t="n"/>
      <c r="AZ19" s="66" t="n"/>
      <c r="BA19" s="66" t="n"/>
      <c r="BB19" s="66" t="n"/>
      <c r="BC19" s="40" t="n"/>
    </row>
    <row r="20" ht="29.25" customFormat="1" customHeight="1" s="240">
      <c r="B20" s="239" t="inlineStr">
        <is>
          <t>N03</t>
        </is>
      </c>
      <c r="C20" s="311" t="inlineStr">
        <is>
          <t>0004745</t>
        </is>
      </c>
      <c r="D20" s="336" t="inlineStr">
        <is>
          <t>李金鳳</t>
        </is>
      </c>
      <c r="E20" s="231" t="inlineStr">
        <is>
          <t>SG/G</t>
        </is>
      </c>
      <c r="F20" s="232" t="n"/>
      <c r="G20" s="233" t="n"/>
      <c r="H20" s="246" t="inlineStr">
        <is>
          <t>夜</t>
        </is>
      </c>
      <c r="I20" s="323" t="inlineStr">
        <is>
          <t>RD</t>
        </is>
      </c>
      <c r="J20" s="262" t="inlineStr">
        <is>
          <t>GS</t>
        </is>
      </c>
      <c r="K20" s="58" t="n">
        <v>8</v>
      </c>
      <c r="L20" s="58" t="n">
        <v>8</v>
      </c>
      <c r="M20" s="58" t="n">
        <v>8</v>
      </c>
      <c r="N20" s="262" t="inlineStr">
        <is>
          <t>GS</t>
        </is>
      </c>
      <c r="O20" s="31" t="inlineStr">
        <is>
          <t>RD</t>
        </is>
      </c>
      <c r="P20" s="262" t="inlineStr">
        <is>
          <t>GS</t>
        </is>
      </c>
      <c r="Q20" s="262" t="inlineStr">
        <is>
          <t>GS</t>
        </is>
      </c>
      <c r="R20" s="58" t="n">
        <v>8</v>
      </c>
      <c r="S20" s="58" t="n">
        <v>8</v>
      </c>
      <c r="T20" s="58" t="n">
        <v>8</v>
      </c>
      <c r="U20" s="58" t="n">
        <v>8</v>
      </c>
      <c r="V20" s="58" t="n">
        <v>8</v>
      </c>
      <c r="W20" s="31" t="inlineStr">
        <is>
          <t>RD</t>
        </is>
      </c>
      <c r="X20" s="262" t="inlineStr">
        <is>
          <t>GS</t>
        </is>
      </c>
      <c r="Y20" s="58" t="n">
        <v>8</v>
      </c>
      <c r="Z20" s="58" t="n">
        <v>8</v>
      </c>
      <c r="AA20" s="58" t="n">
        <v>8</v>
      </c>
      <c r="AB20" s="262" t="inlineStr">
        <is>
          <t>GS</t>
        </is>
      </c>
      <c r="AC20" s="58" t="n">
        <v>8</v>
      </c>
      <c r="AD20" s="31" t="inlineStr">
        <is>
          <t>RD</t>
        </is>
      </c>
      <c r="AE20" s="262" t="inlineStr">
        <is>
          <t>GS</t>
        </is>
      </c>
      <c r="AF20" s="58" t="n">
        <v>8</v>
      </c>
      <c r="AG20" s="58" t="n">
        <v>8</v>
      </c>
      <c r="AH20" s="58" t="n">
        <v>8</v>
      </c>
      <c r="AI20" s="58" t="n">
        <v>8</v>
      </c>
      <c r="AJ20" s="58" t="n">
        <v>8</v>
      </c>
      <c r="AK20" s="31" t="inlineStr">
        <is>
          <t>RD</t>
        </is>
      </c>
      <c r="AL20" s="262" t="inlineStr">
        <is>
          <t>GS</t>
        </is>
      </c>
      <c r="AM20" s="236" t="n">
        <v>8</v>
      </c>
      <c r="AN20" s="312">
        <f>COUNT(I20:AM20)</f>
        <v/>
      </c>
      <c r="AO20" s="238">
        <f>SUM(I20:AM20)</f>
        <v/>
      </c>
      <c r="AP20" s="98">
        <f>COUNTIFS($I20:$AM20,$AP$6)</f>
        <v/>
      </c>
      <c r="AQ20" s="62">
        <f>COUNTIFS($I20:$AM20,$AQ$6)</f>
        <v/>
      </c>
      <c r="AR20" s="62">
        <f>COUNTIFS($I20:$AM20,$AR$6)</f>
        <v/>
      </c>
      <c r="AS20" s="62">
        <f>COUNTIFS($I20:$AM20,$AS$6)</f>
        <v/>
      </c>
      <c r="AT20" s="62">
        <f>COUNTIFS($I20:$AM20,$AT$6)</f>
        <v/>
      </c>
      <c r="AU20" s="62" t="n">
        <v>5</v>
      </c>
      <c r="AV20" s="70">
        <f>COUNTIF(I20:AM20,"RD")</f>
        <v/>
      </c>
      <c r="AW20" s="70">
        <f>AU20-AV20</f>
        <v/>
      </c>
      <c r="AX20" s="70">
        <f>COUNTIF(I20:AM20,"SH")</f>
        <v/>
      </c>
      <c r="AY20" s="70">
        <f>COUNTIF(I20:AM20,"SL")</f>
        <v/>
      </c>
      <c r="AZ20" s="70">
        <f>COUNTIF(I20:AM20,"np")</f>
        <v/>
      </c>
      <c r="BA20" s="70">
        <f>COUNTIF(I20:AM20,"AL*")</f>
        <v/>
      </c>
      <c r="BB20" s="70">
        <f>COUNTIF(I20:AM20,"NC*")</f>
        <v/>
      </c>
      <c r="BC20" s="76" t="n"/>
    </row>
    <row r="21" ht="29.25" customFormat="1" customHeight="1" s="240">
      <c r="B21" s="274" t="inlineStr">
        <is>
          <t>N04</t>
        </is>
      </c>
      <c r="C21" s="275" t="inlineStr">
        <is>
          <t>0004763</t>
        </is>
      </c>
      <c r="D21" s="337" t="inlineStr">
        <is>
          <t>唐蘭金</t>
        </is>
      </c>
      <c r="E21" s="314" t="inlineStr">
        <is>
          <t>SG/G</t>
        </is>
      </c>
      <c r="F21" s="289" t="n"/>
      <c r="G21" s="303" t="n"/>
      <c r="H21" s="286" t="inlineStr">
        <is>
          <t>夜</t>
        </is>
      </c>
      <c r="I21" s="300" t="n">
        <v>8</v>
      </c>
      <c r="J21" s="301" t="n">
        <v>8</v>
      </c>
      <c r="K21" s="122" t="inlineStr">
        <is>
          <t>RD</t>
        </is>
      </c>
      <c r="L21" s="301" t="n">
        <v>8</v>
      </c>
      <c r="M21" s="301" t="n">
        <v>8</v>
      </c>
      <c r="N21" s="301" t="n">
        <v>8</v>
      </c>
      <c r="O21" s="260" t="inlineStr">
        <is>
          <t>GS</t>
        </is>
      </c>
      <c r="P21" s="301" t="n">
        <v>8</v>
      </c>
      <c r="Q21" s="260" t="inlineStr">
        <is>
          <t>GS</t>
        </is>
      </c>
      <c r="R21" s="301" t="n">
        <v>8</v>
      </c>
      <c r="S21" s="301" t="inlineStr">
        <is>
          <t>NP</t>
        </is>
      </c>
      <c r="T21" s="122" t="inlineStr">
        <is>
          <t>RD</t>
        </is>
      </c>
      <c r="U21" s="122" t="inlineStr">
        <is>
          <t>RD</t>
        </is>
      </c>
      <c r="V21" s="122" t="inlineStr">
        <is>
          <t>RD</t>
        </is>
      </c>
      <c r="W21" s="301" t="n">
        <v>8</v>
      </c>
      <c r="X21" s="301" t="n">
        <v>8</v>
      </c>
      <c r="Y21" s="301" t="n">
        <v>8</v>
      </c>
      <c r="Z21" s="301" t="n">
        <v>8</v>
      </c>
      <c r="AA21" s="301" t="n">
        <v>8</v>
      </c>
      <c r="AB21" s="301" t="n">
        <v>8</v>
      </c>
      <c r="AC21" s="301" t="n">
        <v>8</v>
      </c>
      <c r="AD21" s="301" t="n">
        <v>8</v>
      </c>
      <c r="AE21" s="301" t="n">
        <v>8</v>
      </c>
      <c r="AF21" s="301" t="n">
        <v>8</v>
      </c>
      <c r="AG21" s="122" t="inlineStr">
        <is>
          <t>RD</t>
        </is>
      </c>
      <c r="AH21" s="301" t="n">
        <v>8</v>
      </c>
      <c r="AI21" s="301" t="n">
        <v>8</v>
      </c>
      <c r="AJ21" s="301" t="n">
        <v>8</v>
      </c>
      <c r="AK21" s="301" t="n">
        <v>8</v>
      </c>
      <c r="AL21" s="301" t="n">
        <v>8</v>
      </c>
      <c r="AM21" s="302" t="n">
        <v>8</v>
      </c>
      <c r="AN21" s="313">
        <f>COUNT(I21:AM21)</f>
        <v/>
      </c>
      <c r="AO21" s="254">
        <f>SUM(I21:AM21)</f>
        <v/>
      </c>
      <c r="AP21" s="181">
        <f>COUNTIFS($I21:$AM21,$AP$6)</f>
        <v/>
      </c>
      <c r="AQ21" s="63">
        <f>COUNTIFS($I21:$AM21,$AQ$6)</f>
        <v/>
      </c>
      <c r="AR21" s="63">
        <f>COUNTIFS($I21:$AM21,$AR$6)</f>
        <v/>
      </c>
      <c r="AS21" s="63">
        <f>COUNTIFS($I21:$AM21,$AS$6)</f>
        <v/>
      </c>
      <c r="AT21" s="63">
        <f>COUNTIFS($I21:$AM21,$AT$6)</f>
        <v/>
      </c>
      <c r="AU21" s="63">
        <f>AU20</f>
        <v/>
      </c>
      <c r="AV21" s="221">
        <f>COUNTIF(I21:AM21,"RD")</f>
        <v/>
      </c>
      <c r="AW21" s="221">
        <f>AU21-AV21</f>
        <v/>
      </c>
      <c r="AX21" s="221">
        <f>COUNTIF(I21:AM21,"SH")</f>
        <v/>
      </c>
      <c r="AY21" s="221">
        <f>COUNTIF(I21:AM21,"SL")</f>
        <v/>
      </c>
      <c r="AZ21" s="221">
        <f>COUNTIF(I21:AM21,"np")</f>
        <v/>
      </c>
      <c r="BA21" s="221">
        <f>COUNTIF(I21:AM21,"AL*")</f>
        <v/>
      </c>
      <c r="BB21" s="221">
        <f>COUNTIF(I21:AM21,"NC*")</f>
        <v/>
      </c>
      <c r="BC21" s="77" t="n"/>
    </row>
    <row r="22" ht="29.25" customFormat="1" customHeight="1" s="240">
      <c r="B22" s="274" t="inlineStr">
        <is>
          <t>N05</t>
        </is>
      </c>
      <c r="C22" s="275" t="inlineStr">
        <is>
          <t>0004750</t>
        </is>
      </c>
      <c r="D22" s="274" t="inlineStr">
        <is>
          <t>陳小玲</t>
        </is>
      </c>
      <c r="E22" s="314" t="inlineStr">
        <is>
          <t>SG/G</t>
        </is>
      </c>
      <c r="F22" s="289" t="n"/>
      <c r="G22" s="303" t="n"/>
      <c r="H22" s="286" t="inlineStr">
        <is>
          <t>夜</t>
        </is>
      </c>
      <c r="I22" s="300" t="n">
        <v>8</v>
      </c>
      <c r="J22" s="301" t="n">
        <v>8</v>
      </c>
      <c r="K22" s="301" t="n">
        <v>8</v>
      </c>
      <c r="L22" s="122" t="inlineStr">
        <is>
          <t>RD</t>
        </is>
      </c>
      <c r="M22" s="301" t="n">
        <v>8</v>
      </c>
      <c r="N22" s="301" t="n">
        <v>8</v>
      </c>
      <c r="O22" s="301" t="n">
        <v>8</v>
      </c>
      <c r="P22" s="301" t="n">
        <v>8</v>
      </c>
      <c r="Q22" s="301" t="n">
        <v>8</v>
      </c>
      <c r="R22" s="301" t="n">
        <v>8</v>
      </c>
      <c r="S22" s="122" t="n">
        <v>8</v>
      </c>
      <c r="T22" s="122" t="inlineStr">
        <is>
          <t>RD</t>
        </is>
      </c>
      <c r="U22" s="301" t="n">
        <v>8</v>
      </c>
      <c r="V22" s="301" t="n">
        <v>8</v>
      </c>
      <c r="W22" s="301" t="n">
        <v>8</v>
      </c>
      <c r="X22" s="301" t="n">
        <v>8</v>
      </c>
      <c r="Y22" s="301" t="n">
        <v>8</v>
      </c>
      <c r="Z22" s="301" t="n">
        <v>8</v>
      </c>
      <c r="AA22" s="122" t="inlineStr">
        <is>
          <t>RD</t>
        </is>
      </c>
      <c r="AB22" s="122" t="inlineStr">
        <is>
          <t>RD</t>
        </is>
      </c>
      <c r="AC22" s="301" t="n">
        <v>8</v>
      </c>
      <c r="AD22" s="301" t="n">
        <v>8</v>
      </c>
      <c r="AE22" s="301" t="n">
        <v>8</v>
      </c>
      <c r="AF22" s="301" t="n">
        <v>8</v>
      </c>
      <c r="AG22" s="301" t="n">
        <v>8</v>
      </c>
      <c r="AH22" s="301" t="n">
        <v>8</v>
      </c>
      <c r="AI22" s="301" t="n">
        <v>8</v>
      </c>
      <c r="AJ22" s="122" t="inlineStr">
        <is>
          <t>RD</t>
        </is>
      </c>
      <c r="AK22" s="301" t="n">
        <v>8</v>
      </c>
      <c r="AL22" s="301" t="n">
        <v>8</v>
      </c>
      <c r="AM22" s="302" t="n">
        <v>8</v>
      </c>
      <c r="AN22" s="313">
        <f>COUNT(I22:AM22)</f>
        <v/>
      </c>
      <c r="AO22" s="254">
        <f>SUM(I22:AM22)</f>
        <v/>
      </c>
      <c r="AP22" s="181">
        <f>COUNTIFS($I22:$AM22,$AP$6)</f>
        <v/>
      </c>
      <c r="AQ22" s="63">
        <f>COUNTIFS($I22:$AM22,$AQ$6)</f>
        <v/>
      </c>
      <c r="AR22" s="63">
        <f>COUNTIFS($I22:$AM22,$AR$6)</f>
        <v/>
      </c>
      <c r="AS22" s="63">
        <f>COUNTIFS($I22:$AM22,$AS$6)</f>
        <v/>
      </c>
      <c r="AT22" s="63">
        <f>COUNTIFS($I22:$AM22,$AT$6)</f>
        <v/>
      </c>
      <c r="AU22" s="63">
        <f>AU21</f>
        <v/>
      </c>
      <c r="AV22" s="221">
        <f>COUNTIF(I22:AM22,"RD")</f>
        <v/>
      </c>
      <c r="AW22" s="221">
        <f>AU22-AV22</f>
        <v/>
      </c>
      <c r="AX22" s="221">
        <f>COUNTIF(I22:AM22,"SH")</f>
        <v/>
      </c>
      <c r="AY22" s="221">
        <f>COUNTIF(I22:AM22,"SL")</f>
        <v/>
      </c>
      <c r="AZ22" s="221">
        <f>COUNTIF(I22:AM22,"np")</f>
        <v/>
      </c>
      <c r="BA22" s="221">
        <f>COUNTIF(I22:AM22,"AL*")</f>
        <v/>
      </c>
      <c r="BB22" s="221">
        <f>COUNTIF(I22:AM22,"NC*")</f>
        <v/>
      </c>
      <c r="BC22" s="77" t="n"/>
    </row>
    <row r="23" ht="29.25" customFormat="1" customHeight="1" s="240">
      <c r="B23" s="274" t="inlineStr">
        <is>
          <t>N06</t>
        </is>
      </c>
      <c r="C23" s="275" t="inlineStr">
        <is>
          <t>0004757</t>
        </is>
      </c>
      <c r="D23" s="245" t="inlineStr">
        <is>
          <t>黎明珠</t>
        </is>
      </c>
      <c r="E23" s="314" t="inlineStr">
        <is>
          <t>SG/G</t>
        </is>
      </c>
      <c r="F23" s="289" t="n"/>
      <c r="G23" s="303" t="n"/>
      <c r="H23" s="286" t="inlineStr">
        <is>
          <t>夜</t>
        </is>
      </c>
      <c r="I23" s="300" t="n">
        <v>8</v>
      </c>
      <c r="J23" s="301" t="n">
        <v>8</v>
      </c>
      <c r="K23" s="301" t="n">
        <v>8</v>
      </c>
      <c r="L23" s="301" t="n">
        <v>8</v>
      </c>
      <c r="M23" s="301" t="n">
        <v>8</v>
      </c>
      <c r="N23" s="301" t="n">
        <v>8</v>
      </c>
      <c r="O23" s="301" t="n">
        <v>8</v>
      </c>
      <c r="P23" s="122" t="inlineStr">
        <is>
          <t>RD</t>
        </is>
      </c>
      <c r="Q23" s="122" t="inlineStr">
        <is>
          <t>RD</t>
        </is>
      </c>
      <c r="R23" s="301" t="n">
        <v>8</v>
      </c>
      <c r="S23" s="301" t="n">
        <v>8</v>
      </c>
      <c r="T23" s="301" t="n">
        <v>8</v>
      </c>
      <c r="U23" s="301" t="n">
        <v>8</v>
      </c>
      <c r="V23" s="301" t="n">
        <v>8</v>
      </c>
      <c r="W23" s="301" t="n">
        <v>8</v>
      </c>
      <c r="X23" s="122" t="inlineStr">
        <is>
          <t>RD</t>
        </is>
      </c>
      <c r="Y23" s="301" t="n">
        <v>8</v>
      </c>
      <c r="Z23" s="301" t="n">
        <v>8</v>
      </c>
      <c r="AA23" s="301" t="n">
        <v>8</v>
      </c>
      <c r="AB23" s="301" t="n">
        <v>8</v>
      </c>
      <c r="AC23" s="301" t="n">
        <v>8</v>
      </c>
      <c r="AD23" s="301" t="n">
        <v>8</v>
      </c>
      <c r="AE23" s="122" t="inlineStr">
        <is>
          <t>RD</t>
        </is>
      </c>
      <c r="AF23" s="301" t="n">
        <v>8</v>
      </c>
      <c r="AG23" s="301" t="n">
        <v>8</v>
      </c>
      <c r="AH23" s="301" t="n">
        <v>8</v>
      </c>
      <c r="AI23" s="301" t="n">
        <v>8</v>
      </c>
      <c r="AJ23" s="301" t="n">
        <v>8</v>
      </c>
      <c r="AK23" s="301" t="n">
        <v>8</v>
      </c>
      <c r="AL23" s="122" t="inlineStr">
        <is>
          <t>RD</t>
        </is>
      </c>
      <c r="AM23" s="302" t="n">
        <v>8</v>
      </c>
      <c r="AN23" s="313">
        <f>COUNT(I23:AM23)</f>
        <v/>
      </c>
      <c r="AO23" s="254">
        <f>SUM(I23:AM23)</f>
        <v/>
      </c>
      <c r="AP23" s="181">
        <f>COUNTIFS($I23:$AM23,$AP$6)</f>
        <v/>
      </c>
      <c r="AQ23" s="63">
        <f>COUNTIFS($I23:$AM23,$AQ$6)</f>
        <v/>
      </c>
      <c r="AR23" s="63">
        <f>COUNTIFS($I23:$AM23,$AR$6)</f>
        <v/>
      </c>
      <c r="AS23" s="63">
        <f>COUNTIFS($I23:$AM23,$AS$6)</f>
        <v/>
      </c>
      <c r="AT23" s="63">
        <f>COUNTIFS($I23:$AM23,$AT$6)</f>
        <v/>
      </c>
      <c r="AU23" s="63">
        <f>AU22</f>
        <v/>
      </c>
      <c r="AV23" s="221">
        <f>COUNTIF(I23:AM23,"RD")</f>
        <v/>
      </c>
      <c r="AW23" s="221">
        <f>AU23-AV23</f>
        <v/>
      </c>
      <c r="AX23" s="221">
        <f>COUNTIF(I23:AM23,"SH")</f>
        <v/>
      </c>
      <c r="AY23" s="221">
        <f>COUNTIF(I23:AM23,"SL")</f>
        <v/>
      </c>
      <c r="AZ23" s="221">
        <f>COUNTIF(I23:AM23,"np")</f>
        <v/>
      </c>
      <c r="BA23" s="221">
        <f>COUNTIF(I23:AM23,"AL*")</f>
        <v/>
      </c>
      <c r="BB23" s="221">
        <f>COUNTIF(I23:AM23,"NC*")</f>
        <v/>
      </c>
      <c r="BC23" s="77" t="n"/>
    </row>
    <row r="24" ht="29.25" customFormat="1" customHeight="1" s="240">
      <c r="B24" s="274" t="inlineStr">
        <is>
          <t>N07</t>
        </is>
      </c>
      <c r="C24" s="248" t="inlineStr">
        <is>
          <t>0004739</t>
        </is>
      </c>
      <c r="D24" s="274" t="inlineStr">
        <is>
          <t>李智豪</t>
        </is>
      </c>
      <c r="E24" s="242" t="inlineStr">
        <is>
          <t>SG/G</t>
        </is>
      </c>
      <c r="F24" s="288" t="n"/>
      <c r="G24" s="243" t="n"/>
      <c r="H24" s="241" t="inlineStr">
        <is>
          <t>夜</t>
        </is>
      </c>
      <c r="I24" s="300" t="inlineStr">
        <is>
          <t>WTT</t>
        </is>
      </c>
      <c r="J24" s="122" t="inlineStr">
        <is>
          <t>RD</t>
        </is>
      </c>
      <c r="K24" s="122" t="inlineStr">
        <is>
          <t>RD</t>
        </is>
      </c>
      <c r="L24" s="301" t="n">
        <v>8</v>
      </c>
      <c r="M24" s="301" t="n">
        <v>8</v>
      </c>
      <c r="N24" s="301" t="n">
        <v>8</v>
      </c>
      <c r="O24" s="301" t="n">
        <v>8</v>
      </c>
      <c r="P24" s="301" t="n">
        <v>8</v>
      </c>
      <c r="Q24" s="301" t="n">
        <v>8</v>
      </c>
      <c r="R24" s="301" t="inlineStr">
        <is>
          <t>WTT</t>
        </is>
      </c>
      <c r="S24" s="122" t="inlineStr">
        <is>
          <t>RD</t>
        </is>
      </c>
      <c r="T24" s="301" t="n">
        <v>8</v>
      </c>
      <c r="U24" s="301" t="n">
        <v>8</v>
      </c>
      <c r="V24" s="301" t="n">
        <v>8</v>
      </c>
      <c r="W24" s="301" t="n">
        <v>8</v>
      </c>
      <c r="X24" s="301" t="n">
        <v>8</v>
      </c>
      <c r="Y24" s="301" t="inlineStr">
        <is>
          <t>WTT</t>
        </is>
      </c>
      <c r="Z24" s="301" t="inlineStr">
        <is>
          <t>WTT</t>
        </is>
      </c>
      <c r="AA24" s="122" t="inlineStr">
        <is>
          <t>RD</t>
        </is>
      </c>
      <c r="AB24" s="301" t="n">
        <v>8</v>
      </c>
      <c r="AC24" s="301" t="n">
        <v>8</v>
      </c>
      <c r="AD24" s="301" t="n">
        <v>8</v>
      </c>
      <c r="AE24" s="301" t="n">
        <v>8</v>
      </c>
      <c r="AF24" s="301" t="n">
        <v>8</v>
      </c>
      <c r="AG24" s="301" t="n">
        <v>8</v>
      </c>
      <c r="AH24" s="301" t="inlineStr">
        <is>
          <t>WTT</t>
        </is>
      </c>
      <c r="AI24" s="122" t="inlineStr">
        <is>
          <t>RD</t>
        </is>
      </c>
      <c r="AJ24" s="301" t="n">
        <v>8</v>
      </c>
      <c r="AK24" s="301" t="n">
        <v>8</v>
      </c>
      <c r="AL24" s="301" t="n">
        <v>8</v>
      </c>
      <c r="AM24" s="302" t="n">
        <v>8</v>
      </c>
      <c r="AN24" s="313">
        <f>COUNT(I24:AM24)</f>
        <v/>
      </c>
      <c r="AO24" s="254">
        <f>SUM(I24:AM24)</f>
        <v/>
      </c>
      <c r="AP24" s="181">
        <f>COUNTIFS($I24:$AM24,$AP$6)</f>
        <v/>
      </c>
      <c r="AQ24" s="63">
        <f>COUNTIFS($I24:$AM24,$AQ$6)</f>
        <v/>
      </c>
      <c r="AR24" s="63">
        <f>COUNTIFS($I24:$AM24,$AR$6)</f>
        <v/>
      </c>
      <c r="AS24" s="63">
        <f>COUNTIFS($I24:$AM24,$AS$6)</f>
        <v/>
      </c>
      <c r="AT24" s="63">
        <f>COUNTIFS($I24:$AM24,$AT$6)</f>
        <v/>
      </c>
      <c r="AU24" s="63">
        <f>AU23</f>
        <v/>
      </c>
      <c r="AV24" s="221">
        <f>COUNTIF(I24:AM24,"RD")</f>
        <v/>
      </c>
      <c r="AW24" s="221">
        <f>AU24-AV24</f>
        <v/>
      </c>
      <c r="AX24" s="221">
        <f>COUNTIF(I24:AM24,"SH")</f>
        <v/>
      </c>
      <c r="AY24" s="221">
        <f>COUNTIF(I24:AM24,"SL")</f>
        <v/>
      </c>
      <c r="AZ24" s="221">
        <f>COUNTIF(I24:AM24,"np")</f>
        <v/>
      </c>
      <c r="BA24" s="221">
        <f>COUNTIF(I24:AM24,"AL*")</f>
        <v/>
      </c>
      <c r="BB24" s="221">
        <f>COUNTIF(I24:AM24,"NC*")</f>
        <v/>
      </c>
      <c r="BC24" s="77" t="n"/>
    </row>
    <row r="25" ht="29.25" customFormat="1" customHeight="1" s="240">
      <c r="B25" s="274" t="inlineStr">
        <is>
          <t>N08</t>
        </is>
      </c>
      <c r="C25" s="275" t="inlineStr">
        <is>
          <t>0004759</t>
        </is>
      </c>
      <c r="D25" s="274" t="inlineStr">
        <is>
          <t>李惠萍</t>
        </is>
      </c>
      <c r="E25" s="314" t="inlineStr">
        <is>
          <t>SG/G</t>
        </is>
      </c>
      <c r="F25" s="289" t="n"/>
      <c r="G25" s="303" t="n"/>
      <c r="H25" s="286" t="inlineStr">
        <is>
          <t>夜</t>
        </is>
      </c>
      <c r="I25" s="300" t="n">
        <v>8</v>
      </c>
      <c r="J25" s="301" t="n">
        <v>8</v>
      </c>
      <c r="K25" s="301" t="n">
        <v>8</v>
      </c>
      <c r="L25" s="301" t="n">
        <v>8</v>
      </c>
      <c r="M25" s="301" t="n">
        <v>8</v>
      </c>
      <c r="N25" s="301" t="n">
        <v>8</v>
      </c>
      <c r="O25" s="301" t="n">
        <v>8</v>
      </c>
      <c r="P25" s="301" t="n">
        <v>8</v>
      </c>
      <c r="Q25" s="122" t="inlineStr">
        <is>
          <t>RD</t>
        </is>
      </c>
      <c r="R25" s="122" t="inlineStr">
        <is>
          <t>RD</t>
        </is>
      </c>
      <c r="S25" s="301" t="n">
        <v>8</v>
      </c>
      <c r="T25" s="301" t="n">
        <v>8</v>
      </c>
      <c r="U25" s="301" t="n">
        <v>8</v>
      </c>
      <c r="V25" s="301" t="n">
        <v>8</v>
      </c>
      <c r="W25" s="301" t="n">
        <v>8</v>
      </c>
      <c r="X25" s="301" t="n">
        <v>8</v>
      </c>
      <c r="Y25" s="122" t="inlineStr">
        <is>
          <t>RD</t>
        </is>
      </c>
      <c r="Z25" s="122" t="inlineStr">
        <is>
          <t>RD</t>
        </is>
      </c>
      <c r="AA25" s="301" t="n">
        <v>8</v>
      </c>
      <c r="AB25" s="301" t="n">
        <v>8</v>
      </c>
      <c r="AC25" s="301" t="n">
        <v>8</v>
      </c>
      <c r="AD25" s="301" t="n">
        <v>8</v>
      </c>
      <c r="AE25" s="301" t="n">
        <v>8</v>
      </c>
      <c r="AF25" s="301" t="n">
        <v>8</v>
      </c>
      <c r="AG25" s="301" t="n">
        <v>8</v>
      </c>
      <c r="AH25" s="301" t="n">
        <v>8</v>
      </c>
      <c r="AI25" s="122" t="inlineStr">
        <is>
          <t>RD</t>
        </is>
      </c>
      <c r="AJ25" s="301" t="n">
        <v>8</v>
      </c>
      <c r="AK25" s="301" t="n">
        <v>8</v>
      </c>
      <c r="AL25" s="301" t="n">
        <v>8</v>
      </c>
      <c r="AM25" s="302" t="n">
        <v>8</v>
      </c>
      <c r="AN25" s="313">
        <f>COUNT(I25:AM25)</f>
        <v/>
      </c>
      <c r="AO25" s="254">
        <f>SUM(I25:AM25)</f>
        <v/>
      </c>
      <c r="AP25" s="181">
        <f>COUNTIFS($I25:$AM25,$AP$6)</f>
        <v/>
      </c>
      <c r="AQ25" s="63">
        <f>COUNTIFS($I25:$AM25,$AQ$6)</f>
        <v/>
      </c>
      <c r="AR25" s="63">
        <f>COUNTIFS($I25:$AM25,$AR$6)</f>
        <v/>
      </c>
      <c r="AS25" s="63">
        <f>COUNTIFS($I25:$AM25,$AS$6)</f>
        <v/>
      </c>
      <c r="AT25" s="63">
        <f>COUNTIFS($I25:$AM25,$AT$6)</f>
        <v/>
      </c>
      <c r="AU25" s="63">
        <f>AU24</f>
        <v/>
      </c>
      <c r="AV25" s="221">
        <f>COUNTIF(I25:AM25,"RD")</f>
        <v/>
      </c>
      <c r="AW25" s="221">
        <f>AU25-AV25</f>
        <v/>
      </c>
      <c r="AX25" s="221">
        <f>COUNTIF(I25:AM25,"SH")</f>
        <v/>
      </c>
      <c r="AY25" s="221">
        <f>COUNTIF(I25:AM25,"SL")</f>
        <v/>
      </c>
      <c r="AZ25" s="221">
        <f>COUNTIF(I25:AM25,"np")</f>
        <v/>
      </c>
      <c r="BA25" s="221">
        <f>COUNTIF(I25:AM25,"AL*")</f>
        <v/>
      </c>
      <c r="BB25" s="221">
        <f>COUNTIF(I25:AM25,"NC*")</f>
        <v/>
      </c>
      <c r="BC25" s="77" t="n"/>
    </row>
    <row r="26" ht="29.25" customFormat="1" customHeight="1" s="90">
      <c r="B26" s="274" t="inlineStr">
        <is>
          <t>N09</t>
        </is>
      </c>
      <c r="C26" s="248" t="inlineStr">
        <is>
          <t>0004765</t>
        </is>
      </c>
      <c r="D26" s="245" t="inlineStr">
        <is>
          <t>李燕紅</t>
        </is>
      </c>
      <c r="E26" s="242" t="inlineStr">
        <is>
          <t>SG/G</t>
        </is>
      </c>
      <c r="F26" s="288" t="n"/>
      <c r="G26" s="243" t="n"/>
      <c r="H26" s="241" t="inlineStr">
        <is>
          <t>夜</t>
        </is>
      </c>
      <c r="I26" s="300" t="n">
        <v>8</v>
      </c>
      <c r="J26" s="301" t="n">
        <v>8</v>
      </c>
      <c r="K26" s="301" t="n">
        <v>8</v>
      </c>
      <c r="L26" s="301" t="n">
        <v>8</v>
      </c>
      <c r="M26" s="122" t="inlineStr">
        <is>
          <t>RD</t>
        </is>
      </c>
      <c r="N26" s="301" t="n">
        <v>8</v>
      </c>
      <c r="O26" s="301" t="n">
        <v>8</v>
      </c>
      <c r="P26" s="301" t="n">
        <v>8</v>
      </c>
      <c r="Q26" s="301" t="n">
        <v>8</v>
      </c>
      <c r="R26" s="301" t="n">
        <v>8</v>
      </c>
      <c r="S26" s="301" t="n">
        <v>8</v>
      </c>
      <c r="T26" s="301" t="n">
        <v>8</v>
      </c>
      <c r="U26" s="301" t="n">
        <v>8</v>
      </c>
      <c r="V26" s="122" t="inlineStr">
        <is>
          <t>RD</t>
        </is>
      </c>
      <c r="W26" s="301" t="n">
        <v>8</v>
      </c>
      <c r="X26" s="301" t="n">
        <v>8</v>
      </c>
      <c r="Y26" s="301" t="n">
        <v>8</v>
      </c>
      <c r="Z26" s="301" t="n">
        <v>8</v>
      </c>
      <c r="AA26" s="301" t="n">
        <v>8</v>
      </c>
      <c r="AB26" s="301" t="n">
        <v>8</v>
      </c>
      <c r="AC26" s="301" t="n">
        <v>8</v>
      </c>
      <c r="AD26" s="122" t="inlineStr">
        <is>
          <t>RD</t>
        </is>
      </c>
      <c r="AE26" s="122" t="inlineStr">
        <is>
          <t>RD</t>
        </is>
      </c>
      <c r="AF26" s="301" t="n">
        <v>8</v>
      </c>
      <c r="AG26" s="301" t="n">
        <v>8</v>
      </c>
      <c r="AH26" s="301" t="n">
        <v>8</v>
      </c>
      <c r="AI26" s="301" t="n">
        <v>8</v>
      </c>
      <c r="AJ26" s="301" t="n">
        <v>8</v>
      </c>
      <c r="AK26" s="301" t="n">
        <v>8</v>
      </c>
      <c r="AL26" s="122" t="inlineStr">
        <is>
          <t>RD</t>
        </is>
      </c>
      <c r="AM26" s="302" t="n">
        <v>8</v>
      </c>
      <c r="AN26" s="315">
        <f>COUNT(I26:AM26)</f>
        <v/>
      </c>
      <c r="AO26" s="244">
        <f>SUM(I26:AM26)</f>
        <v/>
      </c>
      <c r="AP26" s="181">
        <f>COUNTIFS($I26:$AM26,$AP$6)</f>
        <v/>
      </c>
      <c r="AQ26" s="63">
        <f>COUNTIFS($I26:$AM26,$AQ$6)</f>
        <v/>
      </c>
      <c r="AR26" s="63">
        <f>COUNTIFS($I26:$AM26,$AR$6)</f>
        <v/>
      </c>
      <c r="AS26" s="63">
        <f>COUNTIFS($I26:$AM26,$AS$6)</f>
        <v/>
      </c>
      <c r="AT26" s="63">
        <f>COUNTIFS($I26:$AM26,$AT$6)</f>
        <v/>
      </c>
      <c r="AU26" s="63">
        <f>AU25</f>
        <v/>
      </c>
      <c r="AV26" s="221">
        <f>COUNTIF(I26:AM26,"RD")</f>
        <v/>
      </c>
      <c r="AW26" s="221">
        <f>AU26-AV26</f>
        <v/>
      </c>
      <c r="AX26" s="221">
        <f>COUNTIF(I26:AM26,"SH")</f>
        <v/>
      </c>
      <c r="AY26" s="221">
        <f>COUNTIF(I26:AM26,"SL")</f>
        <v/>
      </c>
      <c r="AZ26" s="221">
        <f>COUNTIF(I26:AM26,"np")</f>
        <v/>
      </c>
      <c r="BA26" s="221">
        <f>COUNTIF(I26:AM26,"AL*")</f>
        <v/>
      </c>
      <c r="BB26" s="221">
        <f>COUNTIF(I26:AM26,"NC*")</f>
        <v/>
      </c>
      <c r="BC26" s="77" t="n"/>
    </row>
    <row r="27" ht="29.25" customFormat="1" customHeight="1" s="240">
      <c r="B27" s="274" t="inlineStr">
        <is>
          <t>N10</t>
        </is>
      </c>
      <c r="C27" s="248" t="inlineStr">
        <is>
          <t>0004756</t>
        </is>
      </c>
      <c r="D27" s="245" t="inlineStr">
        <is>
          <t>石慧文</t>
        </is>
      </c>
      <c r="E27" s="242" t="inlineStr">
        <is>
          <t>SG/G</t>
        </is>
      </c>
      <c r="F27" s="288" t="n"/>
      <c r="G27" s="243" t="n"/>
      <c r="H27" s="241" t="inlineStr">
        <is>
          <t>夜</t>
        </is>
      </c>
      <c r="I27" s="123" t="inlineStr">
        <is>
          <t>RD</t>
        </is>
      </c>
      <c r="J27" s="301" t="inlineStr">
        <is>
          <t>FH</t>
        </is>
      </c>
      <c r="K27" s="301" t="inlineStr">
        <is>
          <t>FH</t>
        </is>
      </c>
      <c r="L27" s="301" t="inlineStr">
        <is>
          <t>FH</t>
        </is>
      </c>
      <c r="M27" s="301" t="inlineStr">
        <is>
          <t>FH</t>
        </is>
      </c>
      <c r="N27" s="301" t="n">
        <v>8</v>
      </c>
      <c r="O27" s="122" t="inlineStr">
        <is>
          <t>RD</t>
        </is>
      </c>
      <c r="P27" s="122" t="inlineStr">
        <is>
          <t>RD</t>
        </is>
      </c>
      <c r="Q27" s="301" t="inlineStr">
        <is>
          <t>FH</t>
        </is>
      </c>
      <c r="R27" s="301" t="inlineStr">
        <is>
          <t>FH</t>
        </is>
      </c>
      <c r="S27" s="301" t="inlineStr">
        <is>
          <t>FH</t>
        </is>
      </c>
      <c r="T27" s="301" t="n">
        <v>8</v>
      </c>
      <c r="U27" s="301" t="n">
        <v>8</v>
      </c>
      <c r="V27" s="301" t="n">
        <v>8</v>
      </c>
      <c r="W27" s="301" t="n">
        <v>8</v>
      </c>
      <c r="X27" s="301" t="inlineStr">
        <is>
          <t>FH</t>
        </is>
      </c>
      <c r="Y27" s="122" t="inlineStr">
        <is>
          <t>RD</t>
        </is>
      </c>
      <c r="Z27" s="301" t="inlineStr">
        <is>
          <t>FH</t>
        </is>
      </c>
      <c r="AA27" s="301" t="n">
        <v>8</v>
      </c>
      <c r="AB27" s="301" t="n">
        <v>8</v>
      </c>
      <c r="AC27" s="301" t="n">
        <v>8</v>
      </c>
      <c r="AD27" s="301" t="n">
        <v>8</v>
      </c>
      <c r="AE27" s="301" t="n">
        <v>8</v>
      </c>
      <c r="AF27" s="122" t="inlineStr">
        <is>
          <t>RD</t>
        </is>
      </c>
      <c r="AG27" s="301" t="inlineStr">
        <is>
          <t>FH</t>
        </is>
      </c>
      <c r="AH27" s="301" t="inlineStr">
        <is>
          <t>FH</t>
        </is>
      </c>
      <c r="AI27" s="301" t="inlineStr">
        <is>
          <t>FH</t>
        </is>
      </c>
      <c r="AJ27" s="301" t="n">
        <v>8</v>
      </c>
      <c r="AK27" s="301" t="n">
        <v>8</v>
      </c>
      <c r="AL27" s="301" t="n">
        <v>8</v>
      </c>
      <c r="AM27" s="302" t="n">
        <v>8</v>
      </c>
      <c r="AN27" s="313">
        <f>COUNT(I27:AM27)</f>
        <v/>
      </c>
      <c r="AO27" s="254">
        <f>SUM(I27:AM27)</f>
        <v/>
      </c>
      <c r="AP27" s="181">
        <f>COUNTIFS($I27:$AM27,$AP$6)</f>
        <v/>
      </c>
      <c r="AQ27" s="63">
        <f>COUNTIFS($I27:$AM27,$AQ$6)</f>
        <v/>
      </c>
      <c r="AR27" s="63">
        <f>COUNTIFS($I27:$AM27,$AR$6)</f>
        <v/>
      </c>
      <c r="AS27" s="63">
        <f>COUNTIFS($I27:$AM27,$AS$6)</f>
        <v/>
      </c>
      <c r="AT27" s="63">
        <f>COUNTIFS($I27:$AM27,$AT$6)</f>
        <v/>
      </c>
      <c r="AU27" s="63">
        <f>AU26</f>
        <v/>
      </c>
      <c r="AV27" s="221">
        <f>COUNTIF(I27:AM27,"RD")</f>
        <v/>
      </c>
      <c r="AW27" s="221">
        <f>AU27-AV27</f>
        <v/>
      </c>
      <c r="AX27" s="221">
        <f>COUNTIF(I27:AM27,"SH")</f>
        <v/>
      </c>
      <c r="AY27" s="221">
        <f>COUNTIF(I27:AM27,"SL")</f>
        <v/>
      </c>
      <c r="AZ27" s="221">
        <f>COUNTIF(I27:AM27,"np")</f>
        <v/>
      </c>
      <c r="BA27" s="221">
        <f>COUNTIF(I27:AM27,"AL*")</f>
        <v/>
      </c>
      <c r="BB27" s="221">
        <f>COUNTIF(I27:AM27,"NC*")</f>
        <v/>
      </c>
      <c r="BC27" s="77" t="n"/>
    </row>
    <row r="28" ht="29.25" customFormat="1" customHeight="1" s="240">
      <c r="B28" s="274" t="inlineStr">
        <is>
          <t>N11</t>
        </is>
      </c>
      <c r="C28" s="248" t="inlineStr">
        <is>
          <t>0004752</t>
        </is>
      </c>
      <c r="D28" s="245" t="inlineStr">
        <is>
          <t>鄧紹基</t>
        </is>
      </c>
      <c r="E28" s="242" t="inlineStr">
        <is>
          <t>SG/G</t>
        </is>
      </c>
      <c r="F28" s="288" t="n"/>
      <c r="G28" s="243" t="n"/>
      <c r="H28" s="241" t="inlineStr">
        <is>
          <t>夜</t>
        </is>
      </c>
      <c r="I28" s="300" t="n">
        <v>8</v>
      </c>
      <c r="J28" s="301" t="n">
        <v>8</v>
      </c>
      <c r="K28" s="301" t="n">
        <v>8</v>
      </c>
      <c r="L28" s="301" t="n">
        <v>8</v>
      </c>
      <c r="M28" s="122" t="inlineStr">
        <is>
          <t>RD</t>
        </is>
      </c>
      <c r="N28" s="301" t="n">
        <v>8</v>
      </c>
      <c r="O28" s="301" t="n">
        <v>8</v>
      </c>
      <c r="P28" s="301" t="n">
        <v>8</v>
      </c>
      <c r="Q28" s="301" t="n">
        <v>8</v>
      </c>
      <c r="R28" s="301" t="n">
        <v>8</v>
      </c>
      <c r="S28" s="301" t="n">
        <v>8</v>
      </c>
      <c r="T28" s="122" t="inlineStr">
        <is>
          <t>RD</t>
        </is>
      </c>
      <c r="U28" s="301" t="n">
        <v>8</v>
      </c>
      <c r="V28" s="301" t="n">
        <v>8</v>
      </c>
      <c r="W28" s="301" t="n">
        <v>8</v>
      </c>
      <c r="X28" s="301" t="n">
        <v>8</v>
      </c>
      <c r="Y28" s="301" t="n">
        <v>8</v>
      </c>
      <c r="Z28" s="122" t="inlineStr">
        <is>
          <t>RD</t>
        </is>
      </c>
      <c r="AA28" s="122" t="inlineStr">
        <is>
          <t>RD</t>
        </is>
      </c>
      <c r="AB28" s="301" t="n">
        <v>8</v>
      </c>
      <c r="AC28" s="301" t="n">
        <v>8</v>
      </c>
      <c r="AD28" s="301" t="n">
        <v>8</v>
      </c>
      <c r="AE28" s="301" t="n">
        <v>8</v>
      </c>
      <c r="AF28" s="301" t="n">
        <v>8</v>
      </c>
      <c r="AG28" s="301" t="n">
        <v>8</v>
      </c>
      <c r="AH28" s="122" t="inlineStr">
        <is>
          <t>RD</t>
        </is>
      </c>
      <c r="AI28" s="301" t="n">
        <v>8</v>
      </c>
      <c r="AJ28" s="301" t="n">
        <v>8</v>
      </c>
      <c r="AK28" s="301" t="n">
        <v>8</v>
      </c>
      <c r="AL28" s="301" t="n">
        <v>8</v>
      </c>
      <c r="AM28" s="302" t="n">
        <v>8</v>
      </c>
      <c r="AN28" s="313">
        <f>COUNT(I28:AM28)</f>
        <v/>
      </c>
      <c r="AO28" s="254">
        <f>SUM(I28:AM28)</f>
        <v/>
      </c>
      <c r="AP28" s="181">
        <f>COUNTIFS($I28:$AM28,$AP$6)</f>
        <v/>
      </c>
      <c r="AQ28" s="63">
        <f>COUNTIFS($I28:$AM28,$AQ$6)</f>
        <v/>
      </c>
      <c r="AR28" s="63">
        <f>COUNTIFS($I28:$AM28,$AR$6)</f>
        <v/>
      </c>
      <c r="AS28" s="63">
        <f>COUNTIFS($I28:$AM28,$AS$6)</f>
        <v/>
      </c>
      <c r="AT28" s="63">
        <f>COUNTIFS($I28:$AM28,$AT$6)</f>
        <v/>
      </c>
      <c r="AU28" s="63">
        <f>AU27</f>
        <v/>
      </c>
      <c r="AV28" s="221">
        <f>COUNTIF(I28:AM28,"RD")</f>
        <v/>
      </c>
      <c r="AW28" s="221">
        <f>AU28-AV28</f>
        <v/>
      </c>
      <c r="AX28" s="221">
        <f>COUNTIF(I28:AM28,"SH")</f>
        <v/>
      </c>
      <c r="AY28" s="221">
        <f>COUNTIF(I28:AM28,"SL")</f>
        <v/>
      </c>
      <c r="AZ28" s="221">
        <f>COUNTIF(I28:AM28,"np")</f>
        <v/>
      </c>
      <c r="BA28" s="221">
        <f>COUNTIF(I28:AM28,"AL*")</f>
        <v/>
      </c>
      <c r="BB28" s="221">
        <f>COUNTIF(I28:AM28,"NC*")</f>
        <v/>
      </c>
      <c r="BC28" s="77" t="n"/>
    </row>
    <row r="29" ht="29.25" customFormat="1" customHeight="1" s="90">
      <c r="B29" s="274" t="inlineStr">
        <is>
          <t>N12</t>
        </is>
      </c>
      <c r="C29" s="248" t="inlineStr">
        <is>
          <t>0004762</t>
        </is>
      </c>
      <c r="D29" s="245" t="inlineStr">
        <is>
          <t>王海蝦</t>
        </is>
      </c>
      <c r="E29" s="242" t="inlineStr">
        <is>
          <t>SG/G</t>
        </is>
      </c>
      <c r="F29" s="288" t="n"/>
      <c r="G29" s="243" t="n"/>
      <c r="H29" s="241" t="inlineStr">
        <is>
          <t>夜</t>
        </is>
      </c>
      <c r="I29" s="123" t="inlineStr">
        <is>
          <t>RD</t>
        </is>
      </c>
      <c r="J29" s="301" t="n">
        <v>8</v>
      </c>
      <c r="K29" s="301" t="n">
        <v>8</v>
      </c>
      <c r="L29" s="301" t="n">
        <v>8</v>
      </c>
      <c r="M29" s="301" t="n">
        <v>8</v>
      </c>
      <c r="N29" s="301" t="n">
        <v>8</v>
      </c>
      <c r="O29" s="301" t="n">
        <v>8</v>
      </c>
      <c r="P29" s="122" t="inlineStr">
        <is>
          <t>RD</t>
        </is>
      </c>
      <c r="Q29" s="301" t="n">
        <v>8</v>
      </c>
      <c r="R29" s="301" t="n">
        <v>8</v>
      </c>
      <c r="S29" s="301" t="n">
        <v>8</v>
      </c>
      <c r="T29" s="301" t="n">
        <v>8</v>
      </c>
      <c r="U29" s="301" t="n">
        <v>8</v>
      </c>
      <c r="V29" s="301" t="n">
        <v>8</v>
      </c>
      <c r="W29" s="122" t="inlineStr">
        <is>
          <t>RD</t>
        </is>
      </c>
      <c r="X29" s="301" t="n">
        <v>8</v>
      </c>
      <c r="Y29" s="301" t="n">
        <v>8</v>
      </c>
      <c r="Z29" s="301" t="n">
        <v>8</v>
      </c>
      <c r="AA29" s="301" t="n">
        <v>8</v>
      </c>
      <c r="AB29" s="301" t="n">
        <v>8</v>
      </c>
      <c r="AC29" s="301" t="n">
        <v>8</v>
      </c>
      <c r="AD29" s="122" t="inlineStr">
        <is>
          <t>RD</t>
        </is>
      </c>
      <c r="AE29" s="301" t="n">
        <v>8</v>
      </c>
      <c r="AF29" s="301" t="n">
        <v>8</v>
      </c>
      <c r="AG29" s="301" t="n">
        <v>8</v>
      </c>
      <c r="AH29" s="301" t="n">
        <v>8</v>
      </c>
      <c r="AI29" s="301" t="n">
        <v>8</v>
      </c>
      <c r="AJ29" s="301" t="n">
        <v>8</v>
      </c>
      <c r="AK29" s="122" t="inlineStr">
        <is>
          <t>RD</t>
        </is>
      </c>
      <c r="AL29" s="301" t="n">
        <v>8</v>
      </c>
      <c r="AM29" s="302" t="n">
        <v>8</v>
      </c>
      <c r="AN29" s="315">
        <f>COUNT(I29:AM29)</f>
        <v/>
      </c>
      <c r="AO29" s="244">
        <f>SUM(I29:AM29)</f>
        <v/>
      </c>
      <c r="AP29" s="181">
        <f>COUNTIFS($I29:$AM29,$AP$6)</f>
        <v/>
      </c>
      <c r="AQ29" s="63">
        <f>COUNTIFS($I29:$AM29,$AQ$6)</f>
        <v/>
      </c>
      <c r="AR29" s="63">
        <f>COUNTIFS($I29:$AM29,$AR$6)</f>
        <v/>
      </c>
      <c r="AS29" s="63">
        <f>COUNTIFS($I29:$AM29,$AS$6)</f>
        <v/>
      </c>
      <c r="AT29" s="63">
        <f>COUNTIFS($I29:$AM29,$AT$6)</f>
        <v/>
      </c>
      <c r="AU29" s="63">
        <f>AU28</f>
        <v/>
      </c>
      <c r="AV29" s="221">
        <f>COUNTIF(I29:AM29,"RD")</f>
        <v/>
      </c>
      <c r="AW29" s="221">
        <f>AU29-AV29</f>
        <v/>
      </c>
      <c r="AX29" s="221">
        <f>COUNTIF(I29:AM29,"SH")</f>
        <v/>
      </c>
      <c r="AY29" s="221">
        <f>COUNTIF(I29:AM29,"SL")</f>
        <v/>
      </c>
      <c r="AZ29" s="221">
        <f>COUNTIF(I29:AM29,"np")</f>
        <v/>
      </c>
      <c r="BA29" s="221">
        <f>COUNTIF(I29:AM29,"AL*")</f>
        <v/>
      </c>
      <c r="BB29" s="221">
        <f>COUNTIF(I29:AM29,"NC*")</f>
        <v/>
      </c>
      <c r="BC29" s="77" t="n"/>
    </row>
    <row r="30" ht="29.25" customFormat="1" customHeight="1" s="90">
      <c r="B30" s="274" t="inlineStr">
        <is>
          <t>N13</t>
        </is>
      </c>
      <c r="C30" s="248" t="inlineStr">
        <is>
          <t>0004741</t>
        </is>
      </c>
      <c r="D30" s="245" t="inlineStr">
        <is>
          <t>戴進娣</t>
        </is>
      </c>
      <c r="E30" s="242" t="inlineStr">
        <is>
          <t>SG/G</t>
        </is>
      </c>
      <c r="F30" s="288" t="n"/>
      <c r="G30" s="243" t="n"/>
      <c r="H30" s="241" t="inlineStr">
        <is>
          <t>夜</t>
        </is>
      </c>
      <c r="I30" s="300" t="n">
        <v>8</v>
      </c>
      <c r="J30" s="122" t="inlineStr">
        <is>
          <t>RD</t>
        </is>
      </c>
      <c r="K30" s="301" t="n">
        <v>8</v>
      </c>
      <c r="L30" s="301" t="n">
        <v>8</v>
      </c>
      <c r="M30" s="301" t="n">
        <v>8</v>
      </c>
      <c r="N30" s="301" t="n">
        <v>8</v>
      </c>
      <c r="O30" s="301" t="n">
        <v>8</v>
      </c>
      <c r="P30" s="301" t="n">
        <v>8</v>
      </c>
      <c r="Q30" s="301" t="n">
        <v>8</v>
      </c>
      <c r="R30" s="122" t="inlineStr">
        <is>
          <t>RD</t>
        </is>
      </c>
      <c r="S30" s="122" t="inlineStr">
        <is>
          <t>RD</t>
        </is>
      </c>
      <c r="T30" s="301" t="n">
        <v>8</v>
      </c>
      <c r="U30" s="301" t="n">
        <v>8</v>
      </c>
      <c r="V30" s="301" t="n">
        <v>8</v>
      </c>
      <c r="W30" s="301" t="n">
        <v>8</v>
      </c>
      <c r="X30" s="301" t="n">
        <v>8</v>
      </c>
      <c r="Y30" s="301" t="n">
        <v>8</v>
      </c>
      <c r="Z30" s="301" t="n">
        <v>8</v>
      </c>
      <c r="AA30" s="122" t="inlineStr">
        <is>
          <t>RD</t>
        </is>
      </c>
      <c r="AB30" s="301" t="n">
        <v>8</v>
      </c>
      <c r="AC30" s="301" t="n">
        <v>8</v>
      </c>
      <c r="AD30" s="301" t="n">
        <v>8</v>
      </c>
      <c r="AE30" s="301" t="n">
        <v>8</v>
      </c>
      <c r="AF30" s="301" t="n">
        <v>8</v>
      </c>
      <c r="AG30" s="301" t="n">
        <v>8</v>
      </c>
      <c r="AH30" s="122" t="inlineStr">
        <is>
          <t>RD</t>
        </is>
      </c>
      <c r="AI30" s="301" t="n">
        <v>8</v>
      </c>
      <c r="AJ30" s="301" t="n">
        <v>8</v>
      </c>
      <c r="AK30" s="301" t="n">
        <v>8</v>
      </c>
      <c r="AL30" s="301" t="n">
        <v>8</v>
      </c>
      <c r="AM30" s="302" t="n">
        <v>8</v>
      </c>
      <c r="AN30" s="315">
        <f>COUNT(I30:AM30)</f>
        <v/>
      </c>
      <c r="AO30" s="244">
        <f>SUM(I30:AM30)</f>
        <v/>
      </c>
      <c r="AP30" s="181">
        <f>COUNTIFS($I30:$AM30,$AP$6)</f>
        <v/>
      </c>
      <c r="AQ30" s="63">
        <f>COUNTIFS($I30:$AM30,$AQ$6)</f>
        <v/>
      </c>
      <c r="AR30" s="63">
        <f>COUNTIFS($I30:$AM30,$AR$6)</f>
        <v/>
      </c>
      <c r="AS30" s="63">
        <f>COUNTIFS($I30:$AM30,$AS$6)</f>
        <v/>
      </c>
      <c r="AT30" s="63">
        <f>COUNTIFS($I30:$AM30,$AT$6)</f>
        <v/>
      </c>
      <c r="AU30" s="63">
        <f>AU29</f>
        <v/>
      </c>
      <c r="AV30" s="221">
        <f>COUNTIF(I30:AM30,"RD")</f>
        <v/>
      </c>
      <c r="AW30" s="221">
        <f>AU30-AV30</f>
        <v/>
      </c>
      <c r="AX30" s="221">
        <f>COUNTIF(I30:AM30,"SH")</f>
        <v/>
      </c>
      <c r="AY30" s="221">
        <f>COUNTIF(I30:AM30,"SL")</f>
        <v/>
      </c>
      <c r="AZ30" s="221">
        <f>COUNTIF(I30:AM30,"np")</f>
        <v/>
      </c>
      <c r="BA30" s="221">
        <f>COUNTIF(I30:AM30,"AL*")</f>
        <v/>
      </c>
      <c r="BB30" s="221">
        <f>COUNTIF(I30:AM30,"NC*")</f>
        <v/>
      </c>
      <c r="BC30" s="77" t="n"/>
    </row>
    <row r="31" ht="29.25" customFormat="1" customHeight="1" s="90">
      <c r="B31" s="274" t="inlineStr">
        <is>
          <t>N14</t>
        </is>
      </c>
      <c r="C31" s="248" t="inlineStr">
        <is>
          <t>0004761</t>
        </is>
      </c>
      <c r="D31" s="245" t="inlineStr">
        <is>
          <t>吳敏基</t>
        </is>
      </c>
      <c r="E31" s="242" t="inlineStr">
        <is>
          <t>SG/G</t>
        </is>
      </c>
      <c r="F31" s="288" t="n"/>
      <c r="G31" s="243" t="n"/>
      <c r="H31" s="241" t="inlineStr">
        <is>
          <t>夜</t>
        </is>
      </c>
      <c r="I31" s="300" t="n">
        <v>8</v>
      </c>
      <c r="J31" s="301" t="n">
        <v>8</v>
      </c>
      <c r="K31" s="122" t="inlineStr">
        <is>
          <t>RD</t>
        </is>
      </c>
      <c r="L31" s="122" t="inlineStr">
        <is>
          <t>RD</t>
        </is>
      </c>
      <c r="M31" s="301" t="n">
        <v>8</v>
      </c>
      <c r="N31" s="301" t="n">
        <v>8</v>
      </c>
      <c r="O31" s="301" t="n">
        <v>8</v>
      </c>
      <c r="P31" s="301" t="n">
        <v>8</v>
      </c>
      <c r="Q31" s="301" t="n">
        <v>8</v>
      </c>
      <c r="R31" s="301" t="n">
        <v>8</v>
      </c>
      <c r="S31" s="301" t="n">
        <v>8</v>
      </c>
      <c r="T31" s="301" t="n">
        <v>8</v>
      </c>
      <c r="U31" s="122" t="inlineStr">
        <is>
          <t>RD</t>
        </is>
      </c>
      <c r="V31" s="301" t="n">
        <v>8</v>
      </c>
      <c r="W31" s="301" t="n">
        <v>8</v>
      </c>
      <c r="X31" s="301" t="n">
        <v>8</v>
      </c>
      <c r="Y31" s="301" t="n">
        <v>8</v>
      </c>
      <c r="Z31" s="301" t="n">
        <v>8</v>
      </c>
      <c r="AA31" s="122" t="inlineStr">
        <is>
          <t>RD</t>
        </is>
      </c>
      <c r="AB31" s="301" t="n">
        <v>8</v>
      </c>
      <c r="AC31" s="301" t="n">
        <v>8</v>
      </c>
      <c r="AD31" s="301" t="n">
        <v>8</v>
      </c>
      <c r="AE31" s="301" t="n">
        <v>8</v>
      </c>
      <c r="AF31" s="301" t="n">
        <v>8</v>
      </c>
      <c r="AG31" s="122" t="inlineStr">
        <is>
          <t>RD</t>
        </is>
      </c>
      <c r="AH31" s="301" t="n">
        <v>8</v>
      </c>
      <c r="AI31" s="301" t="n">
        <v>8</v>
      </c>
      <c r="AJ31" s="301" t="n">
        <v>8</v>
      </c>
      <c r="AK31" s="301" t="n">
        <v>8</v>
      </c>
      <c r="AL31" s="301" t="n">
        <v>8</v>
      </c>
      <c r="AM31" s="302" t="n">
        <v>8</v>
      </c>
      <c r="AN31" s="315">
        <f>COUNT(I31:AM31)</f>
        <v/>
      </c>
      <c r="AO31" s="244">
        <f>SUM(I31:AM31)</f>
        <v/>
      </c>
      <c r="AP31" s="181">
        <f>COUNTIFS($I31:$AM31,$AP$6)</f>
        <v/>
      </c>
      <c r="AQ31" s="63">
        <f>COUNTIFS($I31:$AM31,$AQ$6)</f>
        <v/>
      </c>
      <c r="AR31" s="63">
        <f>COUNTIFS($I31:$AM31,$AR$6)</f>
        <v/>
      </c>
      <c r="AS31" s="63">
        <f>COUNTIFS($I31:$AM31,$AS$6)</f>
        <v/>
      </c>
      <c r="AT31" s="63">
        <f>COUNTIFS($I31:$AM31,$AT$6)</f>
        <v/>
      </c>
      <c r="AU31" s="63">
        <f>AU30</f>
        <v/>
      </c>
      <c r="AV31" s="221">
        <f>COUNTIF(I31:AM31,"RD")</f>
        <v/>
      </c>
      <c r="AW31" s="221">
        <f>AU31-AV31</f>
        <v/>
      </c>
      <c r="AX31" s="221">
        <f>COUNTIF(I31:AM31,"SH")</f>
        <v/>
      </c>
      <c r="AY31" s="221">
        <f>COUNTIF(I31:AM31,"SL")</f>
        <v/>
      </c>
      <c r="AZ31" s="221">
        <f>COUNTIF(I31:AM31,"np")</f>
        <v/>
      </c>
      <c r="BA31" s="221">
        <f>COUNTIF(I31:AM31,"AL*")</f>
        <v/>
      </c>
      <c r="BB31" s="221">
        <f>COUNTIF(I31:AM31,"NC*")</f>
        <v/>
      </c>
      <c r="BC31" s="77" t="n"/>
    </row>
    <row r="32" ht="29.25" customFormat="1" customHeight="1" s="90">
      <c r="B32" s="274" t="inlineStr">
        <is>
          <t>N15</t>
        </is>
      </c>
      <c r="C32" s="248" t="inlineStr">
        <is>
          <t>0004740</t>
        </is>
      </c>
      <c r="D32" s="245" t="inlineStr">
        <is>
          <t>陳汝榮</t>
        </is>
      </c>
      <c r="E32" s="242" t="inlineStr">
        <is>
          <t>SG/G</t>
        </is>
      </c>
      <c r="F32" s="288" t="n"/>
      <c r="G32" s="243" t="n"/>
      <c r="H32" s="241" t="inlineStr">
        <is>
          <t>夜</t>
        </is>
      </c>
      <c r="I32" s="300" t="n">
        <v>8</v>
      </c>
      <c r="J32" s="122" t="inlineStr">
        <is>
          <t>RD</t>
        </is>
      </c>
      <c r="K32" s="301" t="n">
        <v>8</v>
      </c>
      <c r="L32" s="301" t="n">
        <v>8</v>
      </c>
      <c r="M32" s="301" t="n">
        <v>8</v>
      </c>
      <c r="N32" s="301" t="n">
        <v>8</v>
      </c>
      <c r="O32" s="301" t="n">
        <v>8</v>
      </c>
      <c r="P32" s="301" t="n">
        <v>8</v>
      </c>
      <c r="Q32" s="301" t="n">
        <v>8</v>
      </c>
      <c r="R32" s="122" t="inlineStr">
        <is>
          <t>RD</t>
        </is>
      </c>
      <c r="S32" s="301" t="n">
        <v>8</v>
      </c>
      <c r="T32" s="301" t="n">
        <v>8</v>
      </c>
      <c r="U32" s="301" t="n">
        <v>8</v>
      </c>
      <c r="V32" s="301" t="n">
        <v>8</v>
      </c>
      <c r="W32" s="301" t="n">
        <v>8</v>
      </c>
      <c r="X32" s="301" t="n">
        <v>8</v>
      </c>
      <c r="Y32" s="122" t="inlineStr">
        <is>
          <t>RD</t>
        </is>
      </c>
      <c r="Z32" s="122" t="inlineStr">
        <is>
          <t>RD</t>
        </is>
      </c>
      <c r="AA32" s="301" t="n">
        <v>8</v>
      </c>
      <c r="AB32" s="301" t="n">
        <v>8</v>
      </c>
      <c r="AC32" s="301" t="n">
        <v>8</v>
      </c>
      <c r="AD32" s="301" t="n">
        <v>8</v>
      </c>
      <c r="AE32" s="301" t="n">
        <v>8</v>
      </c>
      <c r="AF32" s="301" t="n">
        <v>8</v>
      </c>
      <c r="AG32" s="301" t="n">
        <v>8</v>
      </c>
      <c r="AH32" s="122" t="inlineStr">
        <is>
          <t>RD</t>
        </is>
      </c>
      <c r="AI32" s="301" t="n">
        <v>8</v>
      </c>
      <c r="AJ32" s="301" t="n">
        <v>8</v>
      </c>
      <c r="AK32" s="301" t="n">
        <v>8</v>
      </c>
      <c r="AL32" s="301" t="n">
        <v>8</v>
      </c>
      <c r="AM32" s="302" t="n">
        <v>8</v>
      </c>
      <c r="AN32" s="315">
        <f>COUNT(I32:AM32)</f>
        <v/>
      </c>
      <c r="AO32" s="244">
        <f>SUM(I32:AM32)</f>
        <v/>
      </c>
      <c r="AP32" s="181">
        <f>COUNTIFS($I32:$AM32,$AP$6)</f>
        <v/>
      </c>
      <c r="AQ32" s="63">
        <f>COUNTIFS($I32:$AM32,$AQ$6)</f>
        <v/>
      </c>
      <c r="AR32" s="63">
        <f>COUNTIFS($I32:$AM32,$AR$6)</f>
        <v/>
      </c>
      <c r="AS32" s="63">
        <f>COUNTIFS($I32:$AM32,$AS$6)</f>
        <v/>
      </c>
      <c r="AT32" s="63">
        <f>COUNTIFS($I32:$AM32,$AT$6)</f>
        <v/>
      </c>
      <c r="AU32" s="63">
        <f>AU31</f>
        <v/>
      </c>
      <c r="AV32" s="221">
        <f>COUNTIF(I32:AM32,"RD")</f>
        <v/>
      </c>
      <c r="AW32" s="221">
        <f>AU32-AV32</f>
        <v/>
      </c>
      <c r="AX32" s="221">
        <f>COUNTIF(I32:AM32,"SH")</f>
        <v/>
      </c>
      <c r="AY32" s="221">
        <f>COUNTIF(I32:AM32,"SL")</f>
        <v/>
      </c>
      <c r="AZ32" s="221">
        <f>COUNTIF(I32:AM32,"np")</f>
        <v/>
      </c>
      <c r="BA32" s="221">
        <f>COUNTIF(I32:AM32,"AL*")</f>
        <v/>
      </c>
      <c r="BB32" s="221">
        <f>COUNTIF(I32:AM32,"NC*")</f>
        <v/>
      </c>
      <c r="BC32" s="77" t="n"/>
    </row>
    <row r="33" ht="29.25" customFormat="1" customHeight="1" s="90">
      <c r="B33" s="274" t="inlineStr">
        <is>
          <t>N16</t>
        </is>
      </c>
      <c r="C33" s="248" t="inlineStr">
        <is>
          <t>0004753</t>
        </is>
      </c>
      <c r="D33" s="245" t="inlineStr">
        <is>
          <t>戴玉蓮</t>
        </is>
      </c>
      <c r="E33" s="242" t="inlineStr">
        <is>
          <t>SG/G</t>
        </is>
      </c>
      <c r="F33" s="288" t="n"/>
      <c r="G33" s="243" t="n"/>
      <c r="H33" s="241" t="inlineStr">
        <is>
          <t>夜</t>
        </is>
      </c>
      <c r="I33" s="123" t="inlineStr">
        <is>
          <t>RD</t>
        </is>
      </c>
      <c r="J33" s="301" t="n">
        <v>8</v>
      </c>
      <c r="K33" s="301" t="n">
        <v>8</v>
      </c>
      <c r="L33" s="301" t="n">
        <v>8</v>
      </c>
      <c r="M33" s="301" t="n">
        <v>8</v>
      </c>
      <c r="N33" s="122" t="inlineStr">
        <is>
          <t>RD</t>
        </is>
      </c>
      <c r="O33" s="122" t="n">
        <v>8</v>
      </c>
      <c r="P33" s="301" t="n">
        <v>8</v>
      </c>
      <c r="Q33" s="301" t="n">
        <v>8</v>
      </c>
      <c r="R33" s="301" t="n">
        <v>8</v>
      </c>
      <c r="S33" s="301" t="n">
        <v>8</v>
      </c>
      <c r="T33" s="301" t="n">
        <v>8</v>
      </c>
      <c r="U33" s="301" t="n">
        <v>8</v>
      </c>
      <c r="V33" s="301" t="n">
        <v>8</v>
      </c>
      <c r="W33" s="301" t="n">
        <v>8</v>
      </c>
      <c r="X33" s="301" t="inlineStr">
        <is>
          <t>NC</t>
        </is>
      </c>
      <c r="Y33" s="301" t="inlineStr">
        <is>
          <t>NC</t>
        </is>
      </c>
      <c r="Z33" s="301" t="inlineStr">
        <is>
          <t>NC</t>
        </is>
      </c>
      <c r="AA33" s="301" t="inlineStr">
        <is>
          <t>NC</t>
        </is>
      </c>
      <c r="AB33" s="301" t="inlineStr">
        <is>
          <t>NC</t>
        </is>
      </c>
      <c r="AC33" s="301" t="inlineStr">
        <is>
          <t>NC</t>
        </is>
      </c>
      <c r="AD33" s="301" t="inlineStr">
        <is>
          <t>NC</t>
        </is>
      </c>
      <c r="AE33" s="301" t="inlineStr">
        <is>
          <t>NC</t>
        </is>
      </c>
      <c r="AF33" s="301" t="inlineStr">
        <is>
          <t>NC</t>
        </is>
      </c>
      <c r="AG33" s="301" t="inlineStr">
        <is>
          <t>NC</t>
        </is>
      </c>
      <c r="AH33" s="301" t="inlineStr">
        <is>
          <t>NC</t>
        </is>
      </c>
      <c r="AI33" s="301" t="inlineStr">
        <is>
          <t>NC</t>
        </is>
      </c>
      <c r="AJ33" s="301" t="inlineStr">
        <is>
          <t>NC</t>
        </is>
      </c>
      <c r="AK33" s="301" t="inlineStr">
        <is>
          <t>NC</t>
        </is>
      </c>
      <c r="AL33" s="301" t="inlineStr">
        <is>
          <t>NC</t>
        </is>
      </c>
      <c r="AM33" s="302" t="inlineStr">
        <is>
          <t>NC</t>
        </is>
      </c>
      <c r="AN33" s="315">
        <f>COUNT(I33:AM33)</f>
        <v/>
      </c>
      <c r="AO33" s="244">
        <f>SUM(I33:AM33)</f>
        <v/>
      </c>
      <c r="AP33" s="181">
        <f>COUNTIFS($I33:$AM33,$AP$6)</f>
        <v/>
      </c>
      <c r="AQ33" s="63">
        <f>COUNTIFS($I33:$AM33,$AQ$6)</f>
        <v/>
      </c>
      <c r="AR33" s="63">
        <f>COUNTIFS($I33:$AM33,$AR$6)</f>
        <v/>
      </c>
      <c r="AS33" s="63">
        <f>COUNTIFS($I33:$AM33,$AS$6)</f>
        <v/>
      </c>
      <c r="AT33" s="63">
        <f>COUNTIFS($I33:$AM33,$AT$6)</f>
        <v/>
      </c>
      <c r="AU33" s="63" t="n">
        <v>2</v>
      </c>
      <c r="AV33" s="221">
        <f>COUNTIF(I33:AM33,"RD")</f>
        <v/>
      </c>
      <c r="AW33" s="221">
        <f>AU33-AV33</f>
        <v/>
      </c>
      <c r="AX33" s="221">
        <f>COUNTIF(I33:AM33,"SH")</f>
        <v/>
      </c>
      <c r="AY33" s="221">
        <f>COUNTIF(I33:AM33,"SL")</f>
        <v/>
      </c>
      <c r="AZ33" s="221">
        <f>COUNTIF(I33:AM33,"np")</f>
        <v/>
      </c>
      <c r="BA33" s="221">
        <f>COUNTIF(I33:AM33,"AL*")</f>
        <v/>
      </c>
      <c r="BB33" s="221">
        <f>COUNTIF(I33:AM33,"NC*")</f>
        <v/>
      </c>
      <c r="BC33" s="77" t="n"/>
    </row>
    <row r="34" ht="29.25" customFormat="1" customHeight="1" s="90">
      <c r="B34" s="274" t="inlineStr">
        <is>
          <t>N17</t>
        </is>
      </c>
      <c r="C34" s="248" t="inlineStr">
        <is>
          <t>0004742</t>
        </is>
      </c>
      <c r="D34" s="245" t="inlineStr">
        <is>
          <t>麥艷蘭</t>
        </is>
      </c>
      <c r="E34" s="242" t="inlineStr">
        <is>
          <t>SG/G</t>
        </is>
      </c>
      <c r="F34" s="288" t="n"/>
      <c r="G34" s="243" t="n"/>
      <c r="H34" s="241" t="inlineStr">
        <is>
          <t>夜</t>
        </is>
      </c>
      <c r="I34" s="300" t="n">
        <v>8</v>
      </c>
      <c r="J34" s="301" t="n">
        <v>8</v>
      </c>
      <c r="K34" s="301" t="n">
        <v>8</v>
      </c>
      <c r="L34" s="301" t="n">
        <v>8</v>
      </c>
      <c r="M34" s="301" t="n">
        <v>8</v>
      </c>
      <c r="N34" s="122" t="inlineStr">
        <is>
          <t>RD</t>
        </is>
      </c>
      <c r="O34" s="301" t="n">
        <v>8</v>
      </c>
      <c r="P34" s="301" t="n">
        <v>8</v>
      </c>
      <c r="Q34" s="301" t="n">
        <v>8</v>
      </c>
      <c r="R34" s="301" t="n">
        <v>8</v>
      </c>
      <c r="S34" s="301" t="n">
        <v>8</v>
      </c>
      <c r="T34" s="301" t="n">
        <v>8</v>
      </c>
      <c r="U34" s="301" t="n">
        <v>8</v>
      </c>
      <c r="V34" s="122" t="inlineStr">
        <is>
          <t>RD</t>
        </is>
      </c>
      <c r="W34" s="301" t="n">
        <v>8</v>
      </c>
      <c r="X34" s="301" t="n">
        <v>8</v>
      </c>
      <c r="Y34" s="301" t="n">
        <v>8</v>
      </c>
      <c r="Z34" s="301" t="n">
        <v>8</v>
      </c>
      <c r="AA34" s="301" t="n">
        <v>8</v>
      </c>
      <c r="AB34" s="301" t="n">
        <v>8</v>
      </c>
      <c r="AC34" s="122" t="inlineStr">
        <is>
          <t>RD</t>
        </is>
      </c>
      <c r="AD34" s="301" t="n">
        <v>8</v>
      </c>
      <c r="AE34" s="301" t="n">
        <v>8</v>
      </c>
      <c r="AF34" s="301" t="n">
        <v>8</v>
      </c>
      <c r="AG34" s="301" t="n">
        <v>8</v>
      </c>
      <c r="AH34" s="301" t="n">
        <v>8</v>
      </c>
      <c r="AI34" s="122" t="inlineStr">
        <is>
          <t>RD</t>
        </is>
      </c>
      <c r="AJ34" s="122" t="inlineStr">
        <is>
          <t>RD</t>
        </is>
      </c>
      <c r="AK34" s="301" t="n">
        <v>8</v>
      </c>
      <c r="AL34" s="301" t="n">
        <v>8</v>
      </c>
      <c r="AM34" s="302" t="n">
        <v>8</v>
      </c>
      <c r="AN34" s="315">
        <f>COUNT(I34:AM34)</f>
        <v/>
      </c>
      <c r="AO34" s="244">
        <f>SUM(I34:AM34)</f>
        <v/>
      </c>
      <c r="AP34" s="181">
        <f>COUNTIFS($I34:$AM34,$AP$6)</f>
        <v/>
      </c>
      <c r="AQ34" s="63">
        <f>COUNTIFS($I34:$AM34,$AQ$6)</f>
        <v/>
      </c>
      <c r="AR34" s="63">
        <f>COUNTIFS($I34:$AM34,$AR$6)</f>
        <v/>
      </c>
      <c r="AS34" s="63">
        <f>COUNTIFS($I34:$AM34,$AS$6)</f>
        <v/>
      </c>
      <c r="AT34" s="63">
        <f>COUNTIFS($I34:$AM34,$AT$6)</f>
        <v/>
      </c>
      <c r="AU34" s="63" t="n">
        <v>5</v>
      </c>
      <c r="AV34" s="221">
        <f>COUNTIF(I34:AM34,"RD")</f>
        <v/>
      </c>
      <c r="AW34" s="221">
        <f>AU34-AV34</f>
        <v/>
      </c>
      <c r="AX34" s="221">
        <f>COUNTIF(I34:AM34,"SH")</f>
        <v/>
      </c>
      <c r="AY34" s="221">
        <f>COUNTIF(I34:AM34,"SL")</f>
        <v/>
      </c>
      <c r="AZ34" s="221">
        <f>COUNTIF(I34:AM34,"np")</f>
        <v/>
      </c>
      <c r="BA34" s="221">
        <f>COUNTIF(I34:AM34,"AL*")</f>
        <v/>
      </c>
      <c r="BB34" s="221">
        <f>COUNTIF(I34:AM34,"NC*")</f>
        <v/>
      </c>
      <c r="BC34" s="77" t="n"/>
    </row>
    <row r="35" ht="29.25" customFormat="1" customHeight="1" s="90">
      <c r="B35" s="274" t="inlineStr">
        <is>
          <t>N18</t>
        </is>
      </c>
      <c r="C35" s="248" t="inlineStr">
        <is>
          <t>0004744</t>
        </is>
      </c>
      <c r="D35" s="245" t="inlineStr">
        <is>
          <t>屈萍</t>
        </is>
      </c>
      <c r="E35" s="242" t="inlineStr">
        <is>
          <t>SG/G</t>
        </is>
      </c>
      <c r="F35" s="288" t="n"/>
      <c r="G35" s="243" t="n"/>
      <c r="H35" s="241" t="inlineStr">
        <is>
          <t>夜</t>
        </is>
      </c>
      <c r="I35" s="300" t="n">
        <v>8</v>
      </c>
      <c r="J35" s="301" t="n">
        <v>8</v>
      </c>
      <c r="K35" s="301" t="n">
        <v>8</v>
      </c>
      <c r="L35" s="301" t="n">
        <v>8</v>
      </c>
      <c r="M35" s="301" t="n">
        <v>8</v>
      </c>
      <c r="N35" s="301" t="n">
        <v>8</v>
      </c>
      <c r="O35" s="122" t="inlineStr">
        <is>
          <t>RD</t>
        </is>
      </c>
      <c r="P35" s="301" t="n">
        <v>8</v>
      </c>
      <c r="Q35" s="301" t="n">
        <v>8</v>
      </c>
      <c r="R35" s="301" t="n">
        <v>8</v>
      </c>
      <c r="S35" s="301" t="n">
        <v>8</v>
      </c>
      <c r="T35" s="301" t="n">
        <v>8</v>
      </c>
      <c r="U35" s="301" t="n">
        <v>8</v>
      </c>
      <c r="V35" s="301" t="n">
        <v>8</v>
      </c>
      <c r="W35" s="122" t="inlineStr">
        <is>
          <t>RD</t>
        </is>
      </c>
      <c r="X35" s="122" t="inlineStr">
        <is>
          <t>RD</t>
        </is>
      </c>
      <c r="Y35" s="301" t="n">
        <v>8</v>
      </c>
      <c r="Z35" s="301" t="n">
        <v>8</v>
      </c>
      <c r="AA35" s="301" t="n">
        <v>8</v>
      </c>
      <c r="AB35" s="301" t="n">
        <v>8</v>
      </c>
      <c r="AC35" s="301" t="n">
        <v>8</v>
      </c>
      <c r="AD35" s="122" t="inlineStr">
        <is>
          <t>RD</t>
        </is>
      </c>
      <c r="AE35" s="301" t="n">
        <v>8</v>
      </c>
      <c r="AF35" s="301" t="n">
        <v>8</v>
      </c>
      <c r="AG35" s="301" t="n">
        <v>8</v>
      </c>
      <c r="AH35" s="301" t="n">
        <v>8</v>
      </c>
      <c r="AI35" s="301" t="n">
        <v>8</v>
      </c>
      <c r="AJ35" s="301" t="n">
        <v>8</v>
      </c>
      <c r="AK35" s="301" t="n">
        <v>8</v>
      </c>
      <c r="AL35" s="122" t="inlineStr">
        <is>
          <t>RD</t>
        </is>
      </c>
      <c r="AM35" s="302" t="n">
        <v>8</v>
      </c>
      <c r="AN35" s="315">
        <f>COUNT(I35:AM35)</f>
        <v/>
      </c>
      <c r="AO35" s="244">
        <f>SUM(I35:AM35)</f>
        <v/>
      </c>
      <c r="AP35" s="181">
        <f>COUNTIFS($I35:$AM35,$AP$6)</f>
        <v/>
      </c>
      <c r="AQ35" s="63">
        <f>COUNTIFS($I35:$AM35,$AQ$6)</f>
        <v/>
      </c>
      <c r="AR35" s="63">
        <f>COUNTIFS($I35:$AM35,$AR$6)</f>
        <v/>
      </c>
      <c r="AS35" s="63">
        <f>COUNTIFS($I35:$AM35,$AS$6)</f>
        <v/>
      </c>
      <c r="AT35" s="63">
        <f>COUNTIFS($I35:$AM35,$AT$6)</f>
        <v/>
      </c>
      <c r="AU35" s="63">
        <f>AU34</f>
        <v/>
      </c>
      <c r="AV35" s="221">
        <f>COUNTIF(I35:AM35,"RD")</f>
        <v/>
      </c>
      <c r="AW35" s="221">
        <f>AU35-AV35</f>
        <v/>
      </c>
      <c r="AX35" s="221">
        <f>COUNTIF(I35:AM35,"SH")</f>
        <v/>
      </c>
      <c r="AY35" s="221">
        <f>COUNTIF(I35:AM35,"SL")</f>
        <v/>
      </c>
      <c r="AZ35" s="221">
        <f>COUNTIF(I35:AM35,"np")</f>
        <v/>
      </c>
      <c r="BA35" s="221">
        <f>COUNTIF(I35:AM35,"AL*")</f>
        <v/>
      </c>
      <c r="BB35" s="221">
        <f>COUNTIF(I35:AM35,"NC*")</f>
        <v/>
      </c>
      <c r="BC35" s="77" t="n"/>
    </row>
    <row r="36" ht="29.25" customFormat="1" customHeight="1" s="90">
      <c r="B36" s="274" t="inlineStr">
        <is>
          <t>N19</t>
        </is>
      </c>
      <c r="C36" s="248" t="inlineStr">
        <is>
          <t>0004749</t>
        </is>
      </c>
      <c r="D36" s="245" t="inlineStr">
        <is>
          <t>蘇流旺</t>
        </is>
      </c>
      <c r="E36" s="242" t="inlineStr">
        <is>
          <t>SG/G</t>
        </is>
      </c>
      <c r="F36" s="288" t="n"/>
      <c r="G36" s="243" t="n"/>
      <c r="H36" s="241" t="inlineStr">
        <is>
          <t>夜</t>
        </is>
      </c>
      <c r="I36" s="300" t="n">
        <v>8</v>
      </c>
      <c r="J36" s="301" t="n">
        <v>8</v>
      </c>
      <c r="K36" s="301" t="n">
        <v>8</v>
      </c>
      <c r="L36" s="301" t="n">
        <v>8</v>
      </c>
      <c r="M36" s="122" t="inlineStr">
        <is>
          <t>RD</t>
        </is>
      </c>
      <c r="N36" s="301" t="n">
        <v>8</v>
      </c>
      <c r="O36" s="301" t="n">
        <v>8</v>
      </c>
      <c r="P36" s="301" t="n">
        <v>8</v>
      </c>
      <c r="Q36" s="301" t="n">
        <v>8</v>
      </c>
      <c r="R36" s="301" t="n">
        <v>8</v>
      </c>
      <c r="S36" s="301" t="n">
        <v>8</v>
      </c>
      <c r="T36" s="301" t="n">
        <v>8</v>
      </c>
      <c r="U36" s="301" t="n">
        <v>8</v>
      </c>
      <c r="V36" s="301" t="n">
        <v>8</v>
      </c>
      <c r="W36" s="122" t="inlineStr">
        <is>
          <t>RD</t>
        </is>
      </c>
      <c r="X36" s="301" t="n">
        <v>8</v>
      </c>
      <c r="Y36" s="301" t="n">
        <v>8</v>
      </c>
      <c r="Z36" s="301" t="n">
        <v>8</v>
      </c>
      <c r="AA36" s="301" t="n">
        <v>8</v>
      </c>
      <c r="AB36" s="301" t="n">
        <v>8</v>
      </c>
      <c r="AC36" s="301" t="n">
        <v>8</v>
      </c>
      <c r="AD36" s="301" t="n">
        <v>8</v>
      </c>
      <c r="AE36" s="301" t="n">
        <v>8</v>
      </c>
      <c r="AF36" s="122" t="inlineStr">
        <is>
          <t>RD</t>
        </is>
      </c>
      <c r="AG36" s="122" t="inlineStr">
        <is>
          <t>RD</t>
        </is>
      </c>
      <c r="AH36" s="301" t="n">
        <v>8</v>
      </c>
      <c r="AI36" s="301" t="n">
        <v>8</v>
      </c>
      <c r="AJ36" s="301" t="n">
        <v>8</v>
      </c>
      <c r="AK36" s="301" t="n">
        <v>8</v>
      </c>
      <c r="AL36" s="301" t="n">
        <v>8</v>
      </c>
      <c r="AM36" s="324" t="inlineStr">
        <is>
          <t>RD</t>
        </is>
      </c>
      <c r="AN36" s="315">
        <f>COUNT(I36:AM36)</f>
        <v/>
      </c>
      <c r="AO36" s="244">
        <f>SUM(I36:AM36)</f>
        <v/>
      </c>
      <c r="AP36" s="181">
        <f>COUNTIFS($I36:$AM36,$AP$6)</f>
        <v/>
      </c>
      <c r="AQ36" s="63">
        <f>COUNTIFS($I36:$AM36,$AQ$6)</f>
        <v/>
      </c>
      <c r="AR36" s="63">
        <f>COUNTIFS($I36:$AM36,$AR$6)</f>
        <v/>
      </c>
      <c r="AS36" s="63">
        <f>COUNTIFS($I36:$AM36,$AS$6)</f>
        <v/>
      </c>
      <c r="AT36" s="63">
        <f>COUNTIFS($I36:$AM36,$AT$6)</f>
        <v/>
      </c>
      <c r="AU36" s="63">
        <f>AU35</f>
        <v/>
      </c>
      <c r="AV36" s="221">
        <f>COUNTIF(I36:AM36,"RD")</f>
        <v/>
      </c>
      <c r="AW36" s="221">
        <f>AU36-AV36</f>
        <v/>
      </c>
      <c r="AX36" s="221">
        <f>COUNTIF(I36:AM36,"SH")</f>
        <v/>
      </c>
      <c r="AY36" s="221">
        <f>COUNTIF(I36:AM36,"SL")</f>
        <v/>
      </c>
      <c r="AZ36" s="221">
        <f>COUNTIF(I36:AM36,"np")</f>
        <v/>
      </c>
      <c r="BA36" s="221">
        <f>COUNTIF(I36:AM36,"AL*")</f>
        <v/>
      </c>
      <c r="BB36" s="221">
        <f>COUNTIF(I36:AM36,"NC*")</f>
        <v/>
      </c>
      <c r="BC36" s="77" t="n"/>
    </row>
    <row r="37" ht="29.25" customFormat="1" customHeight="1" s="90">
      <c r="B37" s="274" t="inlineStr">
        <is>
          <t>N20</t>
        </is>
      </c>
      <c r="C37" s="248" t="inlineStr">
        <is>
          <t>0004754</t>
        </is>
      </c>
      <c r="D37" s="245" t="inlineStr">
        <is>
          <t>關佩賢</t>
        </is>
      </c>
      <c r="E37" s="242" t="inlineStr">
        <is>
          <t>SG/G</t>
        </is>
      </c>
      <c r="F37" s="288" t="n"/>
      <c r="G37" s="243" t="n"/>
      <c r="H37" s="241" t="inlineStr">
        <is>
          <t>夜</t>
        </is>
      </c>
      <c r="I37" s="300" t="n">
        <v>8</v>
      </c>
      <c r="J37" s="301" t="n">
        <v>8</v>
      </c>
      <c r="K37" s="301" t="n">
        <v>8</v>
      </c>
      <c r="L37" s="301" t="n">
        <v>8</v>
      </c>
      <c r="M37" s="122" t="inlineStr">
        <is>
          <t>RD</t>
        </is>
      </c>
      <c r="N37" s="301" t="n">
        <v>8</v>
      </c>
      <c r="O37" s="301" t="n">
        <v>8</v>
      </c>
      <c r="P37" s="301" t="n">
        <v>8</v>
      </c>
      <c r="Q37" s="301" t="n">
        <v>8</v>
      </c>
      <c r="R37" s="301" t="n">
        <v>8</v>
      </c>
      <c r="S37" s="301" t="n">
        <v>8</v>
      </c>
      <c r="T37" s="301" t="n">
        <v>8</v>
      </c>
      <c r="U37" s="301" t="n">
        <v>8</v>
      </c>
      <c r="V37" s="301" t="n">
        <v>8</v>
      </c>
      <c r="W37" s="122" t="inlineStr">
        <is>
          <t>RD</t>
        </is>
      </c>
      <c r="X37" s="122" t="inlineStr">
        <is>
          <t>RD</t>
        </is>
      </c>
      <c r="Y37" s="301" t="n">
        <v>8</v>
      </c>
      <c r="Z37" s="301" t="n">
        <v>8</v>
      </c>
      <c r="AA37" s="301" t="n">
        <v>8</v>
      </c>
      <c r="AB37" s="301" t="n">
        <v>8</v>
      </c>
      <c r="AC37" s="301" t="n">
        <v>8</v>
      </c>
      <c r="AD37" s="301" t="n">
        <v>8</v>
      </c>
      <c r="AE37" s="301" t="n">
        <v>8</v>
      </c>
      <c r="AF37" s="122" t="inlineStr">
        <is>
          <t>RD</t>
        </is>
      </c>
      <c r="AG37" s="301" t="n">
        <v>8</v>
      </c>
      <c r="AH37" s="301" t="n">
        <v>8</v>
      </c>
      <c r="AI37" s="301" t="n">
        <v>8</v>
      </c>
      <c r="AJ37" s="301" t="n">
        <v>8</v>
      </c>
      <c r="AK37" s="301" t="n">
        <v>8</v>
      </c>
      <c r="AL37" s="301" t="n">
        <v>8</v>
      </c>
      <c r="AM37" s="324" t="inlineStr">
        <is>
          <t>RD</t>
        </is>
      </c>
      <c r="AN37" s="315">
        <f>COUNT(I37:AM37)</f>
        <v/>
      </c>
      <c r="AO37" s="244">
        <f>SUM(I37:AM37)</f>
        <v/>
      </c>
      <c r="AP37" s="181">
        <f>COUNTIFS($I37:$AM37,$AP$6)</f>
        <v/>
      </c>
      <c r="AQ37" s="63">
        <f>COUNTIFS($I37:$AM37,$AQ$6)</f>
        <v/>
      </c>
      <c r="AR37" s="63">
        <f>COUNTIFS($I37:$AM37,$AR$6)</f>
        <v/>
      </c>
      <c r="AS37" s="63">
        <f>COUNTIFS($I37:$AM37,$AS$6)</f>
        <v/>
      </c>
      <c r="AT37" s="63">
        <f>COUNTIFS($I37:$AM37,$AT$6)</f>
        <v/>
      </c>
      <c r="AU37" s="63">
        <f>AU36</f>
        <v/>
      </c>
      <c r="AV37" s="221">
        <f>COUNTIF(I37:AM37,"RD")</f>
        <v/>
      </c>
      <c r="AW37" s="221">
        <f>AU37-AV37</f>
        <v/>
      </c>
      <c r="AX37" s="221">
        <f>COUNTIF(I37:AM37,"SH")</f>
        <v/>
      </c>
      <c r="AY37" s="221">
        <f>COUNTIF(I37:AM37,"SL")</f>
        <v/>
      </c>
      <c r="AZ37" s="221">
        <f>COUNTIF(I37:AM37,"np")</f>
        <v/>
      </c>
      <c r="BA37" s="221">
        <f>COUNTIF(I37:AM37,"AL*")</f>
        <v/>
      </c>
      <c r="BB37" s="221">
        <f>COUNTIF(I37:AM37,"NC*")</f>
        <v/>
      </c>
      <c r="BC37" s="77" t="n"/>
    </row>
    <row r="38" ht="29.25" customFormat="1" customHeight="1" s="90">
      <c r="B38" s="274" t="inlineStr">
        <is>
          <t>N21</t>
        </is>
      </c>
      <c r="C38" s="248" t="inlineStr">
        <is>
          <t>0004743</t>
        </is>
      </c>
      <c r="D38" s="245" t="inlineStr">
        <is>
          <t>簡瑞聰</t>
        </is>
      </c>
      <c r="E38" s="242" t="inlineStr">
        <is>
          <t>SG/G</t>
        </is>
      </c>
      <c r="F38" s="288" t="n"/>
      <c r="G38" s="243" t="n"/>
      <c r="H38" s="241" t="inlineStr">
        <is>
          <t>夜</t>
        </is>
      </c>
      <c r="I38" s="300" t="n">
        <v>8</v>
      </c>
      <c r="J38" s="301" t="n">
        <v>8</v>
      </c>
      <c r="K38" s="301" t="n">
        <v>8</v>
      </c>
      <c r="L38" s="122" t="inlineStr">
        <is>
          <t>RD</t>
        </is>
      </c>
      <c r="M38" s="301" t="n">
        <v>8</v>
      </c>
      <c r="N38" s="301" t="n">
        <v>8</v>
      </c>
      <c r="O38" s="301" t="n">
        <v>8</v>
      </c>
      <c r="P38" s="301" t="n">
        <v>8</v>
      </c>
      <c r="Q38" s="301" t="n">
        <v>8</v>
      </c>
      <c r="R38" s="301" t="n">
        <v>8</v>
      </c>
      <c r="S38" s="301" t="n">
        <v>8</v>
      </c>
      <c r="T38" s="301" t="n">
        <v>8</v>
      </c>
      <c r="U38" s="301" t="n">
        <v>8</v>
      </c>
      <c r="V38" s="122" t="inlineStr">
        <is>
          <t>RD</t>
        </is>
      </c>
      <c r="W38" s="301" t="n">
        <v>8</v>
      </c>
      <c r="X38" s="301" t="n">
        <v>8</v>
      </c>
      <c r="Y38" s="301" t="n">
        <v>8</v>
      </c>
      <c r="Z38" s="301" t="n">
        <v>8</v>
      </c>
      <c r="AA38" s="301" t="n">
        <v>8</v>
      </c>
      <c r="AB38" s="301" t="n">
        <v>8</v>
      </c>
      <c r="AC38" s="301" t="n">
        <v>8</v>
      </c>
      <c r="AD38" s="301" t="n">
        <v>8</v>
      </c>
      <c r="AE38" s="122" t="inlineStr">
        <is>
          <t>RD</t>
        </is>
      </c>
      <c r="AF38" s="122" t="inlineStr">
        <is>
          <t>RD</t>
        </is>
      </c>
      <c r="AG38" s="301" t="n">
        <v>8</v>
      </c>
      <c r="AH38" s="301" t="n">
        <v>8</v>
      </c>
      <c r="AI38" s="301" t="n">
        <v>8</v>
      </c>
      <c r="AJ38" s="301" t="n">
        <v>8</v>
      </c>
      <c r="AK38" s="301" t="n">
        <v>8</v>
      </c>
      <c r="AL38" s="301" t="n">
        <v>8</v>
      </c>
      <c r="AM38" s="324" t="inlineStr">
        <is>
          <t>RD</t>
        </is>
      </c>
      <c r="AN38" s="315">
        <f>COUNT(I38:AM38)</f>
        <v/>
      </c>
      <c r="AO38" s="244">
        <f>SUM(I38:AM38)</f>
        <v/>
      </c>
      <c r="AP38" s="181">
        <f>COUNTIFS($I38:$AM38,$AP$6)</f>
        <v/>
      </c>
      <c r="AQ38" s="63">
        <f>COUNTIFS($I38:$AM38,$AQ$6)</f>
        <v/>
      </c>
      <c r="AR38" s="63">
        <f>COUNTIFS($I38:$AM38,$AR$6)</f>
        <v/>
      </c>
      <c r="AS38" s="63">
        <f>COUNTIFS($I38:$AM38,$AS$6)</f>
        <v/>
      </c>
      <c r="AT38" s="63">
        <f>COUNTIFS($I38:$AM38,$AT$6)</f>
        <v/>
      </c>
      <c r="AU38" s="63">
        <f>AU37</f>
        <v/>
      </c>
      <c r="AV38" s="221">
        <f>COUNTIF(I38:AM38,"RD")</f>
        <v/>
      </c>
      <c r="AW38" s="221">
        <f>AU38-AV38</f>
        <v/>
      </c>
      <c r="AX38" s="221">
        <f>COUNTIF(I38:AM38,"SH")</f>
        <v/>
      </c>
      <c r="AY38" s="221">
        <f>COUNTIF(I38:AM38,"SL")</f>
        <v/>
      </c>
      <c r="AZ38" s="221">
        <f>COUNTIF(I38:AM38,"np")</f>
        <v/>
      </c>
      <c r="BA38" s="221">
        <f>COUNTIF(I38:AM38,"AL*")</f>
        <v/>
      </c>
      <c r="BB38" s="221">
        <f>COUNTIF(I38:AM38,"NC*")</f>
        <v/>
      </c>
      <c r="BC38" s="77" t="n"/>
    </row>
    <row r="39" ht="29.25" customFormat="1" customHeight="1" s="90">
      <c r="B39" s="274" t="inlineStr">
        <is>
          <t>N22</t>
        </is>
      </c>
      <c r="C39" s="317" t="inlineStr">
        <is>
          <t>0004755</t>
        </is>
      </c>
      <c r="D39" s="338" t="inlineStr">
        <is>
          <t>謝國健</t>
        </is>
      </c>
      <c r="E39" s="242" t="inlineStr">
        <is>
          <t>SG/G</t>
        </is>
      </c>
      <c r="F39" s="288" t="n"/>
      <c r="G39" s="243" t="n"/>
      <c r="H39" s="241" t="inlineStr">
        <is>
          <t>夜</t>
        </is>
      </c>
      <c r="I39" s="300" t="n">
        <v>8</v>
      </c>
      <c r="J39" s="301" t="n">
        <v>8</v>
      </c>
      <c r="K39" s="122" t="inlineStr">
        <is>
          <t>RD</t>
        </is>
      </c>
      <c r="L39" s="301" t="n">
        <v>8</v>
      </c>
      <c r="M39" s="301" t="n">
        <v>8</v>
      </c>
      <c r="N39" s="301" t="n">
        <v>8</v>
      </c>
      <c r="O39" s="301" t="n">
        <v>8</v>
      </c>
      <c r="P39" s="301" t="n">
        <v>8</v>
      </c>
      <c r="Q39" s="301" t="n">
        <v>8</v>
      </c>
      <c r="R39" s="301" t="n">
        <v>8</v>
      </c>
      <c r="S39" s="301" t="n">
        <v>8</v>
      </c>
      <c r="T39" s="122" t="inlineStr">
        <is>
          <t>RD</t>
        </is>
      </c>
      <c r="U39" s="301" t="n">
        <v>8</v>
      </c>
      <c r="V39" s="301" t="n">
        <v>8</v>
      </c>
      <c r="W39" s="301" t="n">
        <v>8</v>
      </c>
      <c r="X39" s="301" t="n">
        <v>8</v>
      </c>
      <c r="Y39" s="301" t="n">
        <v>8</v>
      </c>
      <c r="Z39" s="301" t="n">
        <v>8</v>
      </c>
      <c r="AA39" s="301" t="n">
        <v>8</v>
      </c>
      <c r="AB39" s="122" t="inlineStr">
        <is>
          <t>RD</t>
        </is>
      </c>
      <c r="AC39" s="301" t="n">
        <v>8</v>
      </c>
      <c r="AD39" s="301" t="n">
        <v>8</v>
      </c>
      <c r="AE39" s="301" t="n">
        <v>8</v>
      </c>
      <c r="AF39" s="301" t="n">
        <v>8</v>
      </c>
      <c r="AG39" s="301" t="n">
        <v>8</v>
      </c>
      <c r="AH39" s="301" t="n">
        <v>8</v>
      </c>
      <c r="AI39" s="122" t="inlineStr">
        <is>
          <t>RD</t>
        </is>
      </c>
      <c r="AJ39" s="122" t="inlineStr">
        <is>
          <t>RD</t>
        </is>
      </c>
      <c r="AK39" s="301" t="n">
        <v>8</v>
      </c>
      <c r="AL39" s="301" t="n">
        <v>8</v>
      </c>
      <c r="AM39" s="302" t="n">
        <v>8</v>
      </c>
      <c r="AN39" s="315">
        <f>COUNT(I39:AM39)</f>
        <v/>
      </c>
      <c r="AO39" s="244">
        <f>SUM(I39:AM39)</f>
        <v/>
      </c>
      <c r="AP39" s="181">
        <f>COUNTIFS($I39:$AM39,$AP$6)</f>
        <v/>
      </c>
      <c r="AQ39" s="63">
        <f>COUNTIFS($I39:$AM39,$AQ$6)</f>
        <v/>
      </c>
      <c r="AR39" s="63">
        <f>COUNTIFS($I39:$AM39,$AR$6)</f>
        <v/>
      </c>
      <c r="AS39" s="63">
        <f>COUNTIFS($I39:$AM39,$AS$6)</f>
        <v/>
      </c>
      <c r="AT39" s="63">
        <f>COUNTIFS($I39:$AM39,$AT$6)</f>
        <v/>
      </c>
      <c r="AU39" s="63">
        <f>AU38</f>
        <v/>
      </c>
      <c r="AV39" s="221">
        <f>COUNTIF(I39:AM39,"RD")</f>
        <v/>
      </c>
      <c r="AW39" s="221">
        <f>AU39-AV39</f>
        <v/>
      </c>
      <c r="AX39" s="221">
        <f>COUNTIF(I39:AM39,"SH")</f>
        <v/>
      </c>
      <c r="AY39" s="221">
        <f>COUNTIF(I39:AM39,"SL")</f>
        <v/>
      </c>
      <c r="AZ39" s="221">
        <f>COUNTIF(I39:AM39,"np")</f>
        <v/>
      </c>
      <c r="BA39" s="221">
        <f>COUNTIF(I39:AM39,"AL*")</f>
        <v/>
      </c>
      <c r="BB39" s="221">
        <f>COUNTIF(I39:AM39,"NC*")</f>
        <v/>
      </c>
      <c r="BC39" s="77" t="n"/>
    </row>
    <row r="40" ht="29.25" customFormat="1" customHeight="1" s="90">
      <c r="A40" s="316" t="inlineStr">
        <is>
          <t xml:space="preserve">  </t>
        </is>
      </c>
      <c r="B40" s="274" t="inlineStr">
        <is>
          <t>N23</t>
        </is>
      </c>
      <c r="C40" s="248" t="inlineStr">
        <is>
          <t>0004751</t>
        </is>
      </c>
      <c r="D40" s="245" t="inlineStr">
        <is>
          <t>黃繼潁</t>
        </is>
      </c>
      <c r="E40" s="318" t="inlineStr">
        <is>
          <t>SG/G</t>
        </is>
      </c>
      <c r="F40" s="319" t="n"/>
      <c r="G40" s="320" t="n"/>
      <c r="H40" s="322" t="inlineStr">
        <is>
          <t>夜</t>
        </is>
      </c>
      <c r="I40" s="300" t="n">
        <v>8</v>
      </c>
      <c r="J40" s="301" t="n">
        <v>8</v>
      </c>
      <c r="K40" s="301" t="n">
        <v>8</v>
      </c>
      <c r="L40" s="301" t="n">
        <v>8</v>
      </c>
      <c r="M40" s="301" t="n">
        <v>8</v>
      </c>
      <c r="N40" s="122" t="inlineStr">
        <is>
          <t>RD</t>
        </is>
      </c>
      <c r="O40" s="122" t="inlineStr">
        <is>
          <t>RD</t>
        </is>
      </c>
      <c r="P40" s="301" t="n">
        <v>8</v>
      </c>
      <c r="Q40" s="301" t="n">
        <v>8</v>
      </c>
      <c r="R40" s="301" t="n">
        <v>8</v>
      </c>
      <c r="S40" s="301" t="n">
        <v>8</v>
      </c>
      <c r="T40" s="301" t="n">
        <v>8</v>
      </c>
      <c r="U40" s="122" t="inlineStr">
        <is>
          <t>RD</t>
        </is>
      </c>
      <c r="V40" s="301" t="n">
        <v>8</v>
      </c>
      <c r="W40" s="301" t="n">
        <v>8</v>
      </c>
      <c r="X40" s="301" t="n">
        <v>8</v>
      </c>
      <c r="Y40" s="301" t="n">
        <v>8</v>
      </c>
      <c r="Z40" s="301" t="n">
        <v>8</v>
      </c>
      <c r="AA40" s="301" t="n">
        <v>8</v>
      </c>
      <c r="AB40" s="301" t="n">
        <v>8</v>
      </c>
      <c r="AC40" s="122" t="inlineStr">
        <is>
          <t>RD</t>
        </is>
      </c>
      <c r="AD40" s="301" t="n">
        <v>8</v>
      </c>
      <c r="AE40" s="301" t="n">
        <v>8</v>
      </c>
      <c r="AF40" s="301" t="n">
        <v>8</v>
      </c>
      <c r="AG40" s="301" t="n">
        <v>8</v>
      </c>
      <c r="AH40" s="301" t="n">
        <v>8</v>
      </c>
      <c r="AI40" s="301" t="n">
        <v>8</v>
      </c>
      <c r="AJ40" s="301" t="n">
        <v>8</v>
      </c>
      <c r="AK40" s="122" t="inlineStr">
        <is>
          <t>RD</t>
        </is>
      </c>
      <c r="AL40" s="301" t="n">
        <v>8</v>
      </c>
      <c r="AM40" s="302" t="n">
        <v>8</v>
      </c>
      <c r="AN40" s="315">
        <f>COUNT(I40:AM40)</f>
        <v/>
      </c>
      <c r="AO40" s="244">
        <f>SUM(I40:AM40)</f>
        <v/>
      </c>
      <c r="AP40" s="181">
        <f>COUNTIFS($I40:$AM40,$AP$6)</f>
        <v/>
      </c>
      <c r="AQ40" s="63">
        <f>COUNTIFS($I40:$AM40,$AQ$6)</f>
        <v/>
      </c>
      <c r="AR40" s="63">
        <f>COUNTIFS($I40:$AM40,$AR$6)</f>
        <v/>
      </c>
      <c r="AS40" s="63">
        <f>COUNTIFS($I40:$AM40,$AS$6)</f>
        <v/>
      </c>
      <c r="AT40" s="63">
        <f>COUNTIFS($I40:$AM40,$AT$6)</f>
        <v/>
      </c>
      <c r="AU40" s="63">
        <f>AU39</f>
        <v/>
      </c>
      <c r="AV40" s="221">
        <f>COUNTIF(I40:AM40,"RD")</f>
        <v/>
      </c>
      <c r="AW40" s="221">
        <f>AU40-AV40</f>
        <v/>
      </c>
      <c r="AX40" s="221">
        <f>COUNTIF(I40:AM40,"SH")</f>
        <v/>
      </c>
      <c r="AY40" s="221">
        <f>COUNTIF(I40:AM40,"SL")</f>
        <v/>
      </c>
      <c r="AZ40" s="221">
        <f>COUNTIF(I40:AM40,"np")</f>
        <v/>
      </c>
      <c r="BA40" s="221">
        <f>COUNTIF(I40:AM40,"AL*")</f>
        <v/>
      </c>
      <c r="BB40" s="221">
        <f>COUNTIF(I40:AM40,"NC*")</f>
        <v/>
      </c>
      <c r="BC40" s="77" t="n"/>
    </row>
    <row r="41" ht="29.25" customFormat="1" customHeight="1" s="90">
      <c r="B41" s="274" t="inlineStr">
        <is>
          <t>N24</t>
        </is>
      </c>
      <c r="C41" s="248" t="inlineStr">
        <is>
          <t>0004760</t>
        </is>
      </c>
      <c r="D41" s="245" t="inlineStr">
        <is>
          <t>劉靜萍</t>
        </is>
      </c>
      <c r="E41" s="242" t="inlineStr">
        <is>
          <t>SG/G</t>
        </is>
      </c>
      <c r="F41" s="288" t="n"/>
      <c r="G41" s="243" t="n"/>
      <c r="H41" s="241" t="inlineStr">
        <is>
          <t>夜</t>
        </is>
      </c>
      <c r="I41" s="300" t="n">
        <v>8</v>
      </c>
      <c r="J41" s="301" t="n">
        <v>8</v>
      </c>
      <c r="K41" s="301" t="n">
        <v>8</v>
      </c>
      <c r="L41" s="301" t="n">
        <v>8</v>
      </c>
      <c r="M41" s="122" t="inlineStr">
        <is>
          <t>RD</t>
        </is>
      </c>
      <c r="N41" s="301" t="n">
        <v>8</v>
      </c>
      <c r="O41" s="301" t="n">
        <v>8</v>
      </c>
      <c r="P41" s="301" t="n">
        <v>8</v>
      </c>
      <c r="Q41" s="301" t="n">
        <v>8</v>
      </c>
      <c r="R41" s="301" t="n">
        <v>8</v>
      </c>
      <c r="S41" s="301" t="n">
        <v>8</v>
      </c>
      <c r="T41" s="301" t="n">
        <v>8</v>
      </c>
      <c r="U41" s="122" t="inlineStr">
        <is>
          <t>RD</t>
        </is>
      </c>
      <c r="V41" s="301" t="n">
        <v>8</v>
      </c>
      <c r="W41" s="301" t="n">
        <v>8</v>
      </c>
      <c r="X41" s="301" t="n">
        <v>8</v>
      </c>
      <c r="Y41" s="301" t="n">
        <v>8</v>
      </c>
      <c r="Z41" s="301" t="n">
        <v>8</v>
      </c>
      <c r="AA41" s="301" t="n">
        <v>8</v>
      </c>
      <c r="AB41" s="301" t="n">
        <v>8</v>
      </c>
      <c r="AC41" s="301" t="n">
        <v>8</v>
      </c>
      <c r="AD41" s="301" t="n">
        <v>8</v>
      </c>
      <c r="AE41" s="301" t="n">
        <v>8</v>
      </c>
      <c r="AF41" s="122" t="inlineStr">
        <is>
          <t>RD</t>
        </is>
      </c>
      <c r="AG41" s="122" t="inlineStr">
        <is>
          <t>RD</t>
        </is>
      </c>
      <c r="AH41" s="301" t="n">
        <v>8</v>
      </c>
      <c r="AI41" s="301" t="n">
        <v>8</v>
      </c>
      <c r="AJ41" s="301" t="n">
        <v>8</v>
      </c>
      <c r="AK41" s="301" t="n">
        <v>8</v>
      </c>
      <c r="AL41" s="301" t="n">
        <v>8</v>
      </c>
      <c r="AM41" s="324" t="inlineStr">
        <is>
          <t>RD</t>
        </is>
      </c>
      <c r="AN41" s="315">
        <f>COUNT(I41:AM41)</f>
        <v/>
      </c>
      <c r="AO41" s="244">
        <f>SUM(I41:AM41)</f>
        <v/>
      </c>
      <c r="AP41" s="181">
        <f>COUNTIFS($I41:$AM41,$AP$6)</f>
        <v/>
      </c>
      <c r="AQ41" s="63">
        <f>COUNTIFS($I41:$AM41,$AQ$6)</f>
        <v/>
      </c>
      <c r="AR41" s="63">
        <f>COUNTIFS($I41:$AM41,$AR$6)</f>
        <v/>
      </c>
      <c r="AS41" s="63">
        <f>COUNTIFS($I41:$AM41,$AS$6)</f>
        <v/>
      </c>
      <c r="AT41" s="63">
        <f>COUNTIFS($I41:$AM41,$AT$6)</f>
        <v/>
      </c>
      <c r="AU41" s="63">
        <f>AU40</f>
        <v/>
      </c>
      <c r="AV41" s="221">
        <f>COUNTIF(I41:AM41,"RD")</f>
        <v/>
      </c>
      <c r="AW41" s="221">
        <f>AU41-AV41</f>
        <v/>
      </c>
      <c r="AX41" s="221">
        <f>COUNTIF(I41:AM41,"SH")</f>
        <v/>
      </c>
      <c r="AY41" s="221">
        <f>COUNTIF(I41:AM41,"SL")</f>
        <v/>
      </c>
      <c r="AZ41" s="221">
        <f>COUNTIF(I41:AM41,"np")</f>
        <v/>
      </c>
      <c r="BA41" s="221">
        <f>COUNTIF(I41:AM41,"AL*")</f>
        <v/>
      </c>
      <c r="BB41" s="221">
        <f>COUNTIF(I41:AM41,"NC*")</f>
        <v/>
      </c>
      <c r="BC41" s="77" t="n"/>
    </row>
    <row r="42" ht="29.25" customFormat="1" customHeight="1" s="90">
      <c r="B42" s="274" t="inlineStr">
        <is>
          <t>N25</t>
        </is>
      </c>
      <c r="C42" s="248" t="inlineStr">
        <is>
          <t>0004764</t>
        </is>
      </c>
      <c r="D42" s="245" t="inlineStr">
        <is>
          <t>徐順成</t>
        </is>
      </c>
      <c r="E42" s="242" t="inlineStr">
        <is>
          <t>SG/G</t>
        </is>
      </c>
      <c r="F42" s="288" t="n"/>
      <c r="G42" s="243" t="n"/>
      <c r="H42" s="241" t="inlineStr">
        <is>
          <t>夜</t>
        </is>
      </c>
      <c r="I42" s="300" t="n">
        <v>8</v>
      </c>
      <c r="J42" s="301" t="n">
        <v>8</v>
      </c>
      <c r="K42" s="301" t="n">
        <v>8</v>
      </c>
      <c r="L42" s="122" t="inlineStr">
        <is>
          <t>RD</t>
        </is>
      </c>
      <c r="M42" s="301" t="n">
        <v>8</v>
      </c>
      <c r="N42" s="301" t="n">
        <v>8</v>
      </c>
      <c r="O42" s="301" t="n">
        <v>8</v>
      </c>
      <c r="P42" s="301" t="n">
        <v>8</v>
      </c>
      <c r="Q42" s="301" t="n">
        <v>8</v>
      </c>
      <c r="R42" s="301" t="n">
        <v>8</v>
      </c>
      <c r="S42" s="301" t="n">
        <v>8</v>
      </c>
      <c r="T42" s="301" t="n">
        <v>8</v>
      </c>
      <c r="U42" s="122" t="inlineStr">
        <is>
          <t>RD</t>
        </is>
      </c>
      <c r="V42" s="301" t="n">
        <v>8</v>
      </c>
      <c r="W42" s="301" t="n">
        <v>8</v>
      </c>
      <c r="X42" s="301" t="n">
        <v>8</v>
      </c>
      <c r="Y42" s="122" t="inlineStr">
        <is>
          <t>RD</t>
        </is>
      </c>
      <c r="Z42" s="301" t="n">
        <v>8</v>
      </c>
      <c r="AA42" s="301" t="n">
        <v>8</v>
      </c>
      <c r="AB42" s="301" t="n">
        <v>8</v>
      </c>
      <c r="AC42" s="301" t="n">
        <v>8</v>
      </c>
      <c r="AD42" s="301" t="n">
        <v>8</v>
      </c>
      <c r="AE42" s="122" t="inlineStr">
        <is>
          <t>RD</t>
        </is>
      </c>
      <c r="AF42" s="301" t="n">
        <v>8</v>
      </c>
      <c r="AG42" s="301" t="n">
        <v>8</v>
      </c>
      <c r="AH42" s="301" t="n">
        <v>8</v>
      </c>
      <c r="AI42" s="301" t="n">
        <v>8</v>
      </c>
      <c r="AJ42" s="301" t="n">
        <v>8</v>
      </c>
      <c r="AK42" s="301" t="n">
        <v>8</v>
      </c>
      <c r="AL42" s="301" t="n">
        <v>8</v>
      </c>
      <c r="AM42" s="324" t="inlineStr">
        <is>
          <t>RD</t>
        </is>
      </c>
      <c r="AN42" s="315">
        <f>COUNT(I42:AM42)</f>
        <v/>
      </c>
      <c r="AO42" s="244">
        <f>SUM(I42:AM42)</f>
        <v/>
      </c>
      <c r="AP42" s="181">
        <f>COUNTIFS($I42:$AM42,$AP$6)</f>
        <v/>
      </c>
      <c r="AQ42" s="63">
        <f>COUNTIFS($I42:$AM42,$AQ$6)</f>
        <v/>
      </c>
      <c r="AR42" s="63">
        <f>COUNTIFS($I42:$AM42,$AR$6)</f>
        <v/>
      </c>
      <c r="AS42" s="63">
        <f>COUNTIFS($I42:$AM42,$AS$6)</f>
        <v/>
      </c>
      <c r="AT42" s="63">
        <f>COUNTIFS($I42:$AM42,$AT$6)</f>
        <v/>
      </c>
      <c r="AU42" s="63">
        <f>AU41</f>
        <v/>
      </c>
      <c r="AV42" s="221">
        <f>COUNTIF(I42:AM42,"RD")</f>
        <v/>
      </c>
      <c r="AW42" s="221">
        <f>AU42-AV42</f>
        <v/>
      </c>
      <c r="AX42" s="221">
        <f>COUNTIF(I42:AM42,"SH")</f>
        <v/>
      </c>
      <c r="AY42" s="221">
        <f>COUNTIF(I42:AM42,"SL")</f>
        <v/>
      </c>
      <c r="AZ42" s="221">
        <f>COUNTIF(I42:AM42,"np")</f>
        <v/>
      </c>
      <c r="BA42" s="221">
        <f>COUNTIF(I42:AM42,"AL*")</f>
        <v/>
      </c>
      <c r="BB42" s="221">
        <f>COUNTIF(I42:AM42,"NC*")</f>
        <v/>
      </c>
      <c r="BC42" s="77" t="n"/>
    </row>
    <row r="43" ht="29.25" customFormat="1" customHeight="1" s="90">
      <c r="B43" s="274" t="inlineStr">
        <is>
          <t>N26</t>
        </is>
      </c>
      <c r="C43" s="248" t="inlineStr">
        <is>
          <t>0004758</t>
        </is>
      </c>
      <c r="D43" s="245" t="inlineStr">
        <is>
          <t>徐帆好</t>
        </is>
      </c>
      <c r="E43" s="242" t="inlineStr">
        <is>
          <t>SG/G</t>
        </is>
      </c>
      <c r="F43" s="288" t="n"/>
      <c r="G43" s="243" t="n"/>
      <c r="H43" s="241" t="inlineStr">
        <is>
          <t>夜</t>
        </is>
      </c>
      <c r="I43" s="123" t="inlineStr">
        <is>
          <t>RD</t>
        </is>
      </c>
      <c r="J43" s="301" t="n">
        <v>8</v>
      </c>
      <c r="K43" s="301" t="n">
        <v>8</v>
      </c>
      <c r="L43" s="301" t="n">
        <v>8</v>
      </c>
      <c r="M43" s="301" t="n">
        <v>8</v>
      </c>
      <c r="N43" s="301" t="n">
        <v>8</v>
      </c>
      <c r="O43" s="301" t="n">
        <v>8</v>
      </c>
      <c r="P43" s="301" t="n">
        <v>8</v>
      </c>
      <c r="Q43" s="301" t="n">
        <v>8</v>
      </c>
      <c r="R43" s="122" t="inlineStr">
        <is>
          <t>RD</t>
        </is>
      </c>
      <c r="S43" s="122" t="inlineStr">
        <is>
          <t>RD</t>
        </is>
      </c>
      <c r="T43" s="301" t="n">
        <v>8</v>
      </c>
      <c r="U43" s="301" t="n">
        <v>8</v>
      </c>
      <c r="V43" s="301" t="n">
        <v>8</v>
      </c>
      <c r="W43" s="301" t="n">
        <v>8</v>
      </c>
      <c r="X43" s="301" t="n">
        <v>8</v>
      </c>
      <c r="Y43" s="301" t="n">
        <v>8</v>
      </c>
      <c r="Z43" s="301" t="n">
        <v>8</v>
      </c>
      <c r="AA43" s="301" t="n">
        <v>8</v>
      </c>
      <c r="AB43" s="301" t="n">
        <v>8</v>
      </c>
      <c r="AC43" s="122" t="inlineStr">
        <is>
          <t>RD</t>
        </is>
      </c>
      <c r="AD43" s="301" t="n">
        <v>8</v>
      </c>
      <c r="AE43" s="301" t="n">
        <v>8</v>
      </c>
      <c r="AF43" s="301" t="n">
        <v>8</v>
      </c>
      <c r="AG43" s="301" t="n">
        <v>8</v>
      </c>
      <c r="AH43" s="301" t="n">
        <v>8</v>
      </c>
      <c r="AI43" s="301" t="n">
        <v>8</v>
      </c>
      <c r="AJ43" s="301" t="n">
        <v>8</v>
      </c>
      <c r="AK43" s="122" t="inlineStr">
        <is>
          <t>RD</t>
        </is>
      </c>
      <c r="AL43" s="301" t="n">
        <v>8</v>
      </c>
      <c r="AM43" s="302" t="n">
        <v>8</v>
      </c>
      <c r="AN43" s="315">
        <f>COUNT(I43:AM43)</f>
        <v/>
      </c>
      <c r="AO43" s="244">
        <f>SUM(I43:AM43)</f>
        <v/>
      </c>
      <c r="AP43" s="181">
        <f>COUNTIFS($I43:$AM43,$AP$6)</f>
        <v/>
      </c>
      <c r="AQ43" s="63">
        <f>COUNTIFS($I43:$AM43,$AQ$6)</f>
        <v/>
      </c>
      <c r="AR43" s="63">
        <f>COUNTIFS($I43:$AM43,$AR$6)</f>
        <v/>
      </c>
      <c r="AS43" s="63">
        <f>COUNTIFS($I43:$AM43,$AS$6)</f>
        <v/>
      </c>
      <c r="AT43" s="63">
        <f>COUNTIFS($I43:$AM43,$AT$6)</f>
        <v/>
      </c>
      <c r="AU43" s="63">
        <f>AU42</f>
        <v/>
      </c>
      <c r="AV43" s="221">
        <f>COUNTIF(I43:AM43,"RD")</f>
        <v/>
      </c>
      <c r="AW43" s="221">
        <f>AU43-AV43</f>
        <v/>
      </c>
      <c r="AX43" s="221">
        <f>COUNTIF(I43:AM43,"SH")</f>
        <v/>
      </c>
      <c r="AY43" s="221">
        <f>COUNTIF(I43:AM43,"SL")</f>
        <v/>
      </c>
      <c r="AZ43" s="221">
        <f>COUNTIF(I43:AM43,"np")</f>
        <v/>
      </c>
      <c r="BA43" s="221">
        <f>COUNTIF(I43:AM43,"AL*")</f>
        <v/>
      </c>
      <c r="BB43" s="221">
        <f>COUNTIF(I43:AM43,"NC*")</f>
        <v/>
      </c>
      <c r="BC43" s="77" t="n"/>
    </row>
    <row r="44" ht="29.25" customFormat="1" customHeight="1" s="90">
      <c r="B44" s="274" t="inlineStr">
        <is>
          <t>N27</t>
        </is>
      </c>
      <c r="C44" s="248" t="inlineStr">
        <is>
          <t>0004851</t>
        </is>
      </c>
      <c r="D44" s="245" t="inlineStr">
        <is>
          <t>彭秀芳</t>
        </is>
      </c>
      <c r="E44" s="242" t="inlineStr">
        <is>
          <t>SG/G</t>
        </is>
      </c>
      <c r="F44" s="288" t="n"/>
      <c r="G44" s="243" t="n"/>
      <c r="H44" s="241" t="inlineStr">
        <is>
          <t>夜</t>
        </is>
      </c>
      <c r="I44" s="300" t="n">
        <v>8</v>
      </c>
      <c r="J44" s="301" t="n">
        <v>8</v>
      </c>
      <c r="K44" s="301" t="n">
        <v>8</v>
      </c>
      <c r="L44" s="301" t="n">
        <v>8</v>
      </c>
      <c r="M44" s="301" t="n">
        <v>8</v>
      </c>
      <c r="N44" s="122" t="inlineStr">
        <is>
          <t>RD</t>
        </is>
      </c>
      <c r="O44" s="122" t="inlineStr">
        <is>
          <t>RD</t>
        </is>
      </c>
      <c r="P44" s="122" t="inlineStr">
        <is>
          <t>RD</t>
        </is>
      </c>
      <c r="Q44" s="122" t="inlineStr">
        <is>
          <t>RD</t>
        </is>
      </c>
      <c r="R44" s="301" t="n">
        <v>8</v>
      </c>
      <c r="S44" s="301" t="n">
        <v>8</v>
      </c>
      <c r="T44" s="301" t="n">
        <v>8</v>
      </c>
      <c r="U44" s="301" t="n">
        <v>8</v>
      </c>
      <c r="V44" s="301" t="n">
        <v>8</v>
      </c>
      <c r="W44" s="301" t="n">
        <v>8</v>
      </c>
      <c r="X44" s="301" t="n">
        <v>8</v>
      </c>
      <c r="Y44" s="301" t="n">
        <v>8</v>
      </c>
      <c r="Z44" s="301" t="n">
        <v>8</v>
      </c>
      <c r="AA44" s="301" t="n">
        <v>8</v>
      </c>
      <c r="AB44" s="301" t="n">
        <v>8</v>
      </c>
      <c r="AC44" s="122" t="inlineStr">
        <is>
          <t>RD</t>
        </is>
      </c>
      <c r="AD44" s="301" t="n">
        <v>8</v>
      </c>
      <c r="AE44" s="301" t="n">
        <v>8</v>
      </c>
      <c r="AF44" s="301" t="n">
        <v>8</v>
      </c>
      <c r="AG44" s="301" t="n">
        <v>8</v>
      </c>
      <c r="AH44" s="301" t="n">
        <v>8</v>
      </c>
      <c r="AI44" s="301" t="n">
        <v>8</v>
      </c>
      <c r="AJ44" s="301" t="n">
        <v>8</v>
      </c>
      <c r="AK44" s="301" t="n">
        <v>8</v>
      </c>
      <c r="AL44" s="301" t="n">
        <v>8</v>
      </c>
      <c r="AM44" s="302" t="n">
        <v>8</v>
      </c>
      <c r="AN44" s="315">
        <f>COUNT(I44:AM44)</f>
        <v/>
      </c>
      <c r="AO44" s="244">
        <f>SUM(I44:AM44)</f>
        <v/>
      </c>
      <c r="AP44" s="181">
        <f>COUNTIFS($I44:$AM44,$AP$6)</f>
        <v/>
      </c>
      <c r="AQ44" s="63">
        <f>COUNTIFS($I44:$AM44,$AQ$6)</f>
        <v/>
      </c>
      <c r="AR44" s="63">
        <f>COUNTIFS($I44:$AM44,$AR$6)</f>
        <v/>
      </c>
      <c r="AS44" s="63">
        <f>COUNTIFS($I44:$AM44,$AS$6)</f>
        <v/>
      </c>
      <c r="AT44" s="63">
        <f>COUNTIFS($I44:$AM44,$AT$6)</f>
        <v/>
      </c>
      <c r="AU44" s="63">
        <f>AU43</f>
        <v/>
      </c>
      <c r="AV44" s="221">
        <f>COUNTIF(I44:AM44,"RD")</f>
        <v/>
      </c>
      <c r="AW44" s="221">
        <f>AU44-AV44</f>
        <v/>
      </c>
      <c r="AX44" s="221">
        <f>COUNTIF(I44:AM44,"SH")</f>
        <v/>
      </c>
      <c r="AY44" s="221">
        <f>COUNTIF(I44:AM44,"SL")</f>
        <v/>
      </c>
      <c r="AZ44" s="221">
        <f>COUNTIF(I44:AM44,"np")</f>
        <v/>
      </c>
      <c r="BA44" s="221">
        <f>COUNTIF(I44:AM44,"AL*")</f>
        <v/>
      </c>
      <c r="BB44" s="221">
        <f>COUNTIF(I44:AM44,"NC*")</f>
        <v/>
      </c>
      <c r="BC44" s="77" t="n"/>
    </row>
    <row r="45" ht="29.25" customFormat="1" customHeight="1" s="90">
      <c r="A45" s="316" t="inlineStr">
        <is>
          <t xml:space="preserve">  </t>
        </is>
      </c>
      <c r="B45" s="274" t="inlineStr">
        <is>
          <t>N28</t>
        </is>
      </c>
      <c r="C45" s="248" t="inlineStr">
        <is>
          <t>0004618</t>
        </is>
      </c>
      <c r="D45" s="245" t="inlineStr">
        <is>
          <t>麥麗嬋</t>
        </is>
      </c>
      <c r="E45" s="242" t="inlineStr">
        <is>
          <t>SG/G</t>
        </is>
      </c>
      <c r="F45" s="288" t="n"/>
      <c r="G45" s="243" t="n"/>
      <c r="H45" s="241" t="inlineStr">
        <is>
          <t>夜</t>
        </is>
      </c>
      <c r="I45" s="300" t="n">
        <v>8</v>
      </c>
      <c r="J45" s="301" t="n">
        <v>8</v>
      </c>
      <c r="K45" s="301" t="n">
        <v>8</v>
      </c>
      <c r="L45" s="301" t="n">
        <v>8</v>
      </c>
      <c r="M45" s="301" t="n">
        <v>8</v>
      </c>
      <c r="N45" s="122" t="inlineStr">
        <is>
          <t>RD</t>
        </is>
      </c>
      <c r="O45" s="301" t="n">
        <v>8</v>
      </c>
      <c r="P45" s="301" t="n">
        <v>8</v>
      </c>
      <c r="Q45" s="301" t="n">
        <v>8</v>
      </c>
      <c r="R45" s="301" t="n">
        <v>8</v>
      </c>
      <c r="S45" s="301" t="n">
        <v>8</v>
      </c>
      <c r="T45" s="301" t="n">
        <v>8</v>
      </c>
      <c r="U45" s="122" t="inlineStr">
        <is>
          <t>RD</t>
        </is>
      </c>
      <c r="V45" s="122" t="inlineStr">
        <is>
          <t>RD</t>
        </is>
      </c>
      <c r="W45" s="301" t="n">
        <v>8</v>
      </c>
      <c r="X45" s="301" t="n">
        <v>8</v>
      </c>
      <c r="Y45" s="301" t="n">
        <v>8</v>
      </c>
      <c r="Z45" s="301" t="n">
        <v>8</v>
      </c>
      <c r="AA45" s="301" t="n">
        <v>8</v>
      </c>
      <c r="AB45" s="301" t="n">
        <v>8</v>
      </c>
      <c r="AC45" s="301" t="n">
        <v>8</v>
      </c>
      <c r="AD45" s="122" t="inlineStr">
        <is>
          <t>RD</t>
        </is>
      </c>
      <c r="AE45" s="301" t="n">
        <v>8</v>
      </c>
      <c r="AF45" s="301" t="n">
        <v>8</v>
      </c>
      <c r="AG45" s="301" t="n">
        <v>8</v>
      </c>
      <c r="AH45" s="301" t="n">
        <v>8</v>
      </c>
      <c r="AI45" s="301" t="n">
        <v>8</v>
      </c>
      <c r="AJ45" s="301" t="n">
        <v>8</v>
      </c>
      <c r="AK45" s="301" t="n">
        <v>8</v>
      </c>
      <c r="AL45" s="122" t="inlineStr">
        <is>
          <t>RD</t>
        </is>
      </c>
      <c r="AM45" s="302" t="n">
        <v>8</v>
      </c>
      <c r="AN45" s="315">
        <f>COUNT(I45:AM45)</f>
        <v/>
      </c>
      <c r="AO45" s="244">
        <f>SUM(I45:AM45)</f>
        <v/>
      </c>
      <c r="AP45" s="181">
        <f>COUNTIFS($I45:$AM45,$AP$6)</f>
        <v/>
      </c>
      <c r="AQ45" s="63">
        <f>COUNTIFS($I45:$AM45,$AQ$6)</f>
        <v/>
      </c>
      <c r="AR45" s="63">
        <f>COUNTIFS($I45:$AM45,$AR$6)</f>
        <v/>
      </c>
      <c r="AS45" s="63">
        <f>COUNTIFS($I45:$AM45,$AS$6)</f>
        <v/>
      </c>
      <c r="AT45" s="63">
        <f>COUNTIFS($I45:$AM45,$AT$6)</f>
        <v/>
      </c>
      <c r="AU45" s="63">
        <f>AU44</f>
        <v/>
      </c>
      <c r="AV45" s="221">
        <f>COUNTIF(I45:AM45,"RD")</f>
        <v/>
      </c>
      <c r="AW45" s="221">
        <f>AU45-AV45</f>
        <v/>
      </c>
      <c r="AX45" s="221">
        <f>COUNTIF(I45:AM45,"SH")</f>
        <v/>
      </c>
      <c r="AY45" s="221">
        <f>COUNTIF(I45:AM45,"SL")</f>
        <v/>
      </c>
      <c r="AZ45" s="221">
        <f>COUNTIF(I45:AM45,"np")</f>
        <v/>
      </c>
      <c r="BA45" s="221">
        <f>COUNTIF(I45:AM45,"AL*")</f>
        <v/>
      </c>
      <c r="BB45" s="221">
        <f>COUNTIF(I45:AM45,"NC*")</f>
        <v/>
      </c>
      <c r="BC45" s="77" t="n"/>
    </row>
    <row r="46" ht="29.25" customFormat="1" customHeight="1" s="90">
      <c r="A46" s="316" t="inlineStr">
        <is>
          <t xml:space="preserve">  </t>
        </is>
      </c>
      <c r="B46" s="274" t="inlineStr">
        <is>
          <t>N29</t>
        </is>
      </c>
      <c r="C46" s="248" t="inlineStr">
        <is>
          <t>0005016</t>
        </is>
      </c>
      <c r="D46" s="245" t="inlineStr">
        <is>
          <t>蔡鳳英</t>
        </is>
      </c>
      <c r="E46" s="242" t="inlineStr">
        <is>
          <t>SG/G</t>
        </is>
      </c>
      <c r="F46" s="288" t="n"/>
      <c r="G46" s="243" t="n"/>
      <c r="H46" s="241" t="inlineStr">
        <is>
          <t>夜</t>
        </is>
      </c>
      <c r="I46" s="300" t="n">
        <v>8</v>
      </c>
      <c r="J46" s="301" t="n">
        <v>8</v>
      </c>
      <c r="K46" s="301" t="n">
        <v>8</v>
      </c>
      <c r="L46" s="122" t="inlineStr">
        <is>
          <t>RD</t>
        </is>
      </c>
      <c r="M46" s="301" t="n">
        <v>8</v>
      </c>
      <c r="N46" s="301" t="n">
        <v>8</v>
      </c>
      <c r="O46" s="301" t="n">
        <v>8</v>
      </c>
      <c r="P46" s="301" t="n">
        <v>8</v>
      </c>
      <c r="Q46" s="301" t="n">
        <v>8</v>
      </c>
      <c r="R46" s="301" t="n">
        <v>8</v>
      </c>
      <c r="S46" s="122" t="inlineStr">
        <is>
          <t>RD</t>
        </is>
      </c>
      <c r="T46" s="122" t="inlineStr">
        <is>
          <t>RD</t>
        </is>
      </c>
      <c r="U46" s="301" t="n">
        <v>8</v>
      </c>
      <c r="V46" s="301" t="n">
        <v>8</v>
      </c>
      <c r="W46" s="301" t="n">
        <v>8</v>
      </c>
      <c r="X46" s="301" t="n">
        <v>8</v>
      </c>
      <c r="Y46" s="301" t="n">
        <v>8</v>
      </c>
      <c r="Z46" s="301" t="n">
        <v>8</v>
      </c>
      <c r="AA46" s="301" t="n">
        <v>8</v>
      </c>
      <c r="AB46" s="122" t="inlineStr">
        <is>
          <t>RD</t>
        </is>
      </c>
      <c r="AC46" s="301" t="n">
        <v>8</v>
      </c>
      <c r="AD46" s="301" t="n">
        <v>8</v>
      </c>
      <c r="AE46" s="301" t="n">
        <v>8</v>
      </c>
      <c r="AF46" s="301" t="n">
        <v>8</v>
      </c>
      <c r="AG46" s="301" t="n">
        <v>8</v>
      </c>
      <c r="AH46" s="301" t="n">
        <v>8</v>
      </c>
      <c r="AI46" s="301" t="n">
        <v>8</v>
      </c>
      <c r="AJ46" s="122" t="inlineStr">
        <is>
          <t>RD</t>
        </is>
      </c>
      <c r="AK46" s="301" t="n">
        <v>8</v>
      </c>
      <c r="AL46" s="301" t="n">
        <v>8</v>
      </c>
      <c r="AM46" s="302" t="n">
        <v>8</v>
      </c>
      <c r="AN46" s="315">
        <f>COUNT(I46:AM46)</f>
        <v/>
      </c>
      <c r="AO46" s="244">
        <f>SUM(I46:AM46)</f>
        <v/>
      </c>
      <c r="AP46" s="181">
        <f>COUNTIFS($I46:$AM46,$AP$6)</f>
        <v/>
      </c>
      <c r="AQ46" s="63">
        <f>COUNTIFS($I46:$AM46,$AQ$6)</f>
        <v/>
      </c>
      <c r="AR46" s="63">
        <f>COUNTIFS($I46:$AM46,$AR$6)</f>
        <v/>
      </c>
      <c r="AS46" s="63">
        <f>COUNTIFS($I46:$AM46,$AS$6)</f>
        <v/>
      </c>
      <c r="AT46" s="63">
        <f>COUNTIFS($I46:$AM46,$AT$6)</f>
        <v/>
      </c>
      <c r="AU46" s="63">
        <f>AU45</f>
        <v/>
      </c>
      <c r="AV46" s="221">
        <f>COUNTIF(I46:AM46,"RD")</f>
        <v/>
      </c>
      <c r="AW46" s="221">
        <f>AU46-AV46</f>
        <v/>
      </c>
      <c r="AX46" s="221">
        <f>COUNTIF(I46:AM46,"SH")</f>
        <v/>
      </c>
      <c r="AY46" s="221">
        <f>COUNTIF(I46:AM46,"SL")</f>
        <v/>
      </c>
      <c r="AZ46" s="221">
        <f>COUNTIF(I46:AM46,"np")</f>
        <v/>
      </c>
      <c r="BA46" s="221">
        <f>COUNTIF(I46:AM46,"AL*")</f>
        <v/>
      </c>
      <c r="BB46" s="221">
        <f>COUNTIF(I46:AM46,"NC*")</f>
        <v/>
      </c>
      <c r="BC46" s="77" t="n"/>
    </row>
    <row r="47" ht="29.25" customFormat="1" customHeight="1" s="90">
      <c r="B47" s="274" t="inlineStr">
        <is>
          <t>N30</t>
        </is>
      </c>
      <c r="C47" s="248" t="inlineStr">
        <is>
          <t>0005035</t>
        </is>
      </c>
      <c r="D47" s="245" t="inlineStr">
        <is>
          <t>吳杏安娜</t>
        </is>
      </c>
      <c r="E47" s="242" t="inlineStr">
        <is>
          <t>SG/G</t>
        </is>
      </c>
      <c r="F47" s="288" t="n"/>
      <c r="G47" s="243" t="n"/>
      <c r="H47" s="241" t="inlineStr">
        <is>
          <t>夜</t>
        </is>
      </c>
      <c r="I47" s="300" t="n">
        <v>8</v>
      </c>
      <c r="J47" s="122" t="inlineStr">
        <is>
          <t>RD</t>
        </is>
      </c>
      <c r="K47" s="122" t="inlineStr">
        <is>
          <t>RD</t>
        </is>
      </c>
      <c r="L47" s="301" t="n">
        <v>8</v>
      </c>
      <c r="M47" s="301" t="n">
        <v>8</v>
      </c>
      <c r="N47" s="301" t="n">
        <v>8</v>
      </c>
      <c r="O47" s="301" t="n">
        <v>8</v>
      </c>
      <c r="P47" s="301" t="n">
        <v>8</v>
      </c>
      <c r="Q47" s="301" t="n">
        <v>8</v>
      </c>
      <c r="R47" s="301" t="n">
        <v>8</v>
      </c>
      <c r="S47" s="301" t="n">
        <v>8</v>
      </c>
      <c r="T47" s="122" t="inlineStr">
        <is>
          <t>RD</t>
        </is>
      </c>
      <c r="U47" s="301" t="n">
        <v>8</v>
      </c>
      <c r="V47" s="301" t="n">
        <v>8</v>
      </c>
      <c r="W47" s="301" t="n">
        <v>8</v>
      </c>
      <c r="X47" s="301" t="n">
        <v>8</v>
      </c>
      <c r="Y47" s="301" t="n">
        <v>8</v>
      </c>
      <c r="Z47" s="301" t="n">
        <v>8</v>
      </c>
      <c r="AA47" s="301" t="n">
        <v>8</v>
      </c>
      <c r="AB47" s="301" t="n">
        <v>8</v>
      </c>
      <c r="AC47" s="122" t="inlineStr">
        <is>
          <t>RD</t>
        </is>
      </c>
      <c r="AD47" s="301" t="n">
        <v>8</v>
      </c>
      <c r="AE47" s="301" t="n">
        <v>8</v>
      </c>
      <c r="AF47" s="301" t="n">
        <v>8</v>
      </c>
      <c r="AG47" s="301" t="n">
        <v>8</v>
      </c>
      <c r="AH47" s="301" t="n">
        <v>8</v>
      </c>
      <c r="AI47" s="301" t="n">
        <v>8</v>
      </c>
      <c r="AJ47" s="301" t="n">
        <v>8</v>
      </c>
      <c r="AK47" s="122" t="inlineStr">
        <is>
          <t>RD</t>
        </is>
      </c>
      <c r="AL47" s="301" t="n">
        <v>8</v>
      </c>
      <c r="AM47" s="302" t="n">
        <v>8</v>
      </c>
      <c r="AN47" s="315">
        <f>COUNT(I47:AM47)</f>
        <v/>
      </c>
      <c r="AO47" s="244">
        <f>SUM(I47:AM47)</f>
        <v/>
      </c>
      <c r="AP47" s="181">
        <f>COUNTIFS($I47:$AM47,$AP$6)</f>
        <v/>
      </c>
      <c r="AQ47" s="63">
        <f>COUNTIFS($I47:$AM47,$AQ$6)</f>
        <v/>
      </c>
      <c r="AR47" s="63">
        <f>COUNTIFS($I47:$AM47,$AR$6)</f>
        <v/>
      </c>
      <c r="AS47" s="63">
        <f>COUNTIFS($I47:$AM47,$AS$6)</f>
        <v/>
      </c>
      <c r="AT47" s="63">
        <f>COUNTIFS($I47:$AM47,$AT$6)</f>
        <v/>
      </c>
      <c r="AU47" s="63">
        <f>AU46</f>
        <v/>
      </c>
      <c r="AV47" s="221">
        <f>COUNTIF(I47:AM47,"RD")</f>
        <v/>
      </c>
      <c r="AW47" s="221">
        <f>AU47-AV47</f>
        <v/>
      </c>
      <c r="AX47" s="221">
        <f>COUNTIF(I47:AM47,"SH")</f>
        <v/>
      </c>
      <c r="AY47" s="221">
        <f>COUNTIF(I47:AM47,"SL")</f>
        <v/>
      </c>
      <c r="AZ47" s="221">
        <f>COUNTIF(I47:AM47,"np")</f>
        <v/>
      </c>
      <c r="BA47" s="221">
        <f>COUNTIF(I47:AM47,"AL*")</f>
        <v/>
      </c>
      <c r="BB47" s="221">
        <f>COUNTIF(I47:AM47,"NC*")</f>
        <v/>
      </c>
      <c r="BC47" s="77" t="n"/>
    </row>
    <row r="48" ht="29.25" customFormat="1" customHeight="1" s="90" thickBot="1">
      <c r="B48" s="278" t="inlineStr">
        <is>
          <t>N31</t>
        </is>
      </c>
      <c r="C48" s="277" t="inlineStr">
        <is>
          <t>0005110</t>
        </is>
      </c>
      <c r="D48" s="279" t="inlineStr">
        <is>
          <t>范維玲</t>
        </is>
      </c>
      <c r="E48" s="296" t="inlineStr">
        <is>
          <t>SG/G</t>
        </is>
      </c>
      <c r="F48" s="304" t="n"/>
      <c r="G48" s="305" t="n"/>
      <c r="H48" s="287" t="inlineStr">
        <is>
          <t>夜</t>
        </is>
      </c>
      <c r="I48" s="306" t="n">
        <v>8</v>
      </c>
      <c r="J48" s="298" t="n">
        <v>8</v>
      </c>
      <c r="K48" s="298" t="n">
        <v>8</v>
      </c>
      <c r="L48" s="298" t="n">
        <v>8</v>
      </c>
      <c r="M48" s="298" t="n">
        <v>8</v>
      </c>
      <c r="N48" s="298" t="n">
        <v>8</v>
      </c>
      <c r="O48" s="298" t="n">
        <v>8</v>
      </c>
      <c r="P48" s="60" t="inlineStr">
        <is>
          <t>RD</t>
        </is>
      </c>
      <c r="Q48" s="298" t="n">
        <v>8</v>
      </c>
      <c r="R48" s="298" t="n">
        <v>8</v>
      </c>
      <c r="S48" s="298" t="n">
        <v>8</v>
      </c>
      <c r="T48" s="298" t="n">
        <v>8</v>
      </c>
      <c r="U48" s="298" t="n">
        <v>8</v>
      </c>
      <c r="V48" s="60" t="inlineStr">
        <is>
          <t>RD</t>
        </is>
      </c>
      <c r="W48" s="60" t="inlineStr">
        <is>
          <t>RD</t>
        </is>
      </c>
      <c r="X48" s="298" t="n">
        <v>8</v>
      </c>
      <c r="Y48" s="298" t="n">
        <v>8</v>
      </c>
      <c r="Z48" s="298" t="n">
        <v>8</v>
      </c>
      <c r="AA48" s="298" t="n">
        <v>8</v>
      </c>
      <c r="AB48" s="60" t="inlineStr">
        <is>
          <t>RD</t>
        </is>
      </c>
      <c r="AC48" s="298" t="n">
        <v>8</v>
      </c>
      <c r="AD48" s="298" t="n">
        <v>8</v>
      </c>
      <c r="AE48" s="298" t="n">
        <v>8</v>
      </c>
      <c r="AF48" s="298" t="n">
        <v>8</v>
      </c>
      <c r="AG48" s="298" t="n">
        <v>8</v>
      </c>
      <c r="AH48" s="298" t="n">
        <v>8</v>
      </c>
      <c r="AI48" s="298" t="n">
        <v>8</v>
      </c>
      <c r="AJ48" s="60" t="inlineStr">
        <is>
          <t>RD</t>
        </is>
      </c>
      <c r="AK48" s="298" t="n">
        <v>8</v>
      </c>
      <c r="AL48" s="298" t="n">
        <v>8</v>
      </c>
      <c r="AM48" s="237" t="n">
        <v>8</v>
      </c>
      <c r="AN48" s="419">
        <f>COUNT(I48:AM48)</f>
        <v/>
      </c>
      <c r="AO48" s="335">
        <f>SUM(I48:AM48)</f>
        <v/>
      </c>
      <c r="AP48" s="215">
        <f>COUNTIFS($I48:$AM48,$AP$6)</f>
        <v/>
      </c>
      <c r="AQ48" s="137">
        <f>COUNTIFS($I48:$AM48,$AQ$6)</f>
        <v/>
      </c>
      <c r="AR48" s="137">
        <f>COUNTIFS($I48:$AM48,$AR$6)</f>
        <v/>
      </c>
      <c r="AS48" s="137">
        <f>COUNTIFS($I48:$AM48,$AS$6)</f>
        <v/>
      </c>
      <c r="AT48" s="137">
        <f>COUNTIFS($I48:$AM48,$AT$6)</f>
        <v/>
      </c>
      <c r="AU48" s="137">
        <f>AU47</f>
        <v/>
      </c>
      <c r="AV48" s="72">
        <f>COUNTIF(I48:AM48,"RD")</f>
        <v/>
      </c>
      <c r="AW48" s="72">
        <f>AU48-AV48</f>
        <v/>
      </c>
      <c r="AX48" s="72">
        <f>COUNTIF(I48:AM48,"SH")</f>
        <v/>
      </c>
      <c r="AY48" s="72">
        <f>COUNTIF(I48:AM48,"SL")</f>
        <v/>
      </c>
      <c r="AZ48" s="72">
        <f>COUNTIF(I48:AM48,"np")</f>
        <v/>
      </c>
      <c r="BA48" s="72">
        <f>COUNTIF(I48:AM48,"AL*")</f>
        <v/>
      </c>
      <c r="BB48" s="72">
        <f>COUNTIF(I48:AM48,"NC*")</f>
        <v/>
      </c>
      <c r="BC48" s="347" t="n"/>
    </row>
    <row r="49" ht="21.95" customHeight="1" s="506" thickBot="1">
      <c r="B49" s="477" t="inlineStr">
        <is>
          <t>合約要求每日人數: 23</t>
        </is>
      </c>
      <c r="D49" s="478" t="inlineStr">
        <is>
          <t xml:space="preserve">每日出勤人數:  </t>
        </is>
      </c>
      <c r="I49" s="40">
        <f>COUNTIF(I20:I48,"8")</f>
        <v/>
      </c>
      <c r="J49" s="40">
        <f>COUNTIF(J20:J48,"8")</f>
        <v/>
      </c>
      <c r="K49" s="40">
        <f>COUNTIF(K20:K48,"8")</f>
        <v/>
      </c>
      <c r="L49" s="40">
        <f>COUNTIF(L20:L48,"8")</f>
        <v/>
      </c>
      <c r="M49" s="40">
        <f>COUNTIF(M20:M48,"8")</f>
        <v/>
      </c>
      <c r="N49" s="40">
        <f>COUNTIF(N20:N48,"8")</f>
        <v/>
      </c>
      <c r="O49" s="40">
        <f>COUNTIF(O20:O48,"8")</f>
        <v/>
      </c>
      <c r="P49" s="40">
        <f>COUNTIF(P20:P48,"8")</f>
        <v/>
      </c>
      <c r="Q49" s="40">
        <f>COUNTIF(Q20:Q48,"8")</f>
        <v/>
      </c>
      <c r="R49" s="40">
        <f>COUNTIF(R20:R48,"8")</f>
        <v/>
      </c>
      <c r="S49" s="40">
        <f>COUNTIF(S20:S48,"8")</f>
        <v/>
      </c>
      <c r="T49" s="40">
        <f>COUNTIF(T20:T48,"8")</f>
        <v/>
      </c>
      <c r="U49" s="40">
        <f>COUNTIF(U20:U48,"8")</f>
        <v/>
      </c>
      <c r="V49" s="40">
        <f>COUNTIF(V20:V48,"8")</f>
        <v/>
      </c>
      <c r="W49" s="40">
        <f>COUNTIF(W20:W48,"8")</f>
        <v/>
      </c>
      <c r="X49" s="40">
        <f>COUNTIF(X20:X48,"8")</f>
        <v/>
      </c>
      <c r="Y49" s="40">
        <f>COUNTIF(Y20:Y48,"8")</f>
        <v/>
      </c>
      <c r="Z49" s="40">
        <f>COUNTIF(Z20:Z48,"8")</f>
        <v/>
      </c>
      <c r="AA49" s="40">
        <f>COUNTIF(AA20:AA48,"8")</f>
        <v/>
      </c>
      <c r="AB49" s="40">
        <f>COUNTIF(AB20:AB48,"8")</f>
        <v/>
      </c>
      <c r="AC49" s="40">
        <f>COUNTIF(AC20:AC48,"8")</f>
        <v/>
      </c>
      <c r="AD49" s="40">
        <f>COUNTIF(AD20:AD48,"8")</f>
        <v/>
      </c>
      <c r="AE49" s="40">
        <f>COUNTIF(AE20:AE48,"8")</f>
        <v/>
      </c>
      <c r="AF49" s="40">
        <f>COUNTIF(AF20:AF48,"8")</f>
        <v/>
      </c>
      <c r="AG49" s="40">
        <f>COUNTIF(AG20:AG48,"8")</f>
        <v/>
      </c>
      <c r="AH49" s="40">
        <f>COUNTIF(AH20:AH48,"8")</f>
        <v/>
      </c>
      <c r="AI49" s="40">
        <f>COUNTIF(AI20:AI48,"8")</f>
        <v/>
      </c>
      <c r="AJ49" s="40">
        <f>COUNTIF(AJ20:AJ48,"8")</f>
        <v/>
      </c>
      <c r="AK49" s="40">
        <f>COUNTIF(AK20:AK48,"8")</f>
        <v/>
      </c>
      <c r="AL49" s="40">
        <f>COUNTIF(AL20:AL48,"8")</f>
        <v/>
      </c>
      <c r="AM49" s="40">
        <f>COUNTIF(AM20:AM48,"8")</f>
        <v/>
      </c>
      <c r="AN49" s="418">
        <f>SUM(AN20:AN48)</f>
        <v/>
      </c>
      <c r="AO49" s="20">
        <f>SUM(AO20:AO48)</f>
        <v/>
      </c>
      <c r="AP49" s="40" t="n"/>
      <c r="AQ49" s="40" t="n"/>
      <c r="AR49" s="40" t="n"/>
      <c r="AS49" s="40" t="n"/>
      <c r="AT49" s="40" t="n"/>
      <c r="AU49" s="68" t="n"/>
      <c r="AV49" s="69" t="n"/>
      <c r="AW49" s="69" t="n"/>
      <c r="AX49" s="69" t="n"/>
      <c r="AY49" s="69" t="n"/>
      <c r="AZ49" s="69" t="n"/>
      <c r="BA49" s="69" t="n"/>
      <c r="BB49" s="69" t="n"/>
      <c r="BC49" s="78" t="n"/>
    </row>
    <row r="50" ht="21.95" customHeight="1" s="506" thickBot="1">
      <c r="B50" s="49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4" t="n"/>
      <c r="AO50" s="4" t="n"/>
      <c r="AP50" s="4" t="n"/>
      <c r="AQ50" s="4" t="n"/>
      <c r="AR50" s="4" t="n"/>
    </row>
    <row r="51" ht="21.95" customHeight="1" s="506" thickBot="1">
      <c r="B51" s="492" t="n"/>
      <c r="AN51" s="371" t="inlineStr">
        <is>
          <t>總日數</t>
        </is>
      </c>
      <c r="AO51" s="372" t="inlineStr">
        <is>
          <t>總時數</t>
        </is>
      </c>
    </row>
    <row r="52" ht="21.95" customHeight="1" s="506">
      <c r="B52" s="562" t="inlineStr">
        <is>
          <t>特別保安員每日工作(實際)總人數</t>
        </is>
      </c>
      <c r="C52" s="519" t="n"/>
      <c r="D52" s="520" t="n"/>
      <c r="E52" s="472" t="n"/>
      <c r="F52" s="472" t="n"/>
      <c r="G52" s="9" t="n"/>
      <c r="H52" s="10" t="inlineStr">
        <is>
          <t>SG</t>
        </is>
      </c>
      <c r="I52" s="33">
        <f>I15</f>
        <v/>
      </c>
      <c r="J52" s="34">
        <f>J15</f>
        <v/>
      </c>
      <c r="K52" s="34">
        <f>K15</f>
        <v/>
      </c>
      <c r="L52" s="34">
        <f>L15</f>
        <v/>
      </c>
      <c r="M52" s="34">
        <f>M15</f>
        <v/>
      </c>
      <c r="N52" s="34">
        <f>N15</f>
        <v/>
      </c>
      <c r="O52" s="34">
        <f>O15</f>
        <v/>
      </c>
      <c r="P52" s="34">
        <f>P15</f>
        <v/>
      </c>
      <c r="Q52" s="34">
        <f>Q15</f>
        <v/>
      </c>
      <c r="R52" s="34">
        <f>R15</f>
        <v/>
      </c>
      <c r="S52" s="34">
        <f>S15</f>
        <v/>
      </c>
      <c r="T52" s="34">
        <f>T15</f>
        <v/>
      </c>
      <c r="U52" s="34">
        <f>U15</f>
        <v/>
      </c>
      <c r="V52" s="34">
        <f>V15</f>
        <v/>
      </c>
      <c r="W52" s="34">
        <f>W15</f>
        <v/>
      </c>
      <c r="X52" s="34">
        <f>X15</f>
        <v/>
      </c>
      <c r="Y52" s="34">
        <f>Y15</f>
        <v/>
      </c>
      <c r="Z52" s="34">
        <f>Z15</f>
        <v/>
      </c>
      <c r="AA52" s="34">
        <f>AA15</f>
        <v/>
      </c>
      <c r="AB52" s="34">
        <f>AB15</f>
        <v/>
      </c>
      <c r="AC52" s="34">
        <f>AC15</f>
        <v/>
      </c>
      <c r="AD52" s="34">
        <f>AD15</f>
        <v/>
      </c>
      <c r="AE52" s="34">
        <f>AE15</f>
        <v/>
      </c>
      <c r="AF52" s="34">
        <f>AF15</f>
        <v/>
      </c>
      <c r="AG52" s="34">
        <f>AG15</f>
        <v/>
      </c>
      <c r="AH52" s="34">
        <f>AH15</f>
        <v/>
      </c>
      <c r="AI52" s="34">
        <f>AI15</f>
        <v/>
      </c>
      <c r="AJ52" s="34">
        <f>AJ15</f>
        <v/>
      </c>
      <c r="AK52" s="34">
        <f>AK15</f>
        <v/>
      </c>
      <c r="AL52" s="34">
        <f>AL15</f>
        <v/>
      </c>
      <c r="AM52" s="110">
        <f>AM15</f>
        <v/>
      </c>
      <c r="AN52" s="50">
        <f>SUM(I52:AM52)</f>
        <v/>
      </c>
      <c r="AO52" s="50">
        <f>AN52*8</f>
        <v/>
      </c>
    </row>
    <row r="53" ht="21.95" customHeight="1" s="506">
      <c r="B53" s="563" t="inlineStr">
        <is>
          <t>特別保安員每日工作(要求)總人數</t>
        </is>
      </c>
      <c r="C53" s="522" t="n"/>
      <c r="D53" s="523" t="n"/>
      <c r="E53" s="475" t="n"/>
      <c r="F53" s="475" t="n"/>
      <c r="G53" s="13" t="n"/>
      <c r="H53" s="14" t="n"/>
      <c r="I53" s="35" t="n">
        <v>2</v>
      </c>
      <c r="J53" s="36" t="n">
        <v>2</v>
      </c>
      <c r="K53" s="36" t="n">
        <v>2</v>
      </c>
      <c r="L53" s="36" t="n">
        <v>2</v>
      </c>
      <c r="M53" s="36" t="n">
        <v>2</v>
      </c>
      <c r="N53" s="36" t="n">
        <v>2</v>
      </c>
      <c r="O53" s="36" t="n">
        <v>2</v>
      </c>
      <c r="P53" s="36" t="n">
        <v>2</v>
      </c>
      <c r="Q53" s="36" t="n">
        <v>2</v>
      </c>
      <c r="R53" s="36" t="n">
        <v>2</v>
      </c>
      <c r="S53" s="36" t="n">
        <v>2</v>
      </c>
      <c r="T53" s="36" t="n">
        <v>2</v>
      </c>
      <c r="U53" s="36" t="n">
        <v>2</v>
      </c>
      <c r="V53" s="36" t="n">
        <v>2</v>
      </c>
      <c r="W53" s="36" t="n">
        <v>2</v>
      </c>
      <c r="X53" s="36" t="n">
        <v>2</v>
      </c>
      <c r="Y53" s="36" t="n">
        <v>2</v>
      </c>
      <c r="Z53" s="36" t="n">
        <v>2</v>
      </c>
      <c r="AA53" s="36" t="n">
        <v>2</v>
      </c>
      <c r="AB53" s="36" t="n">
        <v>2</v>
      </c>
      <c r="AC53" s="36" t="n">
        <v>2</v>
      </c>
      <c r="AD53" s="36" t="n">
        <v>2</v>
      </c>
      <c r="AE53" s="36" t="n">
        <v>2</v>
      </c>
      <c r="AF53" s="36" t="n">
        <v>2</v>
      </c>
      <c r="AG53" s="36" t="n">
        <v>2</v>
      </c>
      <c r="AH53" s="36" t="n">
        <v>2</v>
      </c>
      <c r="AI53" s="36" t="n">
        <v>2</v>
      </c>
      <c r="AJ53" s="36" t="n">
        <v>2</v>
      </c>
      <c r="AK53" s="36" t="n">
        <v>2</v>
      </c>
      <c r="AL53" s="36" t="n">
        <v>2</v>
      </c>
      <c r="AM53" s="111" t="n">
        <v>2</v>
      </c>
      <c r="AN53" s="51">
        <f>SUM(I53:AM53)</f>
        <v/>
      </c>
      <c r="AO53" s="51">
        <f>AN53*8</f>
        <v/>
      </c>
    </row>
    <row r="54" ht="21.95" customHeight="1" s="506" thickBot="1">
      <c r="B54" s="564" t="inlineStr">
        <is>
          <t>特別保安員每日工作(缺勤)總人數</t>
        </is>
      </c>
      <c r="C54" s="525" t="n"/>
      <c r="D54" s="526" t="n"/>
      <c r="E54" s="469" t="n"/>
      <c r="F54" s="469" t="n"/>
      <c r="G54" s="17" t="n"/>
      <c r="H54" s="18" t="n"/>
      <c r="I54" s="557">
        <f>IF((I52-I53)&lt;0,I52-I53,0)</f>
        <v/>
      </c>
      <c r="J54" s="558">
        <f>IF((J52-J53)&lt;0,J52-J53,0)</f>
        <v/>
      </c>
      <c r="K54" s="558">
        <f>IF((K52-K53)&lt;0,K52-K53,0)</f>
        <v/>
      </c>
      <c r="L54" s="558">
        <f>IF((L52-L53)&lt;0,L52-L53,0)</f>
        <v/>
      </c>
      <c r="M54" s="558">
        <f>IF((M52-M53)&lt;0,M52-M53,0)</f>
        <v/>
      </c>
      <c r="N54" s="558">
        <f>IF((N52-N53)&lt;0,N52-N53,0)</f>
        <v/>
      </c>
      <c r="O54" s="558">
        <f>IF((O52-O53)&lt;0,O52-O53,0)</f>
        <v/>
      </c>
      <c r="P54" s="558">
        <f>IF((P52-P53)&lt;0,P52-P53,0)</f>
        <v/>
      </c>
      <c r="Q54" s="558">
        <f>IF((Q52-Q53)&lt;0,Q52-Q53,0)</f>
        <v/>
      </c>
      <c r="R54" s="558">
        <f>IF((R52-R53)&lt;0,R52-R53,0)</f>
        <v/>
      </c>
      <c r="S54" s="558">
        <f>IF((S52-S53)&lt;0,S52-S53,0)</f>
        <v/>
      </c>
      <c r="T54" s="558">
        <f>IF((T52-T53)&lt;0,T52-T53,0)</f>
        <v/>
      </c>
      <c r="U54" s="558">
        <f>IF((U52-U53)&lt;0,U52-U53,0)</f>
        <v/>
      </c>
      <c r="V54" s="558">
        <f>IF((V52-V53)&lt;0,V52-V53,0)</f>
        <v/>
      </c>
      <c r="W54" s="558">
        <f>IF((W52-W53)&lt;0,W52-W53,0)</f>
        <v/>
      </c>
      <c r="X54" s="558">
        <f>IF((X52-X53)&lt;0,X52-X53,0)</f>
        <v/>
      </c>
      <c r="Y54" s="558">
        <f>IF((Y52-Y53)&lt;0,Y52-Y53,0)</f>
        <v/>
      </c>
      <c r="Z54" s="558">
        <f>IF((Z52-Z53)&lt;0,Z52-Z53,0)</f>
        <v/>
      </c>
      <c r="AA54" s="558">
        <f>IF((AA52-AA53)&lt;0,AA52-AA53,0)</f>
        <v/>
      </c>
      <c r="AB54" s="558">
        <f>IF((AB52-AB53)&lt;0,AB52-AB53,0)</f>
        <v/>
      </c>
      <c r="AC54" s="558">
        <f>IF((AC52-AC53)&lt;0,AC52-AC53,0)</f>
        <v/>
      </c>
      <c r="AD54" s="558">
        <f>IF((AD52-AD53)&lt;0,AD52-AD53,0)</f>
        <v/>
      </c>
      <c r="AE54" s="558">
        <f>IF((AE52-AE53)&lt;0,AE52-AE53,0)</f>
        <v/>
      </c>
      <c r="AF54" s="558">
        <f>IF((AF52-AF53)&lt;0,AF52-AF53,0)</f>
        <v/>
      </c>
      <c r="AG54" s="558">
        <f>IF((AG52-AG53)&lt;0,AG52-AG53,0)</f>
        <v/>
      </c>
      <c r="AH54" s="558">
        <f>IF((AH52-AH53)&lt;0,AH52-AH53,0)</f>
        <v/>
      </c>
      <c r="AI54" s="558">
        <f>IF((AI52-AI53)&lt;0,AI52-AI53,0)</f>
        <v/>
      </c>
      <c r="AJ54" s="558">
        <f>IF((AJ52-AJ53)&lt;0,AJ52-AJ53,0)</f>
        <v/>
      </c>
      <c r="AK54" s="558">
        <f>IF((AK52-AK53)&lt;0,AK52-AK53,0)</f>
        <v/>
      </c>
      <c r="AL54" s="558">
        <f>IF((AL52-AL53)&lt;0,AL52-AL53,0)</f>
        <v/>
      </c>
      <c r="AM54" s="559">
        <f>IF((AM52-AM53)&lt;0,AM52-AM53,0)</f>
        <v/>
      </c>
      <c r="AN54" s="560">
        <f>SUM(I54:AM54)</f>
        <v/>
      </c>
      <c r="AO54" s="560">
        <f>AN54*8</f>
        <v/>
      </c>
    </row>
    <row r="55" ht="21.95" customHeight="1" s="506">
      <c r="B55" s="562" t="inlineStr">
        <is>
          <t>普通保安每日工作(實際)總人數</t>
        </is>
      </c>
      <c r="C55" s="519" t="n"/>
      <c r="D55" s="520" t="n"/>
      <c r="E55" s="472" t="n"/>
      <c r="F55" s="472" t="n"/>
      <c r="G55" s="9" t="n"/>
      <c r="H55" s="10" t="inlineStr">
        <is>
          <t>G</t>
        </is>
      </c>
      <c r="I55" s="33">
        <f>I49-I52</f>
        <v/>
      </c>
      <c r="J55" s="34">
        <f>J49-J52</f>
        <v/>
      </c>
      <c r="K55" s="34">
        <f>K49-K52</f>
        <v/>
      </c>
      <c r="L55" s="34">
        <f>L49-L52</f>
        <v/>
      </c>
      <c r="M55" s="34">
        <f>M49-M52</f>
        <v/>
      </c>
      <c r="N55" s="34">
        <f>N49-N52</f>
        <v/>
      </c>
      <c r="O55" s="34">
        <f>O49-O52</f>
        <v/>
      </c>
      <c r="P55" s="34">
        <f>P49-P52</f>
        <v/>
      </c>
      <c r="Q55" s="34">
        <f>Q49-Q52</f>
        <v/>
      </c>
      <c r="R55" s="34">
        <f>R49-R52</f>
        <v/>
      </c>
      <c r="S55" s="34">
        <f>S49-S52</f>
        <v/>
      </c>
      <c r="T55" s="34">
        <f>T49-T52</f>
        <v/>
      </c>
      <c r="U55" s="34">
        <f>U49-U52</f>
        <v/>
      </c>
      <c r="V55" s="34">
        <f>V49-V52</f>
        <v/>
      </c>
      <c r="W55" s="34">
        <f>W49-W52</f>
        <v/>
      </c>
      <c r="X55" s="34">
        <f>X49-X52</f>
        <v/>
      </c>
      <c r="Y55" s="34">
        <f>Y49-Y52</f>
        <v/>
      </c>
      <c r="Z55" s="34">
        <f>Z49-Z52</f>
        <v/>
      </c>
      <c r="AA55" s="34">
        <f>AA49-AA52</f>
        <v/>
      </c>
      <c r="AB55" s="34">
        <f>AB49-AB52</f>
        <v/>
      </c>
      <c r="AC55" s="34">
        <f>AC49-AC52</f>
        <v/>
      </c>
      <c r="AD55" s="34">
        <f>AD49-AD52</f>
        <v/>
      </c>
      <c r="AE55" s="34">
        <f>AE49-AE52</f>
        <v/>
      </c>
      <c r="AF55" s="34">
        <f>AF49-AF52</f>
        <v/>
      </c>
      <c r="AG55" s="34">
        <f>AG49-AG52</f>
        <v/>
      </c>
      <c r="AH55" s="34">
        <f>AH49-AH52</f>
        <v/>
      </c>
      <c r="AI55" s="34">
        <f>AI49-AI52</f>
        <v/>
      </c>
      <c r="AJ55" s="34">
        <f>AJ49-AJ52</f>
        <v/>
      </c>
      <c r="AK55" s="34">
        <f>AK49-AK52</f>
        <v/>
      </c>
      <c r="AL55" s="34">
        <f>AL49-AL52</f>
        <v/>
      </c>
      <c r="AM55" s="110">
        <f>AM49-AM52</f>
        <v/>
      </c>
      <c r="AN55" s="373">
        <f>SUM(I55:AM55)</f>
        <v/>
      </c>
      <c r="AO55" s="50">
        <f>AN55*8</f>
        <v/>
      </c>
    </row>
    <row r="56" ht="21.95" customHeight="1" s="506">
      <c r="B56" s="563" t="inlineStr">
        <is>
          <t>普通保安每日工作(要求)總人數</t>
        </is>
      </c>
      <c r="C56" s="522" t="n"/>
      <c r="D56" s="523" t="n"/>
      <c r="E56" s="475" t="n"/>
      <c r="F56" s="475" t="n"/>
      <c r="G56" s="13" t="n"/>
      <c r="H56" s="14" t="n"/>
      <c r="I56" s="35" t="n">
        <v>21</v>
      </c>
      <c r="J56" s="36" t="n">
        <v>21</v>
      </c>
      <c r="K56" s="36" t="n">
        <v>21</v>
      </c>
      <c r="L56" s="36" t="n">
        <v>21</v>
      </c>
      <c r="M56" s="36" t="n">
        <v>21</v>
      </c>
      <c r="N56" s="36" t="n">
        <v>21</v>
      </c>
      <c r="O56" s="36" t="n">
        <v>21</v>
      </c>
      <c r="P56" s="36" t="n">
        <v>21</v>
      </c>
      <c r="Q56" s="36" t="n">
        <v>21</v>
      </c>
      <c r="R56" s="36" t="n">
        <v>21</v>
      </c>
      <c r="S56" s="36" t="n">
        <v>21</v>
      </c>
      <c r="T56" s="36" t="n">
        <v>21</v>
      </c>
      <c r="U56" s="36" t="n">
        <v>21</v>
      </c>
      <c r="V56" s="36" t="n">
        <v>21</v>
      </c>
      <c r="W56" s="36" t="n">
        <v>21</v>
      </c>
      <c r="X56" s="36" t="n">
        <v>21</v>
      </c>
      <c r="Y56" s="36" t="n">
        <v>21</v>
      </c>
      <c r="Z56" s="36" t="n">
        <v>21</v>
      </c>
      <c r="AA56" s="36" t="n">
        <v>21</v>
      </c>
      <c r="AB56" s="36" t="n">
        <v>21</v>
      </c>
      <c r="AC56" s="36" t="n">
        <v>21</v>
      </c>
      <c r="AD56" s="36" t="n">
        <v>21</v>
      </c>
      <c r="AE56" s="36" t="n">
        <v>21</v>
      </c>
      <c r="AF56" s="36" t="n">
        <v>21</v>
      </c>
      <c r="AG56" s="36" t="n">
        <v>21</v>
      </c>
      <c r="AH56" s="36" t="n">
        <v>21</v>
      </c>
      <c r="AI56" s="36" t="n">
        <v>21</v>
      </c>
      <c r="AJ56" s="36" t="n">
        <v>21</v>
      </c>
      <c r="AK56" s="36" t="n">
        <v>21</v>
      </c>
      <c r="AL56" s="36" t="n">
        <v>21</v>
      </c>
      <c r="AM56" s="111" t="n">
        <v>21</v>
      </c>
      <c r="AN56" s="51">
        <f>SUM(I56:AM56)</f>
        <v/>
      </c>
      <c r="AO56" s="51">
        <f>AN56*8</f>
        <v/>
      </c>
    </row>
    <row r="57" ht="21.95" customHeight="1" s="506" thickBot="1">
      <c r="B57" s="576" t="inlineStr">
        <is>
          <t>普通保安每日工作(缺勤)總人數</t>
        </is>
      </c>
      <c r="C57" s="577" t="n"/>
      <c r="D57" s="578" t="n"/>
      <c r="E57" s="22" t="n"/>
      <c r="F57" s="22" t="n"/>
      <c r="G57" s="23" t="n"/>
      <c r="H57" s="24" t="n"/>
      <c r="I57" s="557">
        <f>IF((I55-I56)&lt;0,I55-I56,0)</f>
        <v/>
      </c>
      <c r="J57" s="558">
        <f>IF((J55-J56)&lt;0,J55-J56,0)</f>
        <v/>
      </c>
      <c r="K57" s="558">
        <f>IF((K55-K56)&lt;0,K55-K56,0)</f>
        <v/>
      </c>
      <c r="L57" s="558">
        <f>IF((L55-L56)&lt;0,L55-L56,0)</f>
        <v/>
      </c>
      <c r="M57" s="558">
        <f>IF((M55-M56)&lt;0,M55-M56,0)</f>
        <v/>
      </c>
      <c r="N57" s="558">
        <f>IF((N55-N56)&lt;0,N55-N56,0)</f>
        <v/>
      </c>
      <c r="O57" s="558">
        <f>IF((O55-O56)&lt;0,O55-O56,0)</f>
        <v/>
      </c>
      <c r="P57" s="558">
        <f>IF((P55-P56)&lt;0,P55-P56,0)</f>
        <v/>
      </c>
      <c r="Q57" s="558">
        <f>IF((Q55-Q56)&lt;0,Q55-Q56,0)</f>
        <v/>
      </c>
      <c r="R57" s="558">
        <f>IF((R55-R56)&lt;0,R55-R56,0)</f>
        <v/>
      </c>
      <c r="S57" s="558">
        <f>IF((S55-S56)&lt;0,S55-S56,0)</f>
        <v/>
      </c>
      <c r="T57" s="558">
        <f>IF((T55-T56)&lt;0,T55-T56,0)</f>
        <v/>
      </c>
      <c r="U57" s="558">
        <f>IF((U55-U56)&lt;0,U55-U56,0)</f>
        <v/>
      </c>
      <c r="V57" s="558">
        <f>IF((V55-V56)&lt;0,V55-V56,0)</f>
        <v/>
      </c>
      <c r="W57" s="558">
        <f>IF((W55-W56)&lt;0,W55-W56,0)</f>
        <v/>
      </c>
      <c r="X57" s="558">
        <f>IF((X55-X56)&lt;0,X55-X56,0)</f>
        <v/>
      </c>
      <c r="Y57" s="558">
        <f>IF((Y55-Y56)&lt;0,Y55-Y56,0)</f>
        <v/>
      </c>
      <c r="Z57" s="558">
        <f>IF((Z55-Z56)&lt;0,Z55-Z56,0)</f>
        <v/>
      </c>
      <c r="AA57" s="558">
        <f>IF((AA55-AA56)&lt;0,AA55-AA56,0)</f>
        <v/>
      </c>
      <c r="AB57" s="558">
        <f>IF((AB55-AB56)&lt;0,AB55-AB56,0)</f>
        <v/>
      </c>
      <c r="AC57" s="558">
        <f>IF((AC55-AC56)&lt;0,AC55-AC56,0)</f>
        <v/>
      </c>
      <c r="AD57" s="558">
        <f>IF((AD55-AD56)&lt;0,AD55-AD56,0)</f>
        <v/>
      </c>
      <c r="AE57" s="579">
        <f>IF((AE55-AE56)&lt;0,AE55-AE56,0)</f>
        <v/>
      </c>
      <c r="AF57" s="558">
        <f>IF((AF55-AF56)&lt;0,AF55-AF56,0)</f>
        <v/>
      </c>
      <c r="AG57" s="558">
        <f>IF((AG55-AG56)&lt;0,AG55-AG56,0)</f>
        <v/>
      </c>
      <c r="AH57" s="558">
        <f>IF((AH55-AH56)&lt;0,AH55-AH56,0)</f>
        <v/>
      </c>
      <c r="AI57" s="558">
        <f>IF((AI55-AI56)&lt;0,AI55-AI56,0)</f>
        <v/>
      </c>
      <c r="AJ57" s="558">
        <f>IF((AJ55-AJ56)&lt;0,AJ55-AJ56,0)</f>
        <v/>
      </c>
      <c r="AK57" s="558">
        <f>IF((AK55-AK56)&lt;0,AK55-AK56,0)</f>
        <v/>
      </c>
      <c r="AL57" s="558">
        <f>IF((AL55-AL56)&lt;0,AL55-AL56,0)</f>
        <v/>
      </c>
      <c r="AM57" s="559">
        <f>IF((AM55-AM56)&lt;0,AM55-AM56,0)</f>
        <v/>
      </c>
      <c r="AN57" s="560">
        <f>SUM(I57:AM57)</f>
        <v/>
      </c>
      <c r="AO57" s="560">
        <f>AN57*8</f>
        <v/>
      </c>
    </row>
    <row r="58" ht="21.95" customHeight="1" s="506">
      <c r="B58" s="580" t="inlineStr">
        <is>
          <t>保安每日工作(實際)總人數</t>
        </is>
      </c>
      <c r="C58" s="581" t="n"/>
      <c r="D58" s="582" t="n"/>
      <c r="E58" s="490" t="n"/>
      <c r="F58" s="490" t="n"/>
      <c r="G58" s="26" t="n"/>
      <c r="H58" s="27" t="n"/>
      <c r="I58" s="33">
        <f>SUM(I15+I52+I55)</f>
        <v/>
      </c>
      <c r="J58" s="34">
        <f>SUM(J15+J52+J55)</f>
        <v/>
      </c>
      <c r="K58" s="34">
        <f>SUM(K15+K52+K55)</f>
        <v/>
      </c>
      <c r="L58" s="34">
        <f>SUM(L15+L52+L55)</f>
        <v/>
      </c>
      <c r="M58" s="34">
        <f>SUM(M15+M52+M55)</f>
        <v/>
      </c>
      <c r="N58" s="34">
        <f>SUM(N15+N52+N55)</f>
        <v/>
      </c>
      <c r="O58" s="34">
        <f>SUM(O15+O52+O55)</f>
        <v/>
      </c>
      <c r="P58" s="34">
        <f>SUM(P15+P52+P55)</f>
        <v/>
      </c>
      <c r="Q58" s="34">
        <f>SUM(Q15+Q52+Q55)</f>
        <v/>
      </c>
      <c r="R58" s="34">
        <f>SUM(R15+R52+R55)</f>
        <v/>
      </c>
      <c r="S58" s="34">
        <f>SUM(S15+S52+S55)</f>
        <v/>
      </c>
      <c r="T58" s="34">
        <f>SUM(T15+T52+T55)</f>
        <v/>
      </c>
      <c r="U58" s="34">
        <f>SUM(U15+U52+U55)</f>
        <v/>
      </c>
      <c r="V58" s="34">
        <f>SUM(V15+V52+V55)</f>
        <v/>
      </c>
      <c r="W58" s="34">
        <f>SUM(W15+W52+W55)</f>
        <v/>
      </c>
      <c r="X58" s="34">
        <f>SUM(X15+X52+X55)</f>
        <v/>
      </c>
      <c r="Y58" s="34">
        <f>SUM(Y15+Y52+Y55)</f>
        <v/>
      </c>
      <c r="Z58" s="34">
        <f>SUM(Z15+Z52+Z55)</f>
        <v/>
      </c>
      <c r="AA58" s="34">
        <f>SUM(AA15+AA52+AA55)</f>
        <v/>
      </c>
      <c r="AB58" s="34">
        <f>SUM(AB15+AB52+AB55)</f>
        <v/>
      </c>
      <c r="AC58" s="34">
        <f>SUM(AC15+AC52+AC55)</f>
        <v/>
      </c>
      <c r="AD58" s="34">
        <f>SUM(AD15+AD52+AD55)</f>
        <v/>
      </c>
      <c r="AE58" s="34">
        <f>SUM(AE15+AE52+AE55)</f>
        <v/>
      </c>
      <c r="AF58" s="34">
        <f>SUM(AF15+AF52+AF55)</f>
        <v/>
      </c>
      <c r="AG58" s="34">
        <f>SUM(AG15+AG52+AG55)</f>
        <v/>
      </c>
      <c r="AH58" s="34">
        <f>SUM(AH15+AH52+AH55)</f>
        <v/>
      </c>
      <c r="AI58" s="34">
        <f>SUM(AI15+AI52+AI55)</f>
        <v/>
      </c>
      <c r="AJ58" s="34">
        <f>SUM(AJ15+AJ52+AJ55)</f>
        <v/>
      </c>
      <c r="AK58" s="34">
        <f>SUM(AK15+AK52+AK55)</f>
        <v/>
      </c>
      <c r="AL58" s="34">
        <f>SUM(AL15+AL52+AL55)</f>
        <v/>
      </c>
      <c r="AM58" s="110">
        <f>SUM(AM15+AM52+AM55)</f>
        <v/>
      </c>
      <c r="AN58" s="50">
        <f>SUM(I58:AM58)</f>
        <v/>
      </c>
      <c r="AO58" s="50">
        <f>AN58*8</f>
        <v/>
      </c>
    </row>
    <row r="59" ht="21.95" customHeight="1" s="506">
      <c r="B59" s="563" t="inlineStr">
        <is>
          <t>保安每日工作(要求)總人數</t>
        </is>
      </c>
      <c r="C59" s="522" t="n"/>
      <c r="D59" s="523" t="n"/>
      <c r="E59" s="475" t="n"/>
      <c r="F59" s="475" t="n"/>
      <c r="G59" s="13" t="n"/>
      <c r="H59" s="14" t="n"/>
      <c r="I59" s="35">
        <f>SUM(I16+I53+I56)</f>
        <v/>
      </c>
      <c r="J59" s="36">
        <f>SUM(J16+J53+J56)</f>
        <v/>
      </c>
      <c r="K59" s="36">
        <f>SUM(K16+K53+K56)</f>
        <v/>
      </c>
      <c r="L59" s="36">
        <f>SUM(L16+L53+L56)</f>
        <v/>
      </c>
      <c r="M59" s="36">
        <f>SUM(M16+M53+M56)</f>
        <v/>
      </c>
      <c r="N59" s="36">
        <f>SUM(N16+N53+N56)</f>
        <v/>
      </c>
      <c r="O59" s="36">
        <f>SUM(O16+O53+O56)</f>
        <v/>
      </c>
      <c r="P59" s="36">
        <f>SUM(P16+P53+P56)</f>
        <v/>
      </c>
      <c r="Q59" s="36">
        <f>SUM(Q16+Q53+Q56)</f>
        <v/>
      </c>
      <c r="R59" s="36">
        <f>SUM(R16+R53+R56)</f>
        <v/>
      </c>
      <c r="S59" s="36">
        <f>SUM(S16+S53+S56)</f>
        <v/>
      </c>
      <c r="T59" s="36">
        <f>SUM(T16+T53+T56)</f>
        <v/>
      </c>
      <c r="U59" s="36">
        <f>SUM(U16+U53+U56)</f>
        <v/>
      </c>
      <c r="V59" s="36">
        <f>SUM(V16+V53+V56)</f>
        <v/>
      </c>
      <c r="W59" s="36">
        <f>SUM(W16+W53+W56)</f>
        <v/>
      </c>
      <c r="X59" s="36">
        <f>SUM(X16+X53+X56)</f>
        <v/>
      </c>
      <c r="Y59" s="36">
        <f>SUM(Y16+Y53+Y56)</f>
        <v/>
      </c>
      <c r="Z59" s="36">
        <f>SUM(Z16+Z53+Z56)</f>
        <v/>
      </c>
      <c r="AA59" s="36">
        <f>SUM(AA16+AA53+AA56)</f>
        <v/>
      </c>
      <c r="AB59" s="36">
        <f>SUM(AB16+AB53+AB56)</f>
        <v/>
      </c>
      <c r="AC59" s="36">
        <f>SUM(AC16+AC53+AC56)</f>
        <v/>
      </c>
      <c r="AD59" s="36">
        <f>SUM(AD16+AD53+AD56)</f>
        <v/>
      </c>
      <c r="AE59" s="36">
        <f>SUM(AE16+AE53+AE56)</f>
        <v/>
      </c>
      <c r="AF59" s="36">
        <f>SUM(AF16+AF53+AF56)</f>
        <v/>
      </c>
      <c r="AG59" s="36">
        <f>SUM(AG16+AG53+AG56)</f>
        <v/>
      </c>
      <c r="AH59" s="36">
        <f>SUM(AH16+AH53+AH56)</f>
        <v/>
      </c>
      <c r="AI59" s="36">
        <f>SUM(AI16+AI53+AI56)</f>
        <v/>
      </c>
      <c r="AJ59" s="36">
        <f>SUM(AJ16+AJ53+AJ56)</f>
        <v/>
      </c>
      <c r="AK59" s="36">
        <f>SUM(AK16+AK53+AK56)</f>
        <v/>
      </c>
      <c r="AL59" s="36">
        <f>SUM(AL16+AL53+AL56)</f>
        <v/>
      </c>
      <c r="AM59" s="111">
        <f>SUM(AM16+AM53+AM56)</f>
        <v/>
      </c>
      <c r="AN59" s="51">
        <f>SUM(I59:AM59)</f>
        <v/>
      </c>
      <c r="AO59" s="51">
        <f>AN59*8</f>
        <v/>
      </c>
    </row>
    <row r="60" ht="21.95" customFormat="1" customHeight="1" s="2" thickBot="1">
      <c r="B60" s="564" t="inlineStr">
        <is>
          <t>保安每日工作(缺勤)總人數</t>
        </is>
      </c>
      <c r="C60" s="525" t="n"/>
      <c r="D60" s="526" t="n"/>
      <c r="E60" s="487" t="n"/>
      <c r="F60" s="487" t="n"/>
      <c r="G60" s="28" t="n"/>
      <c r="H60" s="29" t="n"/>
      <c r="I60" s="557">
        <f>I58-I59</f>
        <v/>
      </c>
      <c r="J60" s="558">
        <f>J58-J59</f>
        <v/>
      </c>
      <c r="K60" s="558">
        <f>K58-K59</f>
        <v/>
      </c>
      <c r="L60" s="558">
        <f>L58-L59</f>
        <v/>
      </c>
      <c r="M60" s="558">
        <f>M58-M59</f>
        <v/>
      </c>
      <c r="N60" s="558">
        <f>N58-N59</f>
        <v/>
      </c>
      <c r="O60" s="558">
        <f>IF((O58-O59)&lt;0,O58-O59,0)</f>
        <v/>
      </c>
      <c r="P60" s="558">
        <f>P58-P59</f>
        <v/>
      </c>
      <c r="Q60" s="558">
        <f>Q58-Q59</f>
        <v/>
      </c>
      <c r="R60" s="558">
        <f>R58-R59</f>
        <v/>
      </c>
      <c r="S60" s="558">
        <f>S58-S59</f>
        <v/>
      </c>
      <c r="T60" s="558">
        <f>T58-T59</f>
        <v/>
      </c>
      <c r="U60" s="558">
        <f>U58-U59</f>
        <v/>
      </c>
      <c r="V60" s="558">
        <f>V58-V59</f>
        <v/>
      </c>
      <c r="W60" s="558">
        <f>W58-W59</f>
        <v/>
      </c>
      <c r="X60" s="558">
        <f>X58-X59</f>
        <v/>
      </c>
      <c r="Y60" s="558">
        <f>Y58-Y59</f>
        <v/>
      </c>
      <c r="Z60" s="558">
        <f>Z58-Z59</f>
        <v/>
      </c>
      <c r="AA60" s="558">
        <f>AA58-AA59</f>
        <v/>
      </c>
      <c r="AB60" s="558">
        <f>AB58-AB59</f>
        <v/>
      </c>
      <c r="AC60" s="558">
        <f>AC58-AC59</f>
        <v/>
      </c>
      <c r="AD60" s="558">
        <f>AD58-AD59</f>
        <v/>
      </c>
      <c r="AE60" s="558">
        <f>AE58-AE59</f>
        <v/>
      </c>
      <c r="AF60" s="558">
        <f>AF58-AF59</f>
        <v/>
      </c>
      <c r="AG60" s="558">
        <f>AG58-AG59</f>
        <v/>
      </c>
      <c r="AH60" s="558">
        <f>AH58-AH59</f>
        <v/>
      </c>
      <c r="AI60" s="558">
        <f>AI58-AI59</f>
        <v/>
      </c>
      <c r="AJ60" s="558">
        <f>AJ58-AJ59</f>
        <v/>
      </c>
      <c r="AK60" s="558">
        <f>AK58-AK59</f>
        <v/>
      </c>
      <c r="AL60" s="558">
        <f>AL58-AL59</f>
        <v/>
      </c>
      <c r="AM60" s="559">
        <f>AM58-AM59</f>
        <v/>
      </c>
      <c r="AN60" s="560">
        <f>SUM(I60:AM60)</f>
        <v/>
      </c>
      <c r="AO60" s="560">
        <f>AN60*8</f>
        <v/>
      </c>
      <c r="AW60" s="79" t="n"/>
    </row>
    <row r="61" ht="21.95" customHeight="1" s="506"/>
    <row r="62" ht="21.95" customFormat="1" customHeight="1" s="3">
      <c r="C62" s="40" t="n"/>
      <c r="D62" s="115" t="inlineStr">
        <is>
          <t>備註：</t>
        </is>
      </c>
      <c r="E62" s="40" t="n"/>
      <c r="F62" s="40" t="n"/>
      <c r="G62" s="40" t="n"/>
      <c r="I62" s="3" t="inlineStr">
        <is>
          <t xml:space="preserve"> GS=Guard Supervisor     SG=Special Guard      G=Security Guard</t>
        </is>
      </c>
      <c r="J62" s="545" t="n"/>
      <c r="K62" s="545" t="n"/>
      <c r="L62" s="545" t="n"/>
      <c r="M62" s="545" t="n"/>
      <c r="N62" s="545" t="n"/>
      <c r="O62" s="545" t="n"/>
      <c r="P62" s="545" t="n"/>
      <c r="Q62" s="545" t="n"/>
      <c r="R62" s="67" t="n"/>
      <c r="S62" s="40" t="n"/>
      <c r="X62" s="40" t="n"/>
      <c r="Y62" s="40" t="n"/>
      <c r="Z62" s="40" t="n"/>
      <c r="AA62" s="434" t="inlineStr">
        <is>
          <t>NSH/SH</t>
        </is>
      </c>
      <c r="AB62" s="546" t="n"/>
      <c r="AC62" s="44" t="inlineStr">
        <is>
          <t>RD</t>
        </is>
      </c>
      <c r="AD62" s="364" t="inlineStr">
        <is>
          <t>NP</t>
        </is>
      </c>
      <c r="AE62" s="45" t="inlineStr">
        <is>
          <t>SL</t>
        </is>
      </c>
      <c r="AF62" s="46" t="inlineStr">
        <is>
          <t>AL</t>
        </is>
      </c>
      <c r="AG62" s="119" t="inlineStr">
        <is>
          <t>EC</t>
        </is>
      </c>
      <c r="AH62" s="129" t="inlineStr">
        <is>
          <t>NC</t>
        </is>
      </c>
      <c r="AI62" s="547" t="inlineStr">
        <is>
          <t>TY/FS/FH/WTT/POH</t>
        </is>
      </c>
      <c r="AJ62" s="522" t="n"/>
      <c r="AK62" s="522" t="n"/>
      <c r="AL62" s="546" t="n"/>
      <c r="AM62" s="40" t="n"/>
      <c r="AN62" s="40" t="n"/>
      <c r="AO62" s="40" t="n"/>
      <c r="AP62" s="40" t="n"/>
      <c r="AQ62" s="40" t="n"/>
      <c r="AR62" s="40" t="n"/>
      <c r="AS62" s="40" t="n"/>
      <c r="AT62" s="40" t="n"/>
      <c r="AU62" s="40" t="n"/>
      <c r="AV62" s="40" t="n"/>
      <c r="AW62" s="78" t="n"/>
      <c r="AX62" s="40" t="n"/>
      <c r="BC62" s="40" t="n"/>
    </row>
    <row r="63" ht="21.95" customFormat="1" customHeight="1" s="3">
      <c r="C63" s="40" t="n"/>
      <c r="D63" s="40" t="n"/>
      <c r="E63" s="40" t="n"/>
      <c r="F63" s="40" t="n"/>
      <c r="G63" s="40" t="n"/>
      <c r="I63" s="3" t="inlineStr">
        <is>
          <t>【AL=年假】【SH=法定假】【NSH=無薪法定假】【NP=無薪假期】【RD=例假】【SL=病假】【NC=非合約期】【ND=休班】【EC=工傷休假】</t>
        </is>
      </c>
      <c r="O63" s="40" t="n"/>
      <c r="R63" s="85" t="n"/>
      <c r="AN63" s="40" t="n"/>
      <c r="AO63" s="40" t="n"/>
      <c r="AP63" s="40" t="n"/>
      <c r="AQ63" s="40" t="n"/>
      <c r="AR63" s="40" t="n"/>
      <c r="AS63" s="40" t="n"/>
      <c r="AT63" s="40" t="n"/>
      <c r="AU63" s="40" t="n"/>
      <c r="AV63" s="40" t="n"/>
      <c r="AW63" s="78" t="n"/>
      <c r="AX63" s="40" t="n"/>
      <c r="BC63" s="40" t="n"/>
    </row>
    <row r="64" ht="21.95" customHeight="1" s="506">
      <c r="B64" s="80" t="n"/>
      <c r="C64" s="81" t="n"/>
      <c r="D64" s="40" t="n"/>
      <c r="E64" s="40" t="n"/>
      <c r="F64" s="40" t="n"/>
      <c r="G64" s="40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85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</row>
    <row r="65" ht="21.95" customFormat="1" customHeight="1" s="3">
      <c r="B65" s="80" t="n"/>
      <c r="C65" s="502" t="n"/>
      <c r="E65" s="40" t="n"/>
      <c r="F65" s="82" t="n"/>
      <c r="G65" s="83" t="n"/>
      <c r="AH65" s="84" t="n"/>
      <c r="AI65" s="85" t="n"/>
      <c r="AP65" s="40" t="n"/>
      <c r="AQ65" s="40" t="n"/>
      <c r="AR65" s="40" t="n"/>
      <c r="AS65" s="40" t="n"/>
      <c r="AT65" s="40" t="n"/>
      <c r="AU65" s="40" t="n"/>
      <c r="AV65" s="40" t="n"/>
      <c r="AW65" s="78" t="n"/>
      <c r="BC65" s="40" t="n"/>
    </row>
    <row r="66" ht="21.95" customFormat="1" customHeight="1" s="3">
      <c r="C66" s="40" t="n"/>
      <c r="D66" s="40" t="n"/>
      <c r="E66" s="40" t="n"/>
      <c r="F66" s="82" t="n"/>
      <c r="G66" s="78" t="n"/>
      <c r="AP66" s="40" t="n"/>
      <c r="AQ66" s="40" t="n"/>
      <c r="AR66" s="40" t="n"/>
      <c r="AS66" s="40" t="n"/>
      <c r="AT66" s="40" t="n"/>
      <c r="AU66" s="40" t="n"/>
      <c r="AV66" s="40" t="n"/>
      <c r="AW66" s="78" t="n"/>
      <c r="BC66" s="40" t="n"/>
    </row>
    <row r="67" ht="21.95" customFormat="1" customHeight="1" s="3">
      <c r="C67" s="40" t="n"/>
      <c r="E67" s="40" t="n"/>
      <c r="F67" s="40" t="n"/>
      <c r="G67" s="40" t="n"/>
      <c r="H67" s="40" t="n"/>
      <c r="I67" s="40" t="n"/>
      <c r="J67" s="40" t="n"/>
      <c r="AN67" s="40" t="n"/>
      <c r="AO67" s="40" t="n"/>
      <c r="AP67" s="40" t="n"/>
      <c r="AQ67" s="40" t="n"/>
      <c r="AR67" s="40" t="n"/>
      <c r="AS67" s="40" t="n"/>
      <c r="AT67" s="40" t="n"/>
      <c r="AU67" s="40" t="n"/>
      <c r="AV67" s="40" t="n"/>
      <c r="AW67" s="78" t="n"/>
      <c r="BC67" s="40" t="n"/>
    </row>
    <row r="68" ht="21.95" customFormat="1" customHeight="1" s="3">
      <c r="C68" s="40" t="n"/>
      <c r="E68" s="40" t="n"/>
      <c r="F68" s="40" t="n"/>
      <c r="G68" s="40" t="n"/>
      <c r="H68" s="40" t="n"/>
      <c r="AN68" s="40" t="n"/>
      <c r="AO68" s="40" t="n"/>
      <c r="AP68" s="40" t="n"/>
      <c r="AQ68" s="40" t="n"/>
      <c r="AR68" s="40" t="n"/>
      <c r="AS68" s="40" t="n"/>
      <c r="AT68" s="40" t="n"/>
      <c r="AU68" s="40" t="n"/>
      <c r="AV68" s="40" t="n"/>
      <c r="AW68" s="78" t="n"/>
      <c r="BC68" s="40" t="n"/>
    </row>
    <row r="69" ht="21.95" customHeight="1" s="506">
      <c r="D69" s="4" t="n"/>
      <c r="H69" s="2" t="n"/>
      <c r="I69" s="2" t="n"/>
      <c r="J69" s="2" t="n"/>
      <c r="AH69" s="84" t="n"/>
      <c r="AN69" s="4" t="n"/>
      <c r="AO69" s="4" t="n"/>
    </row>
    <row r="70" ht="21.95" customHeight="1" s="506">
      <c r="AN70" s="4" t="n"/>
      <c r="AO70" s="4" t="n"/>
    </row>
    <row r="71" ht="21.95" customHeight="1" s="506"/>
    <row r="72" ht="21.95" customHeight="1" s="506"/>
    <row r="73" ht="21.95" customHeight="1" s="506">
      <c r="AH73" s="84" t="n"/>
      <c r="AI73" s="86" t="n"/>
      <c r="AN73" s="4" t="n"/>
      <c r="AO73" s="4" t="n"/>
    </row>
    <row r="74" ht="21.95" customHeight="1" s="506">
      <c r="T74" s="4" t="inlineStr">
        <is>
          <t xml:space="preserve"> </t>
        </is>
      </c>
    </row>
    <row r="75" ht="21.95" customHeight="1" s="506"/>
    <row r="76" ht="21.95" customHeight="1" s="506"/>
    <row r="77" ht="21.95" customHeight="1" s="506"/>
    <row r="78" ht="21.95" customHeight="1" s="506"/>
    <row r="79" ht="21.95" customHeight="1" s="506"/>
    <row r="80" ht="21.95" customHeight="1" s="506"/>
    <row r="81" ht="21.95" customHeight="1" s="506"/>
    <row r="82" ht="21.95" customHeight="1" s="506"/>
    <row r="83" ht="21.95" customHeight="1" s="506"/>
    <row r="84" ht="21.95" customHeight="1" s="506"/>
    <row r="85" ht="21.95" customHeight="1" s="506"/>
    <row r="86" ht="21.95" customHeight="1" s="506"/>
    <row r="87" ht="21.95" customHeight="1" s="506"/>
    <row r="88" ht="21.95" customHeight="1" s="506"/>
    <row r="89" ht="21.95" customHeight="1" s="506"/>
    <row r="90" ht="21.95" customHeight="1" s="506"/>
    <row r="91" ht="21.95" customHeight="1" s="506"/>
    <row r="92" ht="21.95" customHeight="1" s="506"/>
    <row r="93" ht="21.95" customHeight="1" s="506"/>
    <row r="94" ht="21.95" customHeight="1" s="506"/>
    <row r="95" ht="21.95" customHeight="1" s="506"/>
    <row r="96" ht="21.95" customHeight="1" s="506"/>
    <row r="97" ht="21.95" customHeight="1" s="506"/>
    <row r="98" ht="21.95" customHeight="1" s="506"/>
    <row r="99" ht="21.95" customHeight="1" s="506"/>
    <row r="100" ht="21.95" customHeight="1" s="506"/>
    <row r="101" ht="21.95" customHeight="1" s="506"/>
    <row r="102" ht="21.95" customHeight="1" s="506"/>
    <row r="103" ht="21.95" customHeight="1" s="506"/>
    <row r="104" ht="21.95" customHeight="1" s="506"/>
    <row r="105" ht="21.95" customHeight="1" s="506"/>
    <row r="106" ht="21.95" customHeight="1" s="506"/>
    <row r="107" ht="21.95" customHeight="1" s="506"/>
    <row r="108" ht="21.95" customHeight="1" s="506"/>
    <row r="109" ht="21.95" customHeight="1" s="506"/>
    <row r="110" ht="21.95" customHeight="1" s="506"/>
    <row r="111" ht="21.95" customHeight="1" s="506"/>
    <row r="112" ht="21.95" customHeight="1" s="506"/>
    <row r="113" ht="21.95" customHeight="1" s="506"/>
    <row r="114" ht="21.95" customHeight="1" s="506"/>
    <row r="115" ht="21.95" customHeight="1" s="506"/>
    <row r="116" ht="21.95" customHeight="1" s="506"/>
    <row r="117" ht="21.95" customHeight="1" s="506"/>
  </sheetData>
  <mergeCells count="26">
    <mergeCell ref="B60:D60"/>
    <mergeCell ref="B57:D57"/>
    <mergeCell ref="AI62:AL62"/>
    <mergeCell ref="B17:D17"/>
    <mergeCell ref="B53:D53"/>
    <mergeCell ref="C65:D65"/>
    <mergeCell ref="D49:H49"/>
    <mergeCell ref="B15:D15"/>
    <mergeCell ref="B55:D55"/>
    <mergeCell ref="B51:D51"/>
    <mergeCell ref="B4:AO4"/>
    <mergeCell ref="B50:D50"/>
    <mergeCell ref="B3:AO3"/>
    <mergeCell ref="AO6:AO7"/>
    <mergeCell ref="B49:C49"/>
    <mergeCell ref="B54:D54"/>
    <mergeCell ref="B16:D16"/>
    <mergeCell ref="BC6:BC7"/>
    <mergeCell ref="B59:D59"/>
    <mergeCell ref="B2:AO2"/>
    <mergeCell ref="AA62:AB62"/>
    <mergeCell ref="B56:D56"/>
    <mergeCell ref="B58:D58"/>
    <mergeCell ref="B52:D52"/>
    <mergeCell ref="AN6:AN7"/>
    <mergeCell ref="B1:AO1"/>
  </mergeCells>
  <conditionalFormatting sqref="B1:B2">
    <cfRule type="cellIs" priority="1754" operator="equal" dxfId="1753" stopIfTrue="1">
      <formula>"NC"</formula>
    </cfRule>
    <cfRule type="cellIs" priority="1755" operator="equal" dxfId="1752" stopIfTrue="1">
      <formula>"R"</formula>
    </cfRule>
    <cfRule type="cellIs" priority="1756" operator="equal" dxfId="1731" stopIfTrue="1">
      <formula>"RD"</formula>
    </cfRule>
  </conditionalFormatting>
  <conditionalFormatting sqref="I10">
    <cfRule type="cellIs" priority="1689" operator="equal" dxfId="11">
      <formula>"GS"</formula>
    </cfRule>
    <cfRule type="cellIs" priority="1690" operator="equal" dxfId="10" stopIfTrue="1">
      <formula>"SR"</formula>
    </cfRule>
    <cfRule type="cellIs" priority="1691" operator="equal" dxfId="9" stopIfTrue="1">
      <formula>"SG"</formula>
    </cfRule>
    <cfRule type="expression" priority="1692" dxfId="8" stopIfTrue="1">
      <formula>NOT(ISERROR(SEARCH("AL",I10)))</formula>
    </cfRule>
  </conditionalFormatting>
  <conditionalFormatting sqref="I11">
    <cfRule type="cellIs" priority="23" operator="equal" dxfId="1645">
      <formula>"NSH"</formula>
    </cfRule>
    <cfRule type="containsText" priority="24" operator="containsText" dxfId="74" text="G">
      <formula>NOT(ISERROR(SEARCH("G",I11)))</formula>
    </cfRule>
    <cfRule type="cellIs" priority="25" operator="equal" dxfId="11">
      <formula>"SEC"</formula>
    </cfRule>
    <cfRule type="cellIs" priority="26" operator="equal" dxfId="9" stopIfTrue="1">
      <formula>"SG"</formula>
    </cfRule>
    <cfRule type="cellIs" priority="27" operator="equal" dxfId="9" stopIfTrue="1">
      <formula>"GS"</formula>
    </cfRule>
    <cfRule type="cellIs" priority="28" operator="equal" dxfId="1633">
      <formula>"NSH"</formula>
    </cfRule>
    <cfRule type="containsText" priority="29" operator="containsText" dxfId="74" text="WTT">
      <formula>NOT(ISERROR(SEARCH("WTT",I11)))</formula>
    </cfRule>
    <cfRule type="containsText" priority="30" operator="containsText" dxfId="1644" text="RD">
      <formula>NOT(ISERROR(SEARCH("RD",I11)))</formula>
    </cfRule>
    <cfRule type="containsText" priority="31" operator="containsText" dxfId="1633" text="NP">
      <formula>NOT(ISERROR(SEARCH("NP",I11)))</formula>
    </cfRule>
    <cfRule type="containsText" priority="32" operator="containsText" dxfId="74" text="GS">
      <formula>NOT(ISERROR(SEARCH("GS",I11)))</formula>
    </cfRule>
    <cfRule type="containsText" priority="33" operator="containsText" dxfId="74" text="SEC">
      <formula>NOT(ISERROR(SEARCH("SEC",I11)))</formula>
    </cfRule>
    <cfRule type="containsText" priority="34" operator="containsText" dxfId="74" text="FS">
      <formula>NOT(ISERROR(SEARCH("FS",I11)))</formula>
    </cfRule>
    <cfRule type="containsText" priority="35" operator="containsText" dxfId="74" text="FH">
      <formula>NOT(ISERROR(SEARCH("FH",I11)))</formula>
    </cfRule>
    <cfRule type="containsText" priority="36" operator="containsText" dxfId="1639" text="RD">
      <formula>NOT(ISERROR(SEARCH("RD",I11)))</formula>
    </cfRule>
    <cfRule type="containsText" priority="37" operator="containsText" dxfId="1633" text="SHNP">
      <formula>NOT(ISERROR(SEARCH("SHNP",I11)))</formula>
    </cfRule>
    <cfRule type="cellIs" priority="38" operator="equal" dxfId="1731" stopIfTrue="1">
      <formula>"CL"</formula>
    </cfRule>
  </conditionalFormatting>
  <conditionalFormatting sqref="I20 I21:N21 K20:M20 O20 P21 R20:W20 R21:AM21 Y20:AA20 AC20:AD20 AF20:AK20 AM20">
    <cfRule type="cellIs" priority="1657" operator="equal" dxfId="10" stopIfTrue="1">
      <formula>"SR"</formula>
    </cfRule>
    <cfRule type="cellIs" priority="1658" operator="equal" dxfId="9" stopIfTrue="1">
      <formula>"SG"</formula>
    </cfRule>
    <cfRule type="expression" priority="1659" dxfId="8" stopIfTrue="1">
      <formula>NOT(ISERROR(SEARCH("AL",I20)))</formula>
    </cfRule>
    <cfRule type="cellIs" priority="1656" operator="equal" dxfId="11">
      <formula>"SEC"</formula>
    </cfRule>
    <cfRule type="cellIs" priority="1733" operator="equal" dxfId="11">
      <formula>"GS"</formula>
    </cfRule>
  </conditionalFormatting>
  <conditionalFormatting sqref="I20 K20:M20 O20 R20:W20 Y20:AA20 AC20:AD20 AF20:AK20 AM20">
    <cfRule type="cellIs" priority="1827" operator="equal" dxfId="10" stopIfTrue="1">
      <formula>"SR"</formula>
    </cfRule>
    <cfRule type="cellIs" priority="1828" operator="equal" dxfId="9" stopIfTrue="1">
      <formula>"SG"</formula>
    </cfRule>
    <cfRule type="expression" priority="1829" dxfId="8" stopIfTrue="1">
      <formula>NOT(ISERROR(SEARCH("AL",I20)))</formula>
    </cfRule>
  </conditionalFormatting>
  <conditionalFormatting sqref="I20">
    <cfRule type="cellIs" priority="1652" operator="equal" dxfId="11">
      <formula>"GS"</formula>
    </cfRule>
    <cfRule type="cellIs" priority="1653" operator="equal" dxfId="10" stopIfTrue="1">
      <formula>"SR"</formula>
    </cfRule>
    <cfRule type="cellIs" priority="1654" operator="equal" dxfId="9" stopIfTrue="1">
      <formula>"SG"</formula>
    </cfRule>
    <cfRule type="expression" priority="1655" dxfId="8" stopIfTrue="1">
      <formula>NOT(ISERROR(SEARCH("AL",I20)))</formula>
    </cfRule>
  </conditionalFormatting>
  <conditionalFormatting sqref="I27">
    <cfRule type="cellIs" priority="1323" operator="equal" dxfId="11">
      <formula>"GS"</formula>
    </cfRule>
    <cfRule type="cellIs" priority="1324" operator="equal" dxfId="10" stopIfTrue="1">
      <formula>"SR"</formula>
    </cfRule>
    <cfRule type="cellIs" priority="1325" operator="equal" dxfId="9" stopIfTrue="1">
      <formula>"SG"</formula>
    </cfRule>
    <cfRule type="expression" priority="1326" dxfId="8" stopIfTrue="1">
      <formula>NOT(ISERROR(SEARCH("AL",I27)))</formula>
    </cfRule>
    <cfRule type="cellIs" priority="1327" operator="equal" dxfId="11">
      <formula>"SEC"</formula>
    </cfRule>
    <cfRule type="cellIs" priority="1328" operator="equal" dxfId="10" stopIfTrue="1">
      <formula>"SR"</formula>
    </cfRule>
    <cfRule type="cellIs" priority="1329" operator="equal" dxfId="9" stopIfTrue="1">
      <formula>"SG"</formula>
    </cfRule>
    <cfRule type="expression" priority="1330" dxfId="8" stopIfTrue="1">
      <formula>NOT(ISERROR(SEARCH("AL",I27)))</formula>
    </cfRule>
    <cfRule type="expression" priority="1331" dxfId="2" stopIfTrue="1">
      <formula>NOT(ISERROR(SEARCH("SEC",I27)))</formula>
    </cfRule>
    <cfRule type="cellIs" priority="1332" operator="equal" dxfId="11">
      <formula>"GS"</formula>
    </cfRule>
    <cfRule type="expression" priority="1333" dxfId="6" stopIfTrue="1">
      <formula>NOT(ISERROR(SEARCH("SL",I27)))</formula>
    </cfRule>
    <cfRule type="expression" priority="1334" dxfId="2" stopIfTrue="1">
      <formula>NOT(ISERROR(SEARCH("NP",I27)))</formula>
    </cfRule>
    <cfRule type="expression" priority="1335" dxfId="4" stopIfTrue="1">
      <formula>NOT(ISERROR(SEARCH("SH",I27)))</formula>
    </cfRule>
    <cfRule type="expression" priority="1336" dxfId="2" stopIfTrue="1">
      <formula>NOT(ISERROR(SEARCH("WTT",I27)))</formula>
    </cfRule>
  </conditionalFormatting>
  <conditionalFormatting sqref="I29">
    <cfRule type="cellIs" priority="1210" operator="equal" dxfId="11">
      <formula>"GS"</formula>
    </cfRule>
    <cfRule type="cellIs" priority="1211" operator="equal" dxfId="10" stopIfTrue="1">
      <formula>"SR"</formula>
    </cfRule>
    <cfRule type="cellIs" priority="1212" operator="equal" dxfId="9" stopIfTrue="1">
      <formula>"SG"</formula>
    </cfRule>
    <cfRule type="expression" priority="1213" dxfId="8" stopIfTrue="1">
      <formula>NOT(ISERROR(SEARCH("AL",I29)))</formula>
    </cfRule>
    <cfRule type="cellIs" priority="1214" operator="equal" dxfId="11">
      <formula>"SEC"</formula>
    </cfRule>
    <cfRule type="cellIs" priority="1215" operator="equal" dxfId="10" stopIfTrue="1">
      <formula>"SR"</formula>
    </cfRule>
    <cfRule type="cellIs" priority="1216" operator="equal" dxfId="9" stopIfTrue="1">
      <formula>"SG"</formula>
    </cfRule>
    <cfRule type="expression" priority="1217" dxfId="8" stopIfTrue="1">
      <formula>NOT(ISERROR(SEARCH("AL",I29)))</formula>
    </cfRule>
    <cfRule type="expression" priority="1218" dxfId="2" stopIfTrue="1">
      <formula>NOT(ISERROR(SEARCH("SEC",I29)))</formula>
    </cfRule>
    <cfRule type="cellIs" priority="1219" operator="equal" dxfId="11">
      <formula>"GS"</formula>
    </cfRule>
    <cfRule type="expression" priority="1220" dxfId="6" stopIfTrue="1">
      <formula>NOT(ISERROR(SEARCH("SL",I29)))</formula>
    </cfRule>
    <cfRule type="expression" priority="1221" dxfId="2" stopIfTrue="1">
      <formula>NOT(ISERROR(SEARCH("NP",I29)))</formula>
    </cfRule>
    <cfRule type="expression" priority="1222" dxfId="4" stopIfTrue="1">
      <formula>NOT(ISERROR(SEARCH("SH",I29)))</formula>
    </cfRule>
    <cfRule type="expression" priority="1223" dxfId="2" stopIfTrue="1">
      <formula>NOT(ISERROR(SEARCH("WTT",I29)))</formula>
    </cfRule>
    <cfRule type="expression" priority="1224" dxfId="2" stopIfTrue="1">
      <formula>NOT(ISERROR(SEARCH("FH",I29)))</formula>
    </cfRule>
  </conditionalFormatting>
  <conditionalFormatting sqref="I33">
    <cfRule type="cellIs" priority="955" operator="equal" dxfId="11">
      <formula>"GS"</formula>
    </cfRule>
    <cfRule type="cellIs" priority="956" operator="equal" dxfId="10" stopIfTrue="1">
      <formula>"SR"</formula>
    </cfRule>
    <cfRule type="cellIs" priority="957" operator="equal" dxfId="9" stopIfTrue="1">
      <formula>"SG"</formula>
    </cfRule>
    <cfRule type="expression" priority="958" dxfId="8" stopIfTrue="1">
      <formula>NOT(ISERROR(SEARCH("AL",I33)))</formula>
    </cfRule>
    <cfRule type="cellIs" priority="959" operator="equal" dxfId="11">
      <formula>"SEC"</formula>
    </cfRule>
    <cfRule type="cellIs" priority="960" operator="equal" dxfId="10" stopIfTrue="1">
      <formula>"SR"</formula>
    </cfRule>
    <cfRule type="cellIs" priority="961" operator="equal" dxfId="9" stopIfTrue="1">
      <formula>"SG"</formula>
    </cfRule>
    <cfRule type="expression" priority="962" dxfId="8" stopIfTrue="1">
      <formula>NOT(ISERROR(SEARCH("AL",I33)))</formula>
    </cfRule>
    <cfRule type="expression" priority="963" dxfId="2" stopIfTrue="1">
      <formula>NOT(ISERROR(SEARCH("SEC",I33)))</formula>
    </cfRule>
    <cfRule type="cellIs" priority="964" operator="equal" dxfId="11">
      <formula>"GS"</formula>
    </cfRule>
    <cfRule type="expression" priority="965" dxfId="6" stopIfTrue="1">
      <formula>NOT(ISERROR(SEARCH("SL",I33)))</formula>
    </cfRule>
    <cfRule type="expression" priority="966" dxfId="2" stopIfTrue="1">
      <formula>NOT(ISERROR(SEARCH("NP",I33)))</formula>
    </cfRule>
    <cfRule type="expression" priority="967" dxfId="4" stopIfTrue="1">
      <formula>NOT(ISERROR(SEARCH("SH",I33)))</formula>
    </cfRule>
    <cfRule type="expression" priority="968" dxfId="2" stopIfTrue="1">
      <formula>NOT(ISERROR(SEARCH("WTT",I33)))</formula>
    </cfRule>
    <cfRule type="expression" priority="969" dxfId="2" stopIfTrue="1">
      <formula>NOT(ISERROR(SEARCH("FH",I33)))</formula>
    </cfRule>
  </conditionalFormatting>
  <conditionalFormatting sqref="I43">
    <cfRule type="cellIs" priority="368" operator="equal" dxfId="11">
      <formula>"GS"</formula>
    </cfRule>
    <cfRule type="cellIs" priority="369" operator="equal" dxfId="10" stopIfTrue="1">
      <formula>"SR"</formula>
    </cfRule>
    <cfRule type="cellIs" priority="370" operator="equal" dxfId="9" stopIfTrue="1">
      <formula>"SG"</formula>
    </cfRule>
    <cfRule type="expression" priority="371" dxfId="8" stopIfTrue="1">
      <formula>NOT(ISERROR(SEARCH("AL",I43)))</formula>
    </cfRule>
    <cfRule type="cellIs" priority="372" operator="equal" dxfId="11">
      <formula>"SEC"</formula>
    </cfRule>
    <cfRule type="cellIs" priority="373" operator="equal" dxfId="10" stopIfTrue="1">
      <formula>"SR"</formula>
    </cfRule>
    <cfRule type="cellIs" priority="374" operator="equal" dxfId="9" stopIfTrue="1">
      <formula>"SG"</formula>
    </cfRule>
    <cfRule type="expression" priority="375" dxfId="8" stopIfTrue="1">
      <formula>NOT(ISERROR(SEARCH("AL",I43)))</formula>
    </cfRule>
    <cfRule type="expression" priority="376" dxfId="2" stopIfTrue="1">
      <formula>NOT(ISERROR(SEARCH("SEC",I43)))</formula>
    </cfRule>
    <cfRule type="cellIs" priority="377" operator="equal" dxfId="11">
      <formula>"GS"</formula>
    </cfRule>
    <cfRule type="expression" priority="378" dxfId="6" stopIfTrue="1">
      <formula>NOT(ISERROR(SEARCH("SL",I43)))</formula>
    </cfRule>
    <cfRule type="expression" priority="379" dxfId="2" stopIfTrue="1">
      <formula>NOT(ISERROR(SEARCH("NP",I43)))</formula>
    </cfRule>
    <cfRule type="expression" priority="380" dxfId="4" stopIfTrue="1">
      <formula>NOT(ISERROR(SEARCH("SH",I43)))</formula>
    </cfRule>
    <cfRule type="expression" priority="381" dxfId="2" stopIfTrue="1">
      <formula>NOT(ISERROR(SEARCH("WTT",I43)))</formula>
    </cfRule>
    <cfRule type="expression" priority="382" dxfId="2" stopIfTrue="1">
      <formula>NOT(ISERROR(SEARCH("FH",I43)))</formula>
    </cfRule>
  </conditionalFormatting>
  <conditionalFormatting sqref="I63">
    <cfRule type="cellIs" priority="41" operator="equal" dxfId="1660">
      <formula>"NP"</formula>
    </cfRule>
  </conditionalFormatting>
  <conditionalFormatting sqref="I21:J21">
    <cfRule type="cellIs" priority="1615" operator="equal" dxfId="10" stopIfTrue="1">
      <formula>"SR"</formula>
    </cfRule>
    <cfRule type="cellIs" priority="1616" operator="equal" dxfId="9" stopIfTrue="1">
      <formula>"SG"</formula>
    </cfRule>
    <cfRule type="expression" priority="1617" dxfId="8" stopIfTrue="1">
      <formula>NOT(ISERROR(SEARCH("AL",I21)))</formula>
    </cfRule>
  </conditionalFormatting>
  <conditionalFormatting sqref="I21:N21 P21 R21:AM21">
    <cfRule type="expression" priority="1660" dxfId="2" stopIfTrue="1">
      <formula>NOT(ISERROR(SEARCH("SEC",I21)))</formula>
    </cfRule>
    <cfRule type="expression" priority="1805" dxfId="6" stopIfTrue="1">
      <formula>NOT(ISERROR(SEARCH("SL",I21)))</formula>
    </cfRule>
    <cfRule type="expression" priority="1806" dxfId="2" stopIfTrue="1">
      <formula>NOT(ISERROR(SEARCH("NP",I21)))</formula>
    </cfRule>
    <cfRule type="expression" priority="1807" dxfId="4" stopIfTrue="1">
      <formula>NOT(ISERROR(SEARCH("SH",I21)))</formula>
    </cfRule>
  </conditionalFormatting>
  <conditionalFormatting sqref="I36:S48 S46:T46 T37:AM40 T42:AF42 T43:AL44 T45:X46 T48:AF48 Y45:Y47 Z45:AE46 AE41:AH41 AF45:AF47 AG41:AG42 AG45:AI48 AH42:AK42 AJ45:AL46 AJ47:AK48 AL41:AL42 AL48:AM48 AM41:AM47">
    <cfRule type="cellIs" priority="1760" operator="equal" dxfId="9" stopIfTrue="1">
      <formula>"OTN"</formula>
    </cfRule>
  </conditionalFormatting>
  <conditionalFormatting sqref="I12:AL19 AM15:AM17">
    <cfRule type="cellIs" priority="1761" operator="equal" dxfId="10" stopIfTrue="1">
      <formula>"SR"</formula>
    </cfRule>
    <cfRule type="cellIs" priority="1762" operator="equal" dxfId="9" stopIfTrue="1">
      <formula>"SG"</formula>
    </cfRule>
    <cfRule type="expression" priority="1763" dxfId="9" stopIfTrue="1">
      <formula>NOT(ISERROR(SEARCH("AL",I12)))</formula>
    </cfRule>
  </conditionalFormatting>
  <conditionalFormatting sqref="I6:AM7">
    <cfRule type="expression" priority="1764" dxfId="1646" stopIfTrue="1">
      <formula>LEFT(#REF!,1)="H"</formula>
    </cfRule>
    <cfRule type="expression" priority="1765" dxfId="1646" stopIfTrue="1">
      <formula>WEEKDAY(I$6,2)&gt;6</formula>
    </cfRule>
  </conditionalFormatting>
  <conditionalFormatting sqref="I8:AM9 I10:J10 I12:AM19 I20 I21:N21 I22:AM48 K11 K20:M20 N10:Q10 O11 O20 P21 Q11 R20:W20 R21:AM21 S11:V11 W10:X10 Y20:AA20 AB10 AC20:AD20 AD10:AE10 AF20:AK20 AG11 AK10:AL10 AM20">
    <cfRule type="cellIs" priority="40" operator="equal" dxfId="1645">
      <formula>"NSH"</formula>
    </cfRule>
    <cfRule type="containsText" priority="1744" operator="containsText" dxfId="1644" text="RD">
      <formula>NOT(ISERROR(SEARCH("RD",I8)))</formula>
    </cfRule>
    <cfRule type="containsText" priority="1745" operator="containsText" dxfId="74" text="SEC">
      <formula>NOT(ISERROR(SEARCH("SEC",I8)))</formula>
    </cfRule>
    <cfRule type="containsText" priority="1746" operator="containsText" dxfId="74" text="GS">
      <formula>NOT(ISERROR(SEARCH("GS",I8)))</formula>
    </cfRule>
    <cfRule type="containsText" priority="1747" operator="containsText" dxfId="74" text="WTT">
      <formula>NOT(ISERROR(SEARCH("WTT",I8)))</formula>
    </cfRule>
    <cfRule type="containsText" priority="1748" operator="containsText" dxfId="74" text="FH">
      <formula>NOT(ISERROR(SEARCH("FH",I8)))</formula>
    </cfRule>
    <cfRule type="containsText" priority="1749" operator="containsText" dxfId="1639" text="RD">
      <formula>NOT(ISERROR(SEARCH("RD",I8)))</formula>
    </cfRule>
    <cfRule type="containsText" priority="1750" operator="containsText" dxfId="1633" text="NP">
      <formula>NOT(ISERROR(SEARCH("NP",I8)))</formula>
    </cfRule>
  </conditionalFormatting>
  <conditionalFormatting sqref="I8:AM9 I10:J10 K11 N10:Q10 O11 Q11 S11:V11 W10:X10 AB10 AD10:AE10 AG11 AK10:AL10">
    <cfRule type="cellIs" priority="1766" operator="equal" dxfId="10" stopIfTrue="1">
      <formula>"SR"</formula>
    </cfRule>
    <cfRule type="cellIs" priority="1767" operator="equal" dxfId="9" stopIfTrue="1">
      <formula>"SG"</formula>
    </cfRule>
    <cfRule type="expression" priority="1768" dxfId="8" stopIfTrue="1">
      <formula>NOT(ISERROR(SEARCH("AL",I8)))</formula>
    </cfRule>
  </conditionalFormatting>
  <conditionalFormatting sqref="I8:AM9 I10:J10 I20 I21:N21 I22:AM48 K11 K20:M20 N10:Q10 O11 O20 P21 Q11 R20:W20 R21:AM21 S11:V11 W10:X10 Y20:AA20 AB10 AC20:AD20 AD10:AE10 AF20:AK20 AG11 AK10:AL10 AM20">
    <cfRule type="cellIs" priority="1721" operator="equal" dxfId="11">
      <formula>"G"</formula>
    </cfRule>
    <cfRule type="cellIs" priority="1722" operator="equal" dxfId="1633">
      <formula>"NSH"</formula>
    </cfRule>
  </conditionalFormatting>
  <conditionalFormatting sqref="I9:AM9 I10:J10 I12:AM13 K11 N10:Q10 O11 Q11 S11:V11 W10:X10 AB10 AD10:AE10 AG11 AK10:AL10">
    <cfRule type="cellIs" priority="1734" operator="equal" dxfId="11">
      <formula>"SEC"</formula>
    </cfRule>
  </conditionalFormatting>
  <conditionalFormatting sqref="I22:AM48">
    <cfRule type="cellIs" priority="1588" operator="equal" dxfId="10" stopIfTrue="1">
      <formula>"SR"</formula>
    </cfRule>
    <cfRule type="cellIs" priority="1589" operator="equal" dxfId="9" stopIfTrue="1">
      <formula>"SG"</formula>
    </cfRule>
    <cfRule type="expression" priority="1590" dxfId="8" stopIfTrue="1">
      <formula>NOT(ISERROR(SEARCH("AL",I22)))</formula>
    </cfRule>
    <cfRule type="cellIs" priority="1591" operator="equal" dxfId="11">
      <formula>"SEC"</formula>
    </cfRule>
    <cfRule type="cellIs" priority="1592" operator="equal" dxfId="10" stopIfTrue="1">
      <formula>"SR"</formula>
    </cfRule>
    <cfRule type="cellIs" priority="1593" operator="equal" dxfId="9" stopIfTrue="1">
      <formula>"SG"</formula>
    </cfRule>
    <cfRule type="expression" priority="1594" dxfId="8" stopIfTrue="1">
      <formula>NOT(ISERROR(SEARCH("AL",I22)))</formula>
    </cfRule>
    <cfRule type="expression" priority="1595" dxfId="2" stopIfTrue="1">
      <formula>NOT(ISERROR(SEARCH("SEC",I22)))</formula>
    </cfRule>
    <cfRule type="cellIs" priority="1596" operator="equal" dxfId="11">
      <formula>"GS"</formula>
    </cfRule>
    <cfRule type="expression" priority="1597" dxfId="6" stopIfTrue="1">
      <formula>NOT(ISERROR(SEARCH("SL",I22)))</formula>
    </cfRule>
    <cfRule type="expression" priority="1598" dxfId="2" stopIfTrue="1">
      <formula>NOT(ISERROR(SEARCH("NP",I22)))</formula>
    </cfRule>
    <cfRule type="expression" priority="1599" dxfId="4" stopIfTrue="1">
      <formula>NOT(ISERROR(SEARCH("SH",I22)))</formula>
    </cfRule>
  </conditionalFormatting>
  <conditionalFormatting sqref="I24:AM25">
    <cfRule type="expression" priority="1774" dxfId="2" stopIfTrue="1">
      <formula>NOT(ISERROR(SEARCH("WTT",I24)))</formula>
    </cfRule>
  </conditionalFormatting>
  <conditionalFormatting sqref="I27:AM28">
    <cfRule type="expression" priority="1781" dxfId="2" stopIfTrue="1">
      <formula>NOT(ISERROR(SEARCH("FH",I27)))</formula>
    </cfRule>
  </conditionalFormatting>
  <conditionalFormatting sqref="I41:AM41">
    <cfRule type="expression" priority="1823" dxfId="2" stopIfTrue="1">
      <formula>NOT(ISERROR(SEARCH("FH",I41)))</formula>
    </cfRule>
  </conditionalFormatting>
  <conditionalFormatting sqref="J9">
    <cfRule type="cellIs" priority="1709" operator="equal" dxfId="11">
      <formula>"GS"</formula>
    </cfRule>
    <cfRule type="cellIs" priority="1710" operator="equal" dxfId="10" stopIfTrue="1">
      <formula>"SR"</formula>
    </cfRule>
    <cfRule type="cellIs" priority="1711" operator="equal" dxfId="9" stopIfTrue="1">
      <formula>"SG"</formula>
    </cfRule>
    <cfRule type="expression" priority="1712" dxfId="8" stopIfTrue="1">
      <formula>NOT(ISERROR(SEARCH("AL",J9)))</formula>
    </cfRule>
  </conditionalFormatting>
  <conditionalFormatting sqref="J11">
    <cfRule type="containsText" priority="22" operator="containsText" dxfId="74" text="G">
      <formula>NOT(ISERROR(SEARCH("G",J11)))</formula>
    </cfRule>
  </conditionalFormatting>
  <conditionalFormatting sqref="J20">
    <cfRule type="containsText" priority="10" operator="containsText" dxfId="74" text="G">
      <formula>NOT(ISERROR(SEARCH("G",J20)))</formula>
    </cfRule>
  </conditionalFormatting>
  <conditionalFormatting sqref="J30">
    <cfRule type="cellIs" priority="1135" operator="equal" dxfId="11">
      <formula>"GS"</formula>
    </cfRule>
    <cfRule type="cellIs" priority="1136" operator="equal" dxfId="10" stopIfTrue="1">
      <formula>"SR"</formula>
    </cfRule>
    <cfRule type="cellIs" priority="1137" operator="equal" dxfId="9" stopIfTrue="1">
      <formula>"SG"</formula>
    </cfRule>
    <cfRule type="expression" priority="1138" dxfId="8" stopIfTrue="1">
      <formula>NOT(ISERROR(SEARCH("AL",J30)))</formula>
    </cfRule>
    <cfRule type="cellIs" priority="1139" operator="equal" dxfId="11">
      <formula>"SEC"</formula>
    </cfRule>
    <cfRule type="cellIs" priority="1140" operator="equal" dxfId="10" stopIfTrue="1">
      <formula>"SR"</formula>
    </cfRule>
    <cfRule type="cellIs" priority="1141" operator="equal" dxfId="9" stopIfTrue="1">
      <formula>"SG"</formula>
    </cfRule>
    <cfRule type="expression" priority="1142" dxfId="8" stopIfTrue="1">
      <formula>NOT(ISERROR(SEARCH("AL",J30)))</formula>
    </cfRule>
    <cfRule type="expression" priority="1143" dxfId="2" stopIfTrue="1">
      <formula>NOT(ISERROR(SEARCH("SEC",J30)))</formula>
    </cfRule>
    <cfRule type="cellIs" priority="1144" operator="equal" dxfId="11">
      <formula>"GS"</formula>
    </cfRule>
    <cfRule type="expression" priority="1145" dxfId="6" stopIfTrue="1">
      <formula>NOT(ISERROR(SEARCH("SL",J30)))</formula>
    </cfRule>
    <cfRule type="expression" priority="1146" dxfId="2" stopIfTrue="1">
      <formula>NOT(ISERROR(SEARCH("NP",J30)))</formula>
    </cfRule>
    <cfRule type="expression" priority="1147" dxfId="4" stopIfTrue="1">
      <formula>NOT(ISERROR(SEARCH("SH",J30)))</formula>
    </cfRule>
    <cfRule type="expression" priority="1148" dxfId="2" stopIfTrue="1">
      <formula>NOT(ISERROR(SEARCH("WTT",J30)))</formula>
    </cfRule>
    <cfRule type="expression" priority="1149" dxfId="2" stopIfTrue="1">
      <formula>NOT(ISERROR(SEARCH("FH",J30)))</formula>
    </cfRule>
  </conditionalFormatting>
  <conditionalFormatting sqref="J32">
    <cfRule type="cellIs" priority="1015" operator="equal" dxfId="11">
      <formula>"GS"</formula>
    </cfRule>
    <cfRule type="cellIs" priority="1016" operator="equal" dxfId="10" stopIfTrue="1">
      <formula>"SR"</formula>
    </cfRule>
    <cfRule type="cellIs" priority="1017" operator="equal" dxfId="9" stopIfTrue="1">
      <formula>"SG"</formula>
    </cfRule>
    <cfRule type="expression" priority="1018" dxfId="8" stopIfTrue="1">
      <formula>NOT(ISERROR(SEARCH("AL",J32)))</formula>
    </cfRule>
    <cfRule type="cellIs" priority="1019" operator="equal" dxfId="11">
      <formula>"SEC"</formula>
    </cfRule>
    <cfRule type="cellIs" priority="1020" operator="equal" dxfId="10" stopIfTrue="1">
      <formula>"SR"</formula>
    </cfRule>
    <cfRule type="cellIs" priority="1021" operator="equal" dxfId="9" stopIfTrue="1">
      <formula>"SG"</formula>
    </cfRule>
    <cfRule type="expression" priority="1022" dxfId="8" stopIfTrue="1">
      <formula>NOT(ISERROR(SEARCH("AL",J32)))</formula>
    </cfRule>
    <cfRule type="expression" priority="1023" dxfId="2" stopIfTrue="1">
      <formula>NOT(ISERROR(SEARCH("SEC",J32)))</formula>
    </cfRule>
    <cfRule type="cellIs" priority="1024" operator="equal" dxfId="11">
      <formula>"GS"</formula>
    </cfRule>
    <cfRule type="expression" priority="1025" dxfId="6" stopIfTrue="1">
      <formula>NOT(ISERROR(SEARCH("SL",J32)))</formula>
    </cfRule>
    <cfRule type="expression" priority="1026" dxfId="2" stopIfTrue="1">
      <formula>NOT(ISERROR(SEARCH("NP",J32)))</formula>
    </cfRule>
    <cfRule type="expression" priority="1027" dxfId="4" stopIfTrue="1">
      <formula>NOT(ISERROR(SEARCH("SH",J32)))</formula>
    </cfRule>
    <cfRule type="expression" priority="1028" dxfId="2" stopIfTrue="1">
      <formula>NOT(ISERROR(SEARCH("WTT",J32)))</formula>
    </cfRule>
    <cfRule type="expression" priority="1029" dxfId="2" stopIfTrue="1">
      <formula>NOT(ISERROR(SEARCH("FH",J32)))</formula>
    </cfRule>
  </conditionalFormatting>
  <conditionalFormatting sqref="J24:K24">
    <cfRule type="cellIs" priority="1471" operator="equal" dxfId="11">
      <formula>"GS"</formula>
    </cfRule>
    <cfRule type="cellIs" priority="1472" operator="equal" dxfId="10" stopIfTrue="1">
      <formula>"SR"</formula>
    </cfRule>
    <cfRule type="cellIs" priority="1473" operator="equal" dxfId="9" stopIfTrue="1">
      <formula>"SG"</formula>
    </cfRule>
    <cfRule type="expression" priority="1474" dxfId="8" stopIfTrue="1">
      <formula>NOT(ISERROR(SEARCH("AL",J24)))</formula>
    </cfRule>
    <cfRule type="cellIs" priority="1475" operator="equal" dxfId="11">
      <formula>"SEC"</formula>
    </cfRule>
    <cfRule type="cellIs" priority="1476" operator="equal" dxfId="10" stopIfTrue="1">
      <formula>"SR"</formula>
    </cfRule>
    <cfRule type="cellIs" priority="1477" operator="equal" dxfId="9" stopIfTrue="1">
      <formula>"SG"</formula>
    </cfRule>
    <cfRule type="expression" priority="1478" dxfId="8" stopIfTrue="1">
      <formula>NOT(ISERROR(SEARCH("AL",J24)))</formula>
    </cfRule>
    <cfRule type="expression" priority="1479" dxfId="2" stopIfTrue="1">
      <formula>NOT(ISERROR(SEARCH("SEC",J24)))</formula>
    </cfRule>
    <cfRule type="cellIs" priority="1480" operator="equal" dxfId="11">
      <formula>"GS"</formula>
    </cfRule>
    <cfRule type="expression" priority="1481" dxfId="6" stopIfTrue="1">
      <formula>NOT(ISERROR(SEARCH("SL",J24)))</formula>
    </cfRule>
    <cfRule type="expression" priority="1482" dxfId="2" stopIfTrue="1">
      <formula>NOT(ISERROR(SEARCH("NP",J24)))</formula>
    </cfRule>
    <cfRule type="expression" priority="1483" dxfId="4" stopIfTrue="1">
      <formula>NOT(ISERROR(SEARCH("SH",J24)))</formula>
    </cfRule>
  </conditionalFormatting>
  <conditionalFormatting sqref="J47:K47">
    <cfRule type="cellIs" priority="158" operator="equal" dxfId="11">
      <formula>"GS"</formula>
    </cfRule>
    <cfRule type="cellIs" priority="159" operator="equal" dxfId="10" stopIfTrue="1">
      <formula>"SR"</formula>
    </cfRule>
    <cfRule type="cellIs" priority="160" operator="equal" dxfId="9" stopIfTrue="1">
      <formula>"SG"</formula>
    </cfRule>
    <cfRule type="expression" priority="161" dxfId="8" stopIfTrue="1">
      <formula>NOT(ISERROR(SEARCH("AL",J47)))</formula>
    </cfRule>
    <cfRule type="cellIs" priority="162" operator="equal" dxfId="11">
      <formula>"SEC"</formula>
    </cfRule>
    <cfRule type="cellIs" priority="163" operator="equal" dxfId="10" stopIfTrue="1">
      <formula>"SR"</formula>
    </cfRule>
    <cfRule type="cellIs" priority="164" operator="equal" dxfId="9" stopIfTrue="1">
      <formula>"SG"</formula>
    </cfRule>
    <cfRule type="expression" priority="165" dxfId="8" stopIfTrue="1">
      <formula>NOT(ISERROR(SEARCH("AL",J47)))</formula>
    </cfRule>
    <cfRule type="expression" priority="166" dxfId="2" stopIfTrue="1">
      <formula>NOT(ISERROR(SEARCH("SEC",J47)))</formula>
    </cfRule>
    <cfRule type="cellIs" priority="167" operator="equal" dxfId="11">
      <formula>"GS"</formula>
    </cfRule>
    <cfRule type="expression" priority="168" dxfId="6" stopIfTrue="1">
      <formula>NOT(ISERROR(SEARCH("SL",J47)))</formula>
    </cfRule>
    <cfRule type="expression" priority="169" dxfId="2" stopIfTrue="1">
      <formula>NOT(ISERROR(SEARCH("NP",J47)))</formula>
    </cfRule>
    <cfRule type="expression" priority="170" dxfId="4" stopIfTrue="1">
      <formula>NOT(ISERROR(SEARCH("SH",J47)))</formula>
    </cfRule>
    <cfRule type="expression" priority="171" dxfId="2" stopIfTrue="1">
      <formula>NOT(ISERROR(SEARCH("WTT",J47)))</formula>
    </cfRule>
    <cfRule type="expression" priority="172" dxfId="2" stopIfTrue="1">
      <formula>NOT(ISERROR(SEARCH("FH",J47)))</formula>
    </cfRule>
  </conditionalFormatting>
  <conditionalFormatting sqref="K11 O11 Q11 S11:V11 AG11">
    <cfRule type="expression" priority="1848" dxfId="2" stopIfTrue="1">
      <formula>NOT(ISERROR(SEARCH("SEC",K11)))</formula>
    </cfRule>
  </conditionalFormatting>
  <conditionalFormatting sqref="K11">
    <cfRule type="cellIs" priority="1669" operator="equal" dxfId="11">
      <formula>"GS"</formula>
    </cfRule>
    <cfRule type="cellIs" priority="1670" operator="equal" dxfId="10" stopIfTrue="1">
      <formula>"SR"</formula>
    </cfRule>
    <cfRule type="cellIs" priority="1671" operator="equal" dxfId="9" stopIfTrue="1">
      <formula>"SG"</formula>
    </cfRule>
    <cfRule type="expression" priority="1672" dxfId="8" stopIfTrue="1">
      <formula>NOT(ISERROR(SEARCH("AL",K11)))</formula>
    </cfRule>
  </conditionalFormatting>
  <conditionalFormatting sqref="K21">
    <cfRule type="cellIs" priority="1632" operator="equal" dxfId="11">
      <formula>"GS"</formula>
    </cfRule>
    <cfRule type="cellIs" priority="1633" operator="equal" dxfId="10" stopIfTrue="1">
      <formula>"SR"</formula>
    </cfRule>
    <cfRule type="cellIs" priority="1634" operator="equal" dxfId="9" stopIfTrue="1">
      <formula>"SG"</formula>
    </cfRule>
    <cfRule type="expression" priority="1635" dxfId="8" stopIfTrue="1">
      <formula>NOT(ISERROR(SEARCH("AL",K21)))</formula>
    </cfRule>
  </conditionalFormatting>
  <conditionalFormatting sqref="K39">
    <cfRule type="cellIs" priority="624" operator="equal" dxfId="11">
      <formula>"GS"</formula>
    </cfRule>
    <cfRule type="cellIs" priority="625" operator="equal" dxfId="10" stopIfTrue="1">
      <formula>"SR"</formula>
    </cfRule>
    <cfRule type="cellIs" priority="626" operator="equal" dxfId="9" stopIfTrue="1">
      <formula>"SG"</formula>
    </cfRule>
    <cfRule type="expression" priority="627" dxfId="8" stopIfTrue="1">
      <formula>NOT(ISERROR(SEARCH("AL",K39)))</formula>
    </cfRule>
    <cfRule type="cellIs" priority="628" operator="equal" dxfId="11">
      <formula>"SEC"</formula>
    </cfRule>
    <cfRule type="cellIs" priority="629" operator="equal" dxfId="10" stopIfTrue="1">
      <formula>"SR"</formula>
    </cfRule>
    <cfRule type="cellIs" priority="630" operator="equal" dxfId="9" stopIfTrue="1">
      <formula>"SG"</formula>
    </cfRule>
    <cfRule type="expression" priority="631" dxfId="8" stopIfTrue="1">
      <formula>NOT(ISERROR(SEARCH("AL",K39)))</formula>
    </cfRule>
    <cfRule type="expression" priority="632" dxfId="2" stopIfTrue="1">
      <formula>NOT(ISERROR(SEARCH("SEC",K39)))</formula>
    </cfRule>
    <cfRule type="cellIs" priority="633" operator="equal" dxfId="11">
      <formula>"GS"</formula>
    </cfRule>
    <cfRule type="expression" priority="634" dxfId="6" stopIfTrue="1">
      <formula>NOT(ISERROR(SEARCH("SL",K39)))</formula>
    </cfRule>
    <cfRule type="expression" priority="635" dxfId="2" stopIfTrue="1">
      <formula>NOT(ISERROR(SEARCH("NP",K39)))</formula>
    </cfRule>
    <cfRule type="expression" priority="636" dxfId="4" stopIfTrue="1">
      <formula>NOT(ISERROR(SEARCH("SH",K39)))</formula>
    </cfRule>
    <cfRule type="expression" priority="637" dxfId="2" stopIfTrue="1">
      <formula>NOT(ISERROR(SEARCH("WTT",K39)))</formula>
    </cfRule>
    <cfRule type="expression" priority="638" dxfId="2" stopIfTrue="1">
      <formula>NOT(ISERROR(SEARCH("FH",K39)))</formula>
    </cfRule>
  </conditionalFormatting>
  <conditionalFormatting sqref="K31:L31">
    <cfRule type="cellIs" priority="1075" operator="equal" dxfId="11">
      <formula>"GS"</formula>
    </cfRule>
    <cfRule type="cellIs" priority="1076" operator="equal" dxfId="10" stopIfTrue="1">
      <formula>"SR"</formula>
    </cfRule>
    <cfRule type="cellIs" priority="1077" operator="equal" dxfId="9" stopIfTrue="1">
      <formula>"SG"</formula>
    </cfRule>
    <cfRule type="expression" priority="1078" dxfId="8" stopIfTrue="1">
      <formula>NOT(ISERROR(SEARCH("AL",K31)))</formula>
    </cfRule>
    <cfRule type="cellIs" priority="1079" operator="equal" dxfId="11">
      <formula>"SEC"</formula>
    </cfRule>
    <cfRule type="cellIs" priority="1080" operator="equal" dxfId="10" stopIfTrue="1">
      <formula>"SR"</formula>
    </cfRule>
    <cfRule type="cellIs" priority="1081" operator="equal" dxfId="9" stopIfTrue="1">
      <formula>"SG"</formula>
    </cfRule>
    <cfRule type="expression" priority="1082" dxfId="8" stopIfTrue="1">
      <formula>NOT(ISERROR(SEARCH("AL",K31)))</formula>
    </cfRule>
    <cfRule type="expression" priority="1083" dxfId="2" stopIfTrue="1">
      <formula>NOT(ISERROR(SEARCH("SEC",K31)))</formula>
    </cfRule>
    <cfRule type="cellIs" priority="1084" operator="equal" dxfId="11">
      <formula>"GS"</formula>
    </cfRule>
    <cfRule type="expression" priority="1085" dxfId="6" stopIfTrue="1">
      <formula>NOT(ISERROR(SEARCH("SL",K31)))</formula>
    </cfRule>
    <cfRule type="expression" priority="1086" dxfId="2" stopIfTrue="1">
      <formula>NOT(ISERROR(SEARCH("NP",K31)))</formula>
    </cfRule>
    <cfRule type="expression" priority="1087" dxfId="4" stopIfTrue="1">
      <formula>NOT(ISERROR(SEARCH("SH",K31)))</formula>
    </cfRule>
    <cfRule type="expression" priority="1088" dxfId="2" stopIfTrue="1">
      <formula>NOT(ISERROR(SEARCH("WTT",K31)))</formula>
    </cfRule>
    <cfRule type="expression" priority="1089" dxfId="2" stopIfTrue="1">
      <formula>NOT(ISERROR(SEARCH("FH",K31)))</formula>
    </cfRule>
  </conditionalFormatting>
  <conditionalFormatting sqref="K10:M10">
    <cfRule type="containsText" priority="21" operator="containsText" dxfId="74" text="G">
      <formula>NOT(ISERROR(SEARCH("G",K10)))</formula>
    </cfRule>
  </conditionalFormatting>
  <conditionalFormatting sqref="L22">
    <cfRule type="cellIs" priority="1575" operator="equal" dxfId="11">
      <formula>"GS"</formula>
    </cfRule>
    <cfRule type="cellIs" priority="1576" operator="equal" dxfId="10" stopIfTrue="1">
      <formula>"SR"</formula>
    </cfRule>
    <cfRule type="cellIs" priority="1577" operator="equal" dxfId="9" stopIfTrue="1">
      <formula>"SG"</formula>
    </cfRule>
    <cfRule type="expression" priority="1578" dxfId="8" stopIfTrue="1">
      <formula>NOT(ISERROR(SEARCH("AL",L22)))</formula>
    </cfRule>
    <cfRule type="cellIs" priority="1579" operator="equal" dxfId="11">
      <formula>"SEC"</formula>
    </cfRule>
    <cfRule type="cellIs" priority="1580" operator="equal" dxfId="10" stopIfTrue="1">
      <formula>"SR"</formula>
    </cfRule>
    <cfRule type="cellIs" priority="1581" operator="equal" dxfId="9" stopIfTrue="1">
      <formula>"SG"</formula>
    </cfRule>
    <cfRule type="expression" priority="1582" dxfId="8" stopIfTrue="1">
      <formula>NOT(ISERROR(SEARCH("AL",L22)))</formula>
    </cfRule>
    <cfRule type="expression" priority="1583" dxfId="2" stopIfTrue="1">
      <formula>NOT(ISERROR(SEARCH("SEC",L22)))</formula>
    </cfRule>
    <cfRule type="cellIs" priority="1584" operator="equal" dxfId="11">
      <formula>"GS"</formula>
    </cfRule>
    <cfRule type="expression" priority="1585" dxfId="6" stopIfTrue="1">
      <formula>NOT(ISERROR(SEARCH("SL",L22)))</formula>
    </cfRule>
    <cfRule type="expression" priority="1586" dxfId="2" stopIfTrue="1">
      <formula>NOT(ISERROR(SEARCH("NP",L22)))</formula>
    </cfRule>
    <cfRule type="expression" priority="1587" dxfId="4" stopIfTrue="1">
      <formula>NOT(ISERROR(SEARCH("SH",L22)))</formula>
    </cfRule>
  </conditionalFormatting>
  <conditionalFormatting sqref="L38">
    <cfRule type="cellIs" priority="684" operator="equal" dxfId="11">
      <formula>"GS"</formula>
    </cfRule>
    <cfRule type="cellIs" priority="685" operator="equal" dxfId="10" stopIfTrue="1">
      <formula>"SR"</formula>
    </cfRule>
    <cfRule type="cellIs" priority="686" operator="equal" dxfId="9" stopIfTrue="1">
      <formula>"SG"</formula>
    </cfRule>
    <cfRule type="expression" priority="687" dxfId="8" stopIfTrue="1">
      <formula>NOT(ISERROR(SEARCH("AL",L38)))</formula>
    </cfRule>
    <cfRule type="cellIs" priority="688" operator="equal" dxfId="11">
      <formula>"SEC"</formula>
    </cfRule>
    <cfRule type="cellIs" priority="689" operator="equal" dxfId="10" stopIfTrue="1">
      <formula>"SR"</formula>
    </cfRule>
    <cfRule type="cellIs" priority="690" operator="equal" dxfId="9" stopIfTrue="1">
      <formula>"SG"</formula>
    </cfRule>
    <cfRule type="expression" priority="691" dxfId="8" stopIfTrue="1">
      <formula>NOT(ISERROR(SEARCH("AL",L38)))</formula>
    </cfRule>
    <cfRule type="expression" priority="692" dxfId="2" stopIfTrue="1">
      <formula>NOT(ISERROR(SEARCH("SEC",L38)))</formula>
    </cfRule>
    <cfRule type="cellIs" priority="693" operator="equal" dxfId="11">
      <formula>"GS"</formula>
    </cfRule>
    <cfRule type="expression" priority="694" dxfId="6" stopIfTrue="1">
      <formula>NOT(ISERROR(SEARCH("SL",L38)))</formula>
    </cfRule>
    <cfRule type="expression" priority="695" dxfId="2" stopIfTrue="1">
      <formula>NOT(ISERROR(SEARCH("NP",L38)))</formula>
    </cfRule>
    <cfRule type="expression" priority="696" dxfId="4" stopIfTrue="1">
      <formula>NOT(ISERROR(SEARCH("SH",L38)))</formula>
    </cfRule>
    <cfRule type="expression" priority="697" dxfId="2" stopIfTrue="1">
      <formula>NOT(ISERROR(SEARCH("WTT",L38)))</formula>
    </cfRule>
    <cfRule type="expression" priority="698" dxfId="2" stopIfTrue="1">
      <formula>NOT(ISERROR(SEARCH("FH",L38)))</formula>
    </cfRule>
  </conditionalFormatting>
  <conditionalFormatting sqref="L42">
    <cfRule type="cellIs" priority="443" operator="equal" dxfId="11">
      <formula>"GS"</formula>
    </cfRule>
    <cfRule type="cellIs" priority="444" operator="equal" dxfId="10" stopIfTrue="1">
      <formula>"SR"</formula>
    </cfRule>
    <cfRule type="cellIs" priority="445" operator="equal" dxfId="9" stopIfTrue="1">
      <formula>"SG"</formula>
    </cfRule>
    <cfRule type="expression" priority="446" dxfId="8" stopIfTrue="1">
      <formula>NOT(ISERROR(SEARCH("AL",L42)))</formula>
    </cfRule>
    <cfRule type="cellIs" priority="447" operator="equal" dxfId="11">
      <formula>"SEC"</formula>
    </cfRule>
    <cfRule type="cellIs" priority="448" operator="equal" dxfId="10" stopIfTrue="1">
      <formula>"SR"</formula>
    </cfRule>
    <cfRule type="cellIs" priority="449" operator="equal" dxfId="9" stopIfTrue="1">
      <formula>"SG"</formula>
    </cfRule>
    <cfRule type="expression" priority="450" dxfId="8" stopIfTrue="1">
      <formula>NOT(ISERROR(SEARCH("AL",L42)))</formula>
    </cfRule>
    <cfRule type="expression" priority="451" dxfId="2" stopIfTrue="1">
      <formula>NOT(ISERROR(SEARCH("SEC",L42)))</formula>
    </cfRule>
    <cfRule type="cellIs" priority="452" operator="equal" dxfId="11">
      <formula>"GS"</formula>
    </cfRule>
    <cfRule type="expression" priority="453" dxfId="6" stopIfTrue="1">
      <formula>NOT(ISERROR(SEARCH("SL",L42)))</formula>
    </cfRule>
    <cfRule type="expression" priority="454" dxfId="2" stopIfTrue="1">
      <formula>NOT(ISERROR(SEARCH("NP",L42)))</formula>
    </cfRule>
    <cfRule type="expression" priority="455" dxfId="4" stopIfTrue="1">
      <formula>NOT(ISERROR(SEARCH("SH",L42)))</formula>
    </cfRule>
    <cfRule type="expression" priority="456" dxfId="2" stopIfTrue="1">
      <formula>NOT(ISERROR(SEARCH("WTT",L42)))</formula>
    </cfRule>
    <cfRule type="expression" priority="457" dxfId="2" stopIfTrue="1">
      <formula>NOT(ISERROR(SEARCH("FH",L42)))</formula>
    </cfRule>
  </conditionalFormatting>
  <conditionalFormatting sqref="L46">
    <cfRule type="cellIs" priority="218" operator="equal" dxfId="11">
      <formula>"GS"</formula>
    </cfRule>
    <cfRule type="cellIs" priority="219" operator="equal" dxfId="10" stopIfTrue="1">
      <formula>"SR"</formula>
    </cfRule>
    <cfRule type="cellIs" priority="220" operator="equal" dxfId="9" stopIfTrue="1">
      <formula>"SG"</formula>
    </cfRule>
    <cfRule type="expression" priority="221" dxfId="8" stopIfTrue="1">
      <formula>NOT(ISERROR(SEARCH("AL",L46)))</formula>
    </cfRule>
    <cfRule type="cellIs" priority="222" operator="equal" dxfId="11">
      <formula>"SEC"</formula>
    </cfRule>
    <cfRule type="cellIs" priority="223" operator="equal" dxfId="10" stopIfTrue="1">
      <formula>"SR"</formula>
    </cfRule>
    <cfRule type="cellIs" priority="224" operator="equal" dxfId="9" stopIfTrue="1">
      <formula>"SG"</formula>
    </cfRule>
    <cfRule type="expression" priority="225" dxfId="8" stopIfTrue="1">
      <formula>NOT(ISERROR(SEARCH("AL",L46)))</formula>
    </cfRule>
    <cfRule type="expression" priority="226" dxfId="2" stopIfTrue="1">
      <formula>NOT(ISERROR(SEARCH("SEC",L46)))</formula>
    </cfRule>
    <cfRule type="cellIs" priority="227" operator="equal" dxfId="11">
      <formula>"GS"</formula>
    </cfRule>
    <cfRule type="expression" priority="228" dxfId="6" stopIfTrue="1">
      <formula>NOT(ISERROR(SEARCH("SL",L46)))</formula>
    </cfRule>
    <cfRule type="expression" priority="229" dxfId="2" stopIfTrue="1">
      <formula>NOT(ISERROR(SEARCH("NP",L46)))</formula>
    </cfRule>
    <cfRule type="expression" priority="230" dxfId="4" stopIfTrue="1">
      <formula>NOT(ISERROR(SEARCH("SH",L46)))</formula>
    </cfRule>
    <cfRule type="expression" priority="231" dxfId="2" stopIfTrue="1">
      <formula>NOT(ISERROR(SEARCH("WTT",L46)))</formula>
    </cfRule>
    <cfRule type="expression" priority="232" dxfId="2" stopIfTrue="1">
      <formula>NOT(ISERROR(SEARCH("FH",L46)))</formula>
    </cfRule>
  </conditionalFormatting>
  <conditionalFormatting sqref="L11:N11">
    <cfRule type="containsText" priority="20" operator="containsText" dxfId="74" text="G">
      <formula>NOT(ISERROR(SEARCH("G",L11)))</formula>
    </cfRule>
  </conditionalFormatting>
  <conditionalFormatting sqref="L21:N21 P21 R21:S21">
    <cfRule type="cellIs" priority="1606" operator="equal" dxfId="10" stopIfTrue="1">
      <formula>"SR"</formula>
    </cfRule>
    <cfRule type="cellIs" priority="1607" operator="equal" dxfId="9" stopIfTrue="1">
      <formula>"SG"</formula>
    </cfRule>
    <cfRule type="expression" priority="1608" dxfId="8" stopIfTrue="1">
      <formula>NOT(ISERROR(SEARCH("AL",L21)))</formula>
    </cfRule>
  </conditionalFormatting>
  <conditionalFormatting sqref="M26">
    <cfRule type="cellIs" priority="1379" operator="equal" dxfId="11">
      <formula>"GS"</formula>
    </cfRule>
    <cfRule type="cellIs" priority="1380" operator="equal" dxfId="10" stopIfTrue="1">
      <formula>"SR"</formula>
    </cfRule>
    <cfRule type="cellIs" priority="1381" operator="equal" dxfId="9" stopIfTrue="1">
      <formula>"SG"</formula>
    </cfRule>
    <cfRule type="expression" priority="1382" dxfId="8" stopIfTrue="1">
      <formula>NOT(ISERROR(SEARCH("AL",M26)))</formula>
    </cfRule>
    <cfRule type="cellIs" priority="1383" operator="equal" dxfId="11">
      <formula>"SEC"</formula>
    </cfRule>
    <cfRule type="cellIs" priority="1384" operator="equal" dxfId="10" stopIfTrue="1">
      <formula>"SR"</formula>
    </cfRule>
    <cfRule type="cellIs" priority="1385" operator="equal" dxfId="9" stopIfTrue="1">
      <formula>"SG"</formula>
    </cfRule>
    <cfRule type="expression" priority="1386" dxfId="8" stopIfTrue="1">
      <formula>NOT(ISERROR(SEARCH("AL",M26)))</formula>
    </cfRule>
    <cfRule type="expression" priority="1387" dxfId="2" stopIfTrue="1">
      <formula>NOT(ISERROR(SEARCH("SEC",M26)))</formula>
    </cfRule>
    <cfRule type="cellIs" priority="1388" operator="equal" dxfId="11">
      <formula>"GS"</formula>
    </cfRule>
    <cfRule type="expression" priority="1389" dxfId="6" stopIfTrue="1">
      <formula>NOT(ISERROR(SEARCH("SL",M26)))</formula>
    </cfRule>
    <cfRule type="expression" priority="1390" dxfId="2" stopIfTrue="1">
      <formula>NOT(ISERROR(SEARCH("NP",M26)))</formula>
    </cfRule>
    <cfRule type="expression" priority="1391" dxfId="4" stopIfTrue="1">
      <formula>NOT(ISERROR(SEARCH("SH",M26)))</formula>
    </cfRule>
    <cfRule type="expression" priority="1392" dxfId="2" stopIfTrue="1">
      <formula>NOT(ISERROR(SEARCH("WTT",M26)))</formula>
    </cfRule>
  </conditionalFormatting>
  <conditionalFormatting sqref="M28">
    <cfRule type="cellIs" priority="1267" operator="equal" dxfId="11">
      <formula>"GS"</formula>
    </cfRule>
    <cfRule type="cellIs" priority="1268" operator="equal" dxfId="10" stopIfTrue="1">
      <formula>"SR"</formula>
    </cfRule>
    <cfRule type="cellIs" priority="1269" operator="equal" dxfId="9" stopIfTrue="1">
      <formula>"SG"</formula>
    </cfRule>
    <cfRule type="expression" priority="1270" dxfId="8" stopIfTrue="1">
      <formula>NOT(ISERROR(SEARCH("AL",M28)))</formula>
    </cfRule>
    <cfRule type="cellIs" priority="1271" operator="equal" dxfId="11">
      <formula>"SEC"</formula>
    </cfRule>
    <cfRule type="cellIs" priority="1272" operator="equal" dxfId="10" stopIfTrue="1">
      <formula>"SR"</formula>
    </cfRule>
    <cfRule type="cellIs" priority="1273" operator="equal" dxfId="9" stopIfTrue="1">
      <formula>"SG"</formula>
    </cfRule>
    <cfRule type="expression" priority="1274" dxfId="8" stopIfTrue="1">
      <formula>NOT(ISERROR(SEARCH("AL",M28)))</formula>
    </cfRule>
    <cfRule type="expression" priority="1275" dxfId="2" stopIfTrue="1">
      <formula>NOT(ISERROR(SEARCH("SEC",M28)))</formula>
    </cfRule>
    <cfRule type="cellIs" priority="1276" operator="equal" dxfId="11">
      <formula>"GS"</formula>
    </cfRule>
    <cfRule type="expression" priority="1277" dxfId="6" stopIfTrue="1">
      <formula>NOT(ISERROR(SEARCH("SL",M28)))</formula>
    </cfRule>
    <cfRule type="expression" priority="1278" dxfId="2" stopIfTrue="1">
      <formula>NOT(ISERROR(SEARCH("NP",M28)))</formula>
    </cfRule>
    <cfRule type="expression" priority="1279" dxfId="4" stopIfTrue="1">
      <formula>NOT(ISERROR(SEARCH("SH",M28)))</formula>
    </cfRule>
    <cfRule type="expression" priority="1280" dxfId="2" stopIfTrue="1">
      <formula>NOT(ISERROR(SEARCH("WTT",M28)))</formula>
    </cfRule>
  </conditionalFormatting>
  <conditionalFormatting sqref="M36">
    <cfRule type="cellIs" priority="805" operator="equal" dxfId="10" stopIfTrue="1">
      <formula>"SR"</formula>
    </cfRule>
    <cfRule type="cellIs" priority="806" operator="equal" dxfId="9" stopIfTrue="1">
      <formula>"SG"</formula>
    </cfRule>
    <cfRule type="expression" priority="807" dxfId="8" stopIfTrue="1">
      <formula>NOT(ISERROR(SEARCH("AL",M36)))</formula>
    </cfRule>
    <cfRule type="cellIs" priority="808" operator="equal" dxfId="11">
      <formula>"SEC"</formula>
    </cfRule>
    <cfRule type="cellIs" priority="809" operator="equal" dxfId="10" stopIfTrue="1">
      <formula>"SR"</formula>
    </cfRule>
    <cfRule type="cellIs" priority="810" operator="equal" dxfId="9" stopIfTrue="1">
      <formula>"SG"</formula>
    </cfRule>
    <cfRule type="expression" priority="811" dxfId="8" stopIfTrue="1">
      <formula>NOT(ISERROR(SEARCH("AL",M36)))</formula>
    </cfRule>
    <cfRule type="expression" priority="812" dxfId="2" stopIfTrue="1">
      <formula>NOT(ISERROR(SEARCH("SEC",M36)))</formula>
    </cfRule>
    <cfRule type="cellIs" priority="813" operator="equal" dxfId="11">
      <formula>"GS"</formula>
    </cfRule>
    <cfRule type="expression" priority="814" dxfId="6" stopIfTrue="1">
      <formula>NOT(ISERROR(SEARCH("SL",M36)))</formula>
    </cfRule>
    <cfRule type="expression" priority="815" dxfId="2" stopIfTrue="1">
      <formula>NOT(ISERROR(SEARCH("NP",M36)))</formula>
    </cfRule>
    <cfRule type="expression" priority="816" dxfId="4" stopIfTrue="1">
      <formula>NOT(ISERROR(SEARCH("SH",M36)))</formula>
    </cfRule>
    <cfRule type="expression" priority="817" dxfId="2" stopIfTrue="1">
      <formula>NOT(ISERROR(SEARCH("WTT",M36)))</formula>
    </cfRule>
    <cfRule type="expression" priority="818" dxfId="2" stopIfTrue="1">
      <formula>NOT(ISERROR(SEARCH("FH",M36)))</formula>
    </cfRule>
  </conditionalFormatting>
  <conditionalFormatting sqref="M36:M37">
    <cfRule type="cellIs" priority="753" operator="equal" dxfId="11">
      <formula>"GS"</formula>
    </cfRule>
  </conditionalFormatting>
  <conditionalFormatting sqref="M37">
    <cfRule type="cellIs" priority="744" operator="equal" dxfId="11">
      <formula>"GS"</formula>
    </cfRule>
    <cfRule type="cellIs" priority="745" operator="equal" dxfId="10" stopIfTrue="1">
      <formula>"SR"</formula>
    </cfRule>
    <cfRule type="cellIs" priority="746" operator="equal" dxfId="9" stopIfTrue="1">
      <formula>"SG"</formula>
    </cfRule>
    <cfRule type="expression" priority="747" dxfId="8" stopIfTrue="1">
      <formula>NOT(ISERROR(SEARCH("AL",M37)))</formula>
    </cfRule>
    <cfRule type="cellIs" priority="748" operator="equal" dxfId="11">
      <formula>"SEC"</formula>
    </cfRule>
    <cfRule type="cellIs" priority="749" operator="equal" dxfId="10" stopIfTrue="1">
      <formula>"SR"</formula>
    </cfRule>
    <cfRule type="cellIs" priority="750" operator="equal" dxfId="9" stopIfTrue="1">
      <formula>"SG"</formula>
    </cfRule>
    <cfRule type="expression" priority="751" dxfId="8" stopIfTrue="1">
      <formula>NOT(ISERROR(SEARCH("AL",M37)))</formula>
    </cfRule>
    <cfRule type="expression" priority="752" dxfId="2" stopIfTrue="1">
      <formula>NOT(ISERROR(SEARCH("SEC",M37)))</formula>
    </cfRule>
    <cfRule type="expression" priority="754" dxfId="6" stopIfTrue="1">
      <formula>NOT(ISERROR(SEARCH("SL",M37)))</formula>
    </cfRule>
    <cfRule type="expression" priority="755" dxfId="2" stopIfTrue="1">
      <formula>NOT(ISERROR(SEARCH("NP",M37)))</formula>
    </cfRule>
    <cfRule type="expression" priority="756" dxfId="4" stopIfTrue="1">
      <formula>NOT(ISERROR(SEARCH("SH",M37)))</formula>
    </cfRule>
    <cfRule type="expression" priority="757" dxfId="2" stopIfTrue="1">
      <formula>NOT(ISERROR(SEARCH("WTT",M37)))</formula>
    </cfRule>
    <cfRule type="expression" priority="758" dxfId="2" stopIfTrue="1">
      <formula>NOT(ISERROR(SEARCH("FH",M37)))</formula>
    </cfRule>
  </conditionalFormatting>
  <conditionalFormatting sqref="M41">
    <cfRule type="cellIs" priority="504" operator="equal" dxfId="11">
      <formula>"GS"</formula>
    </cfRule>
    <cfRule type="cellIs" priority="505" operator="equal" dxfId="10" stopIfTrue="1">
      <formula>"SR"</formula>
    </cfRule>
    <cfRule type="cellIs" priority="506" operator="equal" dxfId="9" stopIfTrue="1">
      <formula>"SG"</formula>
    </cfRule>
    <cfRule type="expression" priority="507" dxfId="8" stopIfTrue="1">
      <formula>NOT(ISERROR(SEARCH("AL",M41)))</formula>
    </cfRule>
    <cfRule type="cellIs" priority="508" operator="equal" dxfId="11">
      <formula>"SEC"</formula>
    </cfRule>
    <cfRule type="cellIs" priority="509" operator="equal" dxfId="10" stopIfTrue="1">
      <formula>"SR"</formula>
    </cfRule>
    <cfRule type="cellIs" priority="510" operator="equal" dxfId="9" stopIfTrue="1">
      <formula>"SG"</formula>
    </cfRule>
    <cfRule type="expression" priority="511" dxfId="8" stopIfTrue="1">
      <formula>NOT(ISERROR(SEARCH("AL",M41)))</formula>
    </cfRule>
    <cfRule type="expression" priority="512" dxfId="2" stopIfTrue="1">
      <formula>NOT(ISERROR(SEARCH("SEC",M41)))</formula>
    </cfRule>
    <cfRule type="cellIs" priority="513" operator="equal" dxfId="11">
      <formula>"GS"</formula>
    </cfRule>
    <cfRule type="expression" priority="514" dxfId="6" stopIfTrue="1">
      <formula>NOT(ISERROR(SEARCH("SL",M41)))</formula>
    </cfRule>
    <cfRule type="expression" priority="515" dxfId="2" stopIfTrue="1">
      <formula>NOT(ISERROR(SEARCH("NP",M41)))</formula>
    </cfRule>
    <cfRule type="expression" priority="516" dxfId="4" stopIfTrue="1">
      <formula>NOT(ISERROR(SEARCH("SH",M41)))</formula>
    </cfRule>
    <cfRule type="expression" priority="517" dxfId="2" stopIfTrue="1">
      <formula>NOT(ISERROR(SEARCH("WTT",M41)))</formula>
    </cfRule>
    <cfRule type="expression" priority="518" dxfId="2" stopIfTrue="1">
      <formula>NOT(ISERROR(SEARCH("FH",M41)))</formula>
    </cfRule>
  </conditionalFormatting>
  <conditionalFormatting sqref="N20">
    <cfRule type="containsText" priority="9" operator="containsText" dxfId="74" text="G">
      <formula>NOT(ISERROR(SEARCH("G",N20)))</formula>
    </cfRule>
  </conditionalFormatting>
  <conditionalFormatting sqref="N34">
    <cfRule type="cellIs" priority="925" operator="equal" dxfId="10" stopIfTrue="1">
      <formula>"SR"</formula>
    </cfRule>
    <cfRule type="cellIs" priority="926" operator="equal" dxfId="9" stopIfTrue="1">
      <formula>"SG"</formula>
    </cfRule>
    <cfRule type="expression" priority="927" dxfId="8" stopIfTrue="1">
      <formula>NOT(ISERROR(SEARCH("AL",N34)))</formula>
    </cfRule>
    <cfRule type="cellIs" priority="928" operator="equal" dxfId="11">
      <formula>"SEC"</formula>
    </cfRule>
    <cfRule type="cellIs" priority="929" operator="equal" dxfId="10" stopIfTrue="1">
      <formula>"SR"</formula>
    </cfRule>
    <cfRule type="cellIs" priority="930" operator="equal" dxfId="9" stopIfTrue="1">
      <formula>"SG"</formula>
    </cfRule>
    <cfRule type="expression" priority="931" dxfId="8" stopIfTrue="1">
      <formula>NOT(ISERROR(SEARCH("AL",N34)))</formula>
    </cfRule>
    <cfRule type="expression" priority="932" dxfId="2" stopIfTrue="1">
      <formula>NOT(ISERROR(SEARCH("SEC",N34)))</formula>
    </cfRule>
    <cfRule type="cellIs" priority="933" operator="equal" dxfId="11">
      <formula>"GS"</formula>
    </cfRule>
    <cfRule type="expression" priority="934" dxfId="6" stopIfTrue="1">
      <formula>NOT(ISERROR(SEARCH("SL",N34)))</formula>
    </cfRule>
    <cfRule type="expression" priority="935" dxfId="2" stopIfTrue="1">
      <formula>NOT(ISERROR(SEARCH("NP",N34)))</formula>
    </cfRule>
    <cfRule type="expression" priority="936" dxfId="4" stopIfTrue="1">
      <formula>NOT(ISERROR(SEARCH("SH",N34)))</formula>
    </cfRule>
    <cfRule type="expression" priority="937" dxfId="2" stopIfTrue="1">
      <formula>NOT(ISERROR(SEARCH("WTT",N34)))</formula>
    </cfRule>
    <cfRule type="expression" priority="938" dxfId="2" stopIfTrue="1">
      <formula>NOT(ISERROR(SEARCH("FH",N34)))</formula>
    </cfRule>
  </conditionalFormatting>
  <conditionalFormatting sqref="N34:N35">
    <cfRule type="cellIs" priority="873" operator="equal" dxfId="11">
      <formula>"GS"</formula>
    </cfRule>
  </conditionalFormatting>
  <conditionalFormatting sqref="N45">
    <cfRule type="cellIs" priority="278" operator="equal" dxfId="11">
      <formula>"GS"</formula>
    </cfRule>
    <cfRule type="cellIs" priority="279" operator="equal" dxfId="10" stopIfTrue="1">
      <formula>"SR"</formula>
    </cfRule>
    <cfRule type="cellIs" priority="280" operator="equal" dxfId="9" stopIfTrue="1">
      <formula>"SG"</formula>
    </cfRule>
    <cfRule type="expression" priority="281" dxfId="8" stopIfTrue="1">
      <formula>NOT(ISERROR(SEARCH("AL",N45)))</formula>
    </cfRule>
    <cfRule type="cellIs" priority="282" operator="equal" dxfId="11">
      <formula>"SEC"</formula>
    </cfRule>
    <cfRule type="cellIs" priority="283" operator="equal" dxfId="10" stopIfTrue="1">
      <formula>"SR"</formula>
    </cfRule>
    <cfRule type="cellIs" priority="284" operator="equal" dxfId="9" stopIfTrue="1">
      <formula>"SG"</formula>
    </cfRule>
    <cfRule type="expression" priority="285" dxfId="8" stopIfTrue="1">
      <formula>NOT(ISERROR(SEARCH("AL",N45)))</formula>
    </cfRule>
    <cfRule type="expression" priority="286" dxfId="2" stopIfTrue="1">
      <formula>NOT(ISERROR(SEARCH("SEC",N45)))</formula>
    </cfRule>
    <cfRule type="cellIs" priority="287" operator="equal" dxfId="11">
      <formula>"GS"</formula>
    </cfRule>
    <cfRule type="expression" priority="288" dxfId="6" stopIfTrue="1">
      <formula>NOT(ISERROR(SEARCH("SL",N45)))</formula>
    </cfRule>
    <cfRule type="expression" priority="289" dxfId="2" stopIfTrue="1">
      <formula>NOT(ISERROR(SEARCH("NP",N45)))</formula>
    </cfRule>
    <cfRule type="expression" priority="290" dxfId="4" stopIfTrue="1">
      <formula>NOT(ISERROR(SEARCH("SH",N45)))</formula>
    </cfRule>
    <cfRule type="expression" priority="291" dxfId="2" stopIfTrue="1">
      <formula>NOT(ISERROR(SEARCH("WTT",N45)))</formula>
    </cfRule>
    <cfRule type="expression" priority="292" dxfId="2" stopIfTrue="1">
      <formula>NOT(ISERROR(SEARCH("FH",N45)))</formula>
    </cfRule>
  </conditionalFormatting>
  <conditionalFormatting sqref="N33:O33">
    <cfRule type="cellIs" priority="940" operator="equal" dxfId="11">
      <formula>"GS"</formula>
    </cfRule>
    <cfRule type="cellIs" priority="941" operator="equal" dxfId="10" stopIfTrue="1">
      <formula>"SR"</formula>
    </cfRule>
    <cfRule type="cellIs" priority="942" operator="equal" dxfId="9" stopIfTrue="1">
      <formula>"SG"</formula>
    </cfRule>
    <cfRule type="expression" priority="943" dxfId="8" stopIfTrue="1">
      <formula>NOT(ISERROR(SEARCH("AL",N33)))</formula>
    </cfRule>
    <cfRule type="cellIs" priority="944" operator="equal" dxfId="11">
      <formula>"SEC"</formula>
    </cfRule>
    <cfRule type="cellIs" priority="945" operator="equal" dxfId="10" stopIfTrue="1">
      <formula>"SR"</formula>
    </cfRule>
    <cfRule type="cellIs" priority="946" operator="equal" dxfId="9" stopIfTrue="1">
      <formula>"SG"</formula>
    </cfRule>
    <cfRule type="expression" priority="947" dxfId="8" stopIfTrue="1">
      <formula>NOT(ISERROR(SEARCH("AL",N33)))</formula>
    </cfRule>
    <cfRule type="expression" priority="948" dxfId="2" stopIfTrue="1">
      <formula>NOT(ISERROR(SEARCH("SEC",N33)))</formula>
    </cfRule>
    <cfRule type="cellIs" priority="949" operator="equal" dxfId="11">
      <formula>"GS"</formula>
    </cfRule>
    <cfRule type="expression" priority="950" dxfId="6" stopIfTrue="1">
      <formula>NOT(ISERROR(SEARCH("SL",N33)))</formula>
    </cfRule>
    <cfRule type="expression" priority="951" dxfId="2" stopIfTrue="1">
      <formula>NOT(ISERROR(SEARCH("NP",N33)))</formula>
    </cfRule>
    <cfRule type="expression" priority="952" dxfId="4" stopIfTrue="1">
      <formula>NOT(ISERROR(SEARCH("SH",N33)))</formula>
    </cfRule>
    <cfRule type="expression" priority="953" dxfId="2" stopIfTrue="1">
      <formula>NOT(ISERROR(SEARCH("WTT",N33)))</formula>
    </cfRule>
    <cfRule type="expression" priority="954" dxfId="2" stopIfTrue="1">
      <formula>NOT(ISERROR(SEARCH("FH",N33)))</formula>
    </cfRule>
  </conditionalFormatting>
  <conditionalFormatting sqref="N35:O35">
    <cfRule type="cellIs" priority="39" operator="equal" dxfId="11">
      <formula>"GS"</formula>
    </cfRule>
    <cfRule type="cellIs" priority="865" operator="equal" dxfId="10" stopIfTrue="1">
      <formula>"SR"</formula>
    </cfRule>
    <cfRule type="cellIs" priority="866" operator="equal" dxfId="9" stopIfTrue="1">
      <formula>"SG"</formula>
    </cfRule>
    <cfRule type="expression" priority="867" dxfId="8" stopIfTrue="1">
      <formula>NOT(ISERROR(SEARCH("AL",N35)))</formula>
    </cfRule>
    <cfRule type="cellIs" priority="868" operator="equal" dxfId="11">
      <formula>"SEC"</formula>
    </cfRule>
    <cfRule type="cellIs" priority="869" operator="equal" dxfId="10" stopIfTrue="1">
      <formula>"SR"</formula>
    </cfRule>
    <cfRule type="cellIs" priority="870" operator="equal" dxfId="9" stopIfTrue="1">
      <formula>"SG"</formula>
    </cfRule>
    <cfRule type="expression" priority="871" dxfId="8" stopIfTrue="1">
      <formula>NOT(ISERROR(SEARCH("AL",N35)))</formula>
    </cfRule>
    <cfRule type="expression" priority="872" dxfId="2" stopIfTrue="1">
      <formula>NOT(ISERROR(SEARCH("SEC",N35)))</formula>
    </cfRule>
    <cfRule type="expression" priority="874" dxfId="6" stopIfTrue="1">
      <formula>NOT(ISERROR(SEARCH("SL",N35)))</formula>
    </cfRule>
    <cfRule type="expression" priority="875" dxfId="2" stopIfTrue="1">
      <formula>NOT(ISERROR(SEARCH("NP",N35)))</formula>
    </cfRule>
    <cfRule type="expression" priority="876" dxfId="4" stopIfTrue="1">
      <formula>NOT(ISERROR(SEARCH("SH",N35)))</formula>
    </cfRule>
    <cfRule type="expression" priority="877" dxfId="2" stopIfTrue="1">
      <formula>NOT(ISERROR(SEARCH("WTT",N35)))</formula>
    </cfRule>
    <cfRule type="expression" priority="878" dxfId="2" stopIfTrue="1">
      <formula>NOT(ISERROR(SEARCH("FH",N35)))</formula>
    </cfRule>
  </conditionalFormatting>
  <conditionalFormatting sqref="N40:O40">
    <cfRule type="cellIs" priority="564" operator="equal" dxfId="11">
      <formula>"GS"</formula>
    </cfRule>
    <cfRule type="cellIs" priority="565" operator="equal" dxfId="10" stopIfTrue="1">
      <formula>"SR"</formula>
    </cfRule>
    <cfRule type="cellIs" priority="566" operator="equal" dxfId="9" stopIfTrue="1">
      <formula>"SG"</formula>
    </cfRule>
    <cfRule type="expression" priority="567" dxfId="8" stopIfTrue="1">
      <formula>NOT(ISERROR(SEARCH("AL",N40)))</formula>
    </cfRule>
    <cfRule type="cellIs" priority="568" operator="equal" dxfId="11">
      <formula>"SEC"</formula>
    </cfRule>
    <cfRule type="cellIs" priority="569" operator="equal" dxfId="10" stopIfTrue="1">
      <formula>"SR"</formula>
    </cfRule>
    <cfRule type="cellIs" priority="570" operator="equal" dxfId="9" stopIfTrue="1">
      <formula>"SG"</formula>
    </cfRule>
    <cfRule type="expression" priority="571" dxfId="8" stopIfTrue="1">
      <formula>NOT(ISERROR(SEARCH("AL",N40)))</formula>
    </cfRule>
    <cfRule type="expression" priority="572" dxfId="2" stopIfTrue="1">
      <formula>NOT(ISERROR(SEARCH("SEC",N40)))</formula>
    </cfRule>
    <cfRule type="cellIs" priority="573" operator="equal" dxfId="11">
      <formula>"GS"</formula>
    </cfRule>
    <cfRule type="expression" priority="574" dxfId="6" stopIfTrue="1">
      <formula>NOT(ISERROR(SEARCH("SL",N40)))</formula>
    </cfRule>
    <cfRule type="expression" priority="575" dxfId="2" stopIfTrue="1">
      <formula>NOT(ISERROR(SEARCH("NP",N40)))</formula>
    </cfRule>
    <cfRule type="expression" priority="576" dxfId="4" stopIfTrue="1">
      <formula>NOT(ISERROR(SEARCH("SH",N40)))</formula>
    </cfRule>
    <cfRule type="expression" priority="577" dxfId="2" stopIfTrue="1">
      <formula>NOT(ISERROR(SEARCH("WTT",N40)))</formula>
    </cfRule>
    <cfRule type="expression" priority="578" dxfId="2" stopIfTrue="1">
      <formula>NOT(ISERROR(SEARCH("FH",N40)))</formula>
    </cfRule>
  </conditionalFormatting>
  <conditionalFormatting sqref="N8:Q8">
    <cfRule type="cellIs" priority="1717" operator="equal" dxfId="11">
      <formula>"GS"</formula>
    </cfRule>
    <cfRule type="cellIs" priority="1718" operator="equal" dxfId="10" stopIfTrue="1">
      <formula>"SR"</formula>
    </cfRule>
    <cfRule type="cellIs" priority="1719" operator="equal" dxfId="9" stopIfTrue="1">
      <formula>"SG"</formula>
    </cfRule>
    <cfRule type="expression" priority="1720" dxfId="8" stopIfTrue="1">
      <formula>NOT(ISERROR(SEARCH("AL",N8)))</formula>
    </cfRule>
  </conditionalFormatting>
  <conditionalFormatting sqref="N44:Q44">
    <cfRule type="cellIs" priority="308" operator="equal" dxfId="11">
      <formula>"GS"</formula>
    </cfRule>
    <cfRule type="cellIs" priority="309" operator="equal" dxfId="10" stopIfTrue="1">
      <formula>"SR"</formula>
    </cfRule>
    <cfRule type="cellIs" priority="310" operator="equal" dxfId="9" stopIfTrue="1">
      <formula>"SG"</formula>
    </cfRule>
    <cfRule type="expression" priority="311" dxfId="8" stopIfTrue="1">
      <formula>NOT(ISERROR(SEARCH("AL",N44)))</formula>
    </cfRule>
    <cfRule type="cellIs" priority="312" operator="equal" dxfId="11">
      <formula>"SEC"</formula>
    </cfRule>
    <cfRule type="cellIs" priority="313" operator="equal" dxfId="10" stopIfTrue="1">
      <formula>"SR"</formula>
    </cfRule>
    <cfRule type="cellIs" priority="314" operator="equal" dxfId="9" stopIfTrue="1">
      <formula>"SG"</formula>
    </cfRule>
    <cfRule type="expression" priority="315" dxfId="8" stopIfTrue="1">
      <formula>NOT(ISERROR(SEARCH("AL",N44)))</formula>
    </cfRule>
    <cfRule type="expression" priority="316" dxfId="2" stopIfTrue="1">
      <formula>NOT(ISERROR(SEARCH("SEC",N44)))</formula>
    </cfRule>
    <cfRule type="cellIs" priority="317" operator="equal" dxfId="11">
      <formula>"GS"</formula>
    </cfRule>
    <cfRule type="expression" priority="318" dxfId="6" stopIfTrue="1">
      <formula>NOT(ISERROR(SEARCH("SL",N44)))</formula>
    </cfRule>
    <cfRule type="expression" priority="319" dxfId="2" stopIfTrue="1">
      <formula>NOT(ISERROR(SEARCH("NP",N44)))</formula>
    </cfRule>
    <cfRule type="expression" priority="320" dxfId="4" stopIfTrue="1">
      <formula>NOT(ISERROR(SEARCH("SH",N44)))</formula>
    </cfRule>
    <cfRule type="expression" priority="321" dxfId="2" stopIfTrue="1">
      <formula>NOT(ISERROR(SEARCH("WTT",N44)))</formula>
    </cfRule>
    <cfRule type="expression" priority="322" dxfId="2" stopIfTrue="1">
      <formula>NOT(ISERROR(SEARCH("FH",N44)))</formula>
    </cfRule>
  </conditionalFormatting>
  <conditionalFormatting sqref="O10">
    <cfRule type="cellIs" priority="1685" operator="equal" dxfId="11">
      <formula>"GS"</formula>
    </cfRule>
    <cfRule type="cellIs" priority="1686" operator="equal" dxfId="10" stopIfTrue="1">
      <formula>"SR"</formula>
    </cfRule>
    <cfRule type="cellIs" priority="1687" operator="equal" dxfId="9" stopIfTrue="1">
      <formula>"SG"</formula>
    </cfRule>
    <cfRule type="expression" priority="1688" dxfId="8" stopIfTrue="1">
      <formula>NOT(ISERROR(SEARCH("AL",O10)))</formula>
    </cfRule>
  </conditionalFormatting>
  <conditionalFormatting sqref="O20">
    <cfRule type="cellIs" priority="1648" operator="equal" dxfId="11">
      <formula>"GS"</formula>
    </cfRule>
    <cfRule type="cellIs" priority="1649" operator="equal" dxfId="10" stopIfTrue="1">
      <formula>"SR"</formula>
    </cfRule>
    <cfRule type="cellIs" priority="1650" operator="equal" dxfId="9" stopIfTrue="1">
      <formula>"SG"</formula>
    </cfRule>
    <cfRule type="expression" priority="1651" dxfId="8" stopIfTrue="1">
      <formula>NOT(ISERROR(SEARCH("AL",O20)))</formula>
    </cfRule>
  </conditionalFormatting>
  <conditionalFormatting sqref="O21">
    <cfRule type="containsText" priority="3" operator="containsText" dxfId="74" text="G">
      <formula>NOT(ISERROR(SEARCH("G",O21)))</formula>
    </cfRule>
  </conditionalFormatting>
  <conditionalFormatting sqref="O27:P27">
    <cfRule type="cellIs" priority="1309" operator="equal" dxfId="11">
      <formula>"GS"</formula>
    </cfRule>
    <cfRule type="cellIs" priority="1310" operator="equal" dxfId="10" stopIfTrue="1">
      <formula>"SR"</formula>
    </cfRule>
    <cfRule type="cellIs" priority="1311" operator="equal" dxfId="9" stopIfTrue="1">
      <formula>"SG"</formula>
    </cfRule>
    <cfRule type="expression" priority="1312" dxfId="8" stopIfTrue="1">
      <formula>NOT(ISERROR(SEARCH("AL",O27)))</formula>
    </cfRule>
    <cfRule type="cellIs" priority="1313" operator="equal" dxfId="11">
      <formula>"SEC"</formula>
    </cfRule>
    <cfRule type="cellIs" priority="1314" operator="equal" dxfId="10" stopIfTrue="1">
      <formula>"SR"</formula>
    </cfRule>
    <cfRule type="cellIs" priority="1315" operator="equal" dxfId="9" stopIfTrue="1">
      <formula>"SG"</formula>
    </cfRule>
    <cfRule type="expression" priority="1316" dxfId="8" stopIfTrue="1">
      <formula>NOT(ISERROR(SEARCH("AL",O27)))</formula>
    </cfRule>
    <cfRule type="expression" priority="1317" dxfId="2" stopIfTrue="1">
      <formula>NOT(ISERROR(SEARCH("SEC",O27)))</formula>
    </cfRule>
    <cfRule type="cellIs" priority="1318" operator="equal" dxfId="11">
      <formula>"GS"</formula>
    </cfRule>
    <cfRule type="expression" priority="1319" dxfId="6" stopIfTrue="1">
      <formula>NOT(ISERROR(SEARCH("SL",O27)))</formula>
    </cfRule>
    <cfRule type="expression" priority="1320" dxfId="2" stopIfTrue="1">
      <formula>NOT(ISERROR(SEARCH("NP",O27)))</formula>
    </cfRule>
    <cfRule type="expression" priority="1321" dxfId="4" stopIfTrue="1">
      <formula>NOT(ISERROR(SEARCH("SH",O27)))</formula>
    </cfRule>
    <cfRule type="expression" priority="1322" dxfId="2" stopIfTrue="1">
      <formula>NOT(ISERROR(SEARCH("WTT",O27)))</formula>
    </cfRule>
  </conditionalFormatting>
  <conditionalFormatting sqref="P11">
    <cfRule type="containsText" priority="19" operator="containsText" dxfId="74" text="G">
      <formula>NOT(ISERROR(SEARCH("G",P11)))</formula>
    </cfRule>
  </conditionalFormatting>
  <conditionalFormatting sqref="P29">
    <cfRule type="cellIs" priority="1195" operator="equal" dxfId="11">
      <formula>"GS"</formula>
    </cfRule>
    <cfRule type="cellIs" priority="1196" operator="equal" dxfId="10" stopIfTrue="1">
      <formula>"SR"</formula>
    </cfRule>
    <cfRule type="cellIs" priority="1197" operator="equal" dxfId="9" stopIfTrue="1">
      <formula>"SG"</formula>
    </cfRule>
    <cfRule type="expression" priority="1198" dxfId="8" stopIfTrue="1">
      <formula>NOT(ISERROR(SEARCH("AL",P29)))</formula>
    </cfRule>
    <cfRule type="cellIs" priority="1199" operator="equal" dxfId="11">
      <formula>"SEC"</formula>
    </cfRule>
    <cfRule type="cellIs" priority="1200" operator="equal" dxfId="10" stopIfTrue="1">
      <formula>"SR"</formula>
    </cfRule>
    <cfRule type="cellIs" priority="1201" operator="equal" dxfId="9" stopIfTrue="1">
      <formula>"SG"</formula>
    </cfRule>
    <cfRule type="expression" priority="1202" dxfId="8" stopIfTrue="1">
      <formula>NOT(ISERROR(SEARCH("AL",P29)))</formula>
    </cfRule>
    <cfRule type="expression" priority="1203" dxfId="2" stopIfTrue="1">
      <formula>NOT(ISERROR(SEARCH("SEC",P29)))</formula>
    </cfRule>
    <cfRule type="cellIs" priority="1204" operator="equal" dxfId="11">
      <formula>"GS"</formula>
    </cfRule>
    <cfRule type="expression" priority="1205" dxfId="6" stopIfTrue="1">
      <formula>NOT(ISERROR(SEARCH("SL",P29)))</formula>
    </cfRule>
    <cfRule type="expression" priority="1206" dxfId="2" stopIfTrue="1">
      <formula>NOT(ISERROR(SEARCH("NP",P29)))</formula>
    </cfRule>
    <cfRule type="expression" priority="1207" dxfId="4" stopIfTrue="1">
      <formula>NOT(ISERROR(SEARCH("SH",P29)))</formula>
    </cfRule>
    <cfRule type="expression" priority="1208" dxfId="2" stopIfTrue="1">
      <formula>NOT(ISERROR(SEARCH("WTT",P29)))</formula>
    </cfRule>
    <cfRule type="expression" priority="1209" dxfId="2" stopIfTrue="1">
      <formula>NOT(ISERROR(SEARCH("FH",P29)))</formula>
    </cfRule>
  </conditionalFormatting>
  <conditionalFormatting sqref="P48">
    <cfRule type="cellIs" priority="96" operator="equal" dxfId="11">
      <formula>"GS"</formula>
    </cfRule>
    <cfRule type="cellIs" priority="97" operator="equal" dxfId="10" stopIfTrue="1">
      <formula>"SR"</formula>
    </cfRule>
    <cfRule type="cellIs" priority="98" operator="equal" dxfId="9" stopIfTrue="1">
      <formula>"SG"</formula>
    </cfRule>
    <cfRule type="expression" priority="99" dxfId="8" stopIfTrue="1">
      <formula>NOT(ISERROR(SEARCH("AL",P48)))</formula>
    </cfRule>
    <cfRule type="cellIs" priority="100" operator="equal" dxfId="11">
      <formula>"SEC"</formula>
    </cfRule>
    <cfRule type="cellIs" priority="101" operator="equal" dxfId="10" stopIfTrue="1">
      <formula>"SR"</formula>
    </cfRule>
    <cfRule type="cellIs" priority="102" operator="equal" dxfId="9" stopIfTrue="1">
      <formula>"SG"</formula>
    </cfRule>
    <cfRule type="expression" priority="103" dxfId="8" stopIfTrue="1">
      <formula>NOT(ISERROR(SEARCH("AL",P48)))</formula>
    </cfRule>
    <cfRule type="expression" priority="104" dxfId="2" stopIfTrue="1">
      <formula>NOT(ISERROR(SEARCH("SEC",P48)))</formula>
    </cfRule>
    <cfRule type="cellIs" priority="105" operator="equal" dxfId="11">
      <formula>"GS"</formula>
    </cfRule>
    <cfRule type="expression" priority="106" dxfId="6" stopIfTrue="1">
      <formula>NOT(ISERROR(SEARCH("SL",P48)))</formula>
    </cfRule>
    <cfRule type="expression" priority="107" dxfId="2" stopIfTrue="1">
      <formula>NOT(ISERROR(SEARCH("NP",P48)))</formula>
    </cfRule>
    <cfRule type="expression" priority="108" dxfId="4" stopIfTrue="1">
      <formula>NOT(ISERROR(SEARCH("SH",P48)))</formula>
    </cfRule>
    <cfRule type="expression" priority="109" dxfId="2" stopIfTrue="1">
      <formula>NOT(ISERROR(SEARCH("WTT",P48)))</formula>
    </cfRule>
    <cfRule type="expression" priority="110" dxfId="2" stopIfTrue="1">
      <formula>NOT(ISERROR(SEARCH("FH",P48)))</formula>
    </cfRule>
  </conditionalFormatting>
  <conditionalFormatting sqref="P20:Q20">
    <cfRule type="containsText" priority="8" operator="containsText" dxfId="74" text="G">
      <formula>NOT(ISERROR(SEARCH("G",P20)))</formula>
    </cfRule>
  </conditionalFormatting>
  <conditionalFormatting sqref="P23:Q23">
    <cfRule type="cellIs" priority="1523" operator="equal" dxfId="11">
      <formula>"GS"</formula>
    </cfRule>
    <cfRule type="cellIs" priority="1524" operator="equal" dxfId="10" stopIfTrue="1">
      <formula>"SR"</formula>
    </cfRule>
    <cfRule type="cellIs" priority="1525" operator="equal" dxfId="9" stopIfTrue="1">
      <formula>"SG"</formula>
    </cfRule>
    <cfRule type="expression" priority="1526" dxfId="8" stopIfTrue="1">
      <formula>NOT(ISERROR(SEARCH("AL",P23)))</formula>
    </cfRule>
    <cfRule type="cellIs" priority="1527" operator="equal" dxfId="11">
      <formula>"SEC"</formula>
    </cfRule>
    <cfRule type="cellIs" priority="1528" operator="equal" dxfId="10" stopIfTrue="1">
      <formula>"SR"</formula>
    </cfRule>
    <cfRule type="cellIs" priority="1529" operator="equal" dxfId="9" stopIfTrue="1">
      <formula>"SG"</formula>
    </cfRule>
    <cfRule type="expression" priority="1530" dxfId="8" stopIfTrue="1">
      <formula>NOT(ISERROR(SEARCH("AL",P23)))</formula>
    </cfRule>
    <cfRule type="expression" priority="1531" dxfId="2" stopIfTrue="1">
      <formula>NOT(ISERROR(SEARCH("SEC",P23)))</formula>
    </cfRule>
    <cfRule type="cellIs" priority="1532" operator="equal" dxfId="11">
      <formula>"GS"</formula>
    </cfRule>
    <cfRule type="expression" priority="1533" dxfId="6" stopIfTrue="1">
      <formula>NOT(ISERROR(SEARCH("SL",P23)))</formula>
    </cfRule>
    <cfRule type="expression" priority="1534" dxfId="2" stopIfTrue="1">
      <formula>NOT(ISERROR(SEARCH("NP",P23)))</formula>
    </cfRule>
    <cfRule type="expression" priority="1535" dxfId="4" stopIfTrue="1">
      <formula>NOT(ISERROR(SEARCH("SH",P23)))</formula>
    </cfRule>
  </conditionalFormatting>
  <conditionalFormatting sqref="Q9">
    <cfRule type="cellIs" priority="1705" operator="equal" dxfId="11">
      <formula>"GS"</formula>
    </cfRule>
    <cfRule type="cellIs" priority="1706" operator="equal" dxfId="10" stopIfTrue="1">
      <formula>"SR"</formula>
    </cfRule>
    <cfRule type="cellIs" priority="1707" operator="equal" dxfId="9" stopIfTrue="1">
      <formula>"SG"</formula>
    </cfRule>
    <cfRule type="expression" priority="1708" dxfId="8" stopIfTrue="1">
      <formula>NOT(ISERROR(SEARCH("AL",Q9)))</formula>
    </cfRule>
  </conditionalFormatting>
  <conditionalFormatting sqref="Q21">
    <cfRule type="containsText" priority="1" operator="containsText" dxfId="74" text="G">
      <formula>NOT(ISERROR(SEARCH("G",Q21)))</formula>
    </cfRule>
  </conditionalFormatting>
  <conditionalFormatting sqref="Q33:Q34">
    <cfRule type="expression" priority="1795" dxfId="2" stopIfTrue="1">
      <formula>NOT(ISERROR(SEARCH("WTT",Q33)))</formula>
    </cfRule>
  </conditionalFormatting>
  <conditionalFormatting sqref="Q25:R25">
    <cfRule type="cellIs" priority="1419" operator="equal" dxfId="11">
      <formula>"GS"</formula>
    </cfRule>
    <cfRule type="cellIs" priority="1420" operator="equal" dxfId="10" stopIfTrue="1">
      <formula>"SR"</formula>
    </cfRule>
    <cfRule type="cellIs" priority="1421" operator="equal" dxfId="9" stopIfTrue="1">
      <formula>"SG"</formula>
    </cfRule>
    <cfRule type="expression" priority="1422" dxfId="8" stopIfTrue="1">
      <formula>NOT(ISERROR(SEARCH("AL",Q25)))</formula>
    </cfRule>
    <cfRule type="cellIs" priority="1423" operator="equal" dxfId="11">
      <formula>"SEC"</formula>
    </cfRule>
    <cfRule type="cellIs" priority="1424" operator="equal" dxfId="10" stopIfTrue="1">
      <formula>"SR"</formula>
    </cfRule>
    <cfRule type="cellIs" priority="1425" operator="equal" dxfId="9" stopIfTrue="1">
      <formula>"SG"</formula>
    </cfRule>
    <cfRule type="expression" priority="1426" dxfId="8" stopIfTrue="1">
      <formula>NOT(ISERROR(SEARCH("AL",Q25)))</formula>
    </cfRule>
    <cfRule type="expression" priority="1427" dxfId="2" stopIfTrue="1">
      <formula>NOT(ISERROR(SEARCH("SEC",Q25)))</formula>
    </cfRule>
    <cfRule type="cellIs" priority="1428" operator="equal" dxfId="11">
      <formula>"GS"</formula>
    </cfRule>
    <cfRule type="expression" priority="1429" dxfId="6" stopIfTrue="1">
      <formula>NOT(ISERROR(SEARCH("SL",Q25)))</formula>
    </cfRule>
    <cfRule type="expression" priority="1430" dxfId="2" stopIfTrue="1">
      <formula>NOT(ISERROR(SEARCH("NP",Q25)))</formula>
    </cfRule>
    <cfRule type="expression" priority="1431" dxfId="4" stopIfTrue="1">
      <formula>NOT(ISERROR(SEARCH("SH",Q25)))</formula>
    </cfRule>
  </conditionalFormatting>
  <conditionalFormatting sqref="Q27:R28">
    <cfRule type="expression" priority="1779" dxfId="2" stopIfTrue="1">
      <formula>NOT(ISERROR(SEARCH("WTT",Q27)))</formula>
    </cfRule>
  </conditionalFormatting>
  <conditionalFormatting sqref="R11">
    <cfRule type="containsText" priority="18" operator="containsText" dxfId="74" text="G">
      <formula>NOT(ISERROR(SEARCH("G",R11)))</formula>
    </cfRule>
  </conditionalFormatting>
  <conditionalFormatting sqref="R32">
    <cfRule type="cellIs" priority="1000" operator="equal" dxfId="11">
      <formula>"GS"</formula>
    </cfRule>
    <cfRule type="cellIs" priority="1001" operator="equal" dxfId="10" stopIfTrue="1">
      <formula>"SR"</formula>
    </cfRule>
    <cfRule type="cellIs" priority="1002" operator="equal" dxfId="9" stopIfTrue="1">
      <formula>"SG"</formula>
    </cfRule>
    <cfRule type="expression" priority="1003" dxfId="8" stopIfTrue="1">
      <formula>NOT(ISERROR(SEARCH("AL",R32)))</formula>
    </cfRule>
    <cfRule type="cellIs" priority="1004" operator="equal" dxfId="11">
      <formula>"SEC"</formula>
    </cfRule>
    <cfRule type="cellIs" priority="1005" operator="equal" dxfId="10" stopIfTrue="1">
      <formula>"SR"</formula>
    </cfRule>
    <cfRule type="cellIs" priority="1006" operator="equal" dxfId="9" stopIfTrue="1">
      <formula>"SG"</formula>
    </cfRule>
    <cfRule type="expression" priority="1007" dxfId="8" stopIfTrue="1">
      <formula>NOT(ISERROR(SEARCH("AL",R32)))</formula>
    </cfRule>
    <cfRule type="expression" priority="1008" dxfId="2" stopIfTrue="1">
      <formula>NOT(ISERROR(SEARCH("SEC",R32)))</formula>
    </cfRule>
    <cfRule type="cellIs" priority="1009" operator="equal" dxfId="11">
      <formula>"GS"</formula>
    </cfRule>
    <cfRule type="expression" priority="1010" dxfId="6" stopIfTrue="1">
      <formula>NOT(ISERROR(SEARCH("SL",R32)))</formula>
    </cfRule>
    <cfRule type="expression" priority="1011" dxfId="2" stopIfTrue="1">
      <formula>NOT(ISERROR(SEARCH("NP",R32)))</formula>
    </cfRule>
    <cfRule type="expression" priority="1012" dxfId="4" stopIfTrue="1">
      <formula>NOT(ISERROR(SEARCH("SH",R32)))</formula>
    </cfRule>
    <cfRule type="expression" priority="1013" dxfId="2" stopIfTrue="1">
      <formula>NOT(ISERROR(SEARCH("WTT",R32)))</formula>
    </cfRule>
    <cfRule type="expression" priority="1014" dxfId="2" stopIfTrue="1">
      <formula>NOT(ISERROR(SEARCH("FH",R32)))</formula>
    </cfRule>
  </conditionalFormatting>
  <conditionalFormatting sqref="R29:S33">
    <cfRule type="expression" priority="1784" dxfId="2" stopIfTrue="1">
      <formula>NOT(ISERROR(SEARCH("WTT",R29)))</formula>
    </cfRule>
  </conditionalFormatting>
  <conditionalFormatting sqref="R30:S30">
    <cfRule type="cellIs" priority="1120" operator="equal" dxfId="11">
      <formula>"GS"</formula>
    </cfRule>
    <cfRule type="cellIs" priority="1121" operator="equal" dxfId="10" stopIfTrue="1">
      <formula>"SR"</formula>
    </cfRule>
    <cfRule type="cellIs" priority="1122" operator="equal" dxfId="9" stopIfTrue="1">
      <formula>"SG"</formula>
    </cfRule>
    <cfRule type="expression" priority="1123" dxfId="8" stopIfTrue="1">
      <formula>NOT(ISERROR(SEARCH("AL",R30)))</formula>
    </cfRule>
    <cfRule type="cellIs" priority="1124" operator="equal" dxfId="11">
      <formula>"SEC"</formula>
    </cfRule>
    <cfRule type="cellIs" priority="1125" operator="equal" dxfId="10" stopIfTrue="1">
      <formula>"SR"</formula>
    </cfRule>
    <cfRule type="cellIs" priority="1126" operator="equal" dxfId="9" stopIfTrue="1">
      <formula>"SG"</formula>
    </cfRule>
    <cfRule type="expression" priority="1127" dxfId="8" stopIfTrue="1">
      <formula>NOT(ISERROR(SEARCH("AL",R30)))</formula>
    </cfRule>
    <cfRule type="expression" priority="1128" dxfId="2" stopIfTrue="1">
      <formula>NOT(ISERROR(SEARCH("SEC",R30)))</formula>
    </cfRule>
    <cfRule type="cellIs" priority="1129" operator="equal" dxfId="11">
      <formula>"GS"</formula>
    </cfRule>
    <cfRule type="expression" priority="1130" dxfId="6" stopIfTrue="1">
      <formula>NOT(ISERROR(SEARCH("SL",R30)))</formula>
    </cfRule>
    <cfRule type="expression" priority="1131" dxfId="2" stopIfTrue="1">
      <formula>NOT(ISERROR(SEARCH("NP",R30)))</formula>
    </cfRule>
    <cfRule type="expression" priority="1132" dxfId="4" stopIfTrue="1">
      <formula>NOT(ISERROR(SEARCH("SH",R30)))</formula>
    </cfRule>
    <cfRule type="expression" priority="1133" dxfId="2" stopIfTrue="1">
      <formula>NOT(ISERROR(SEARCH("WTT",R30)))</formula>
    </cfRule>
    <cfRule type="expression" priority="1134" dxfId="2" stopIfTrue="1">
      <formula>NOT(ISERROR(SEARCH("FH",R30)))</formula>
    </cfRule>
  </conditionalFormatting>
  <conditionalFormatting sqref="R43:S43">
    <cfRule type="cellIs" priority="353" operator="equal" dxfId="11">
      <formula>"GS"</formula>
    </cfRule>
    <cfRule type="cellIs" priority="354" operator="equal" dxfId="10" stopIfTrue="1">
      <formula>"SR"</formula>
    </cfRule>
    <cfRule type="cellIs" priority="355" operator="equal" dxfId="9" stopIfTrue="1">
      <formula>"SG"</formula>
    </cfRule>
    <cfRule type="expression" priority="356" dxfId="8" stopIfTrue="1">
      <formula>NOT(ISERROR(SEARCH("AL",R43)))</formula>
    </cfRule>
    <cfRule type="cellIs" priority="357" operator="equal" dxfId="11">
      <formula>"SEC"</formula>
    </cfRule>
    <cfRule type="cellIs" priority="358" operator="equal" dxfId="10" stopIfTrue="1">
      <formula>"SR"</formula>
    </cfRule>
    <cfRule type="cellIs" priority="359" operator="equal" dxfId="9" stopIfTrue="1">
      <formula>"SG"</formula>
    </cfRule>
    <cfRule type="expression" priority="360" dxfId="8" stopIfTrue="1">
      <formula>NOT(ISERROR(SEARCH("AL",R43)))</formula>
    </cfRule>
    <cfRule type="expression" priority="361" dxfId="2" stopIfTrue="1">
      <formula>NOT(ISERROR(SEARCH("SEC",R43)))</formula>
    </cfRule>
    <cfRule type="cellIs" priority="362" operator="equal" dxfId="11">
      <formula>"GS"</formula>
    </cfRule>
    <cfRule type="expression" priority="363" dxfId="6" stopIfTrue="1">
      <formula>NOT(ISERROR(SEARCH("SL",R43)))</formula>
    </cfRule>
    <cfRule type="expression" priority="364" dxfId="2" stopIfTrue="1">
      <formula>NOT(ISERROR(SEARCH("NP",R43)))</formula>
    </cfRule>
    <cfRule type="expression" priority="365" dxfId="4" stopIfTrue="1">
      <formula>NOT(ISERROR(SEARCH("SH",R43)))</formula>
    </cfRule>
    <cfRule type="expression" priority="366" dxfId="2" stopIfTrue="1">
      <formula>NOT(ISERROR(SEARCH("WTT",R43)))</formula>
    </cfRule>
    <cfRule type="expression" priority="367" dxfId="2" stopIfTrue="1">
      <formula>NOT(ISERROR(SEARCH("FH",R43)))</formula>
    </cfRule>
  </conditionalFormatting>
  <conditionalFormatting sqref="R10:V10">
    <cfRule type="containsText" priority="11" operator="containsText" dxfId="74" text="G">
      <formula>NOT(ISERROR(SEARCH("G",R10)))</formula>
    </cfRule>
  </conditionalFormatting>
  <conditionalFormatting sqref="S24">
    <cfRule type="cellIs" priority="1458" operator="equal" dxfId="11">
      <formula>"GS"</formula>
    </cfRule>
    <cfRule type="cellIs" priority="1459" operator="equal" dxfId="10" stopIfTrue="1">
      <formula>"SR"</formula>
    </cfRule>
    <cfRule type="cellIs" priority="1460" operator="equal" dxfId="9" stopIfTrue="1">
      <formula>"SG"</formula>
    </cfRule>
    <cfRule type="expression" priority="1461" dxfId="8" stopIfTrue="1">
      <formula>NOT(ISERROR(SEARCH("AL",S24)))</formula>
    </cfRule>
    <cfRule type="cellIs" priority="1462" operator="equal" dxfId="11">
      <formula>"SEC"</formula>
    </cfRule>
    <cfRule type="cellIs" priority="1463" operator="equal" dxfId="10" stopIfTrue="1">
      <formula>"SR"</formula>
    </cfRule>
    <cfRule type="cellIs" priority="1464" operator="equal" dxfId="9" stopIfTrue="1">
      <formula>"SG"</formula>
    </cfRule>
    <cfRule type="expression" priority="1465" dxfId="8" stopIfTrue="1">
      <formula>NOT(ISERROR(SEARCH("AL",S24)))</formula>
    </cfRule>
    <cfRule type="expression" priority="1466" dxfId="2" stopIfTrue="1">
      <formula>NOT(ISERROR(SEARCH("SEC",S24)))</formula>
    </cfRule>
    <cfRule type="cellIs" priority="1467" operator="equal" dxfId="11">
      <formula>"GS"</formula>
    </cfRule>
    <cfRule type="expression" priority="1468" dxfId="6" stopIfTrue="1">
      <formula>NOT(ISERROR(SEARCH("SL",S24)))</formula>
    </cfRule>
    <cfRule type="expression" priority="1469" dxfId="2" stopIfTrue="1">
      <formula>NOT(ISERROR(SEARCH("NP",S24)))</formula>
    </cfRule>
    <cfRule type="expression" priority="1470" dxfId="4" stopIfTrue="1">
      <formula>NOT(ISERROR(SEARCH("SH",S24)))</formula>
    </cfRule>
  </conditionalFormatting>
  <conditionalFormatting sqref="S22:T22">
    <cfRule type="cellIs" priority="1562" operator="equal" dxfId="11">
      <formula>"GS"</formula>
    </cfRule>
    <cfRule type="cellIs" priority="1563" operator="equal" dxfId="10" stopIfTrue="1">
      <formula>"SR"</formula>
    </cfRule>
    <cfRule type="cellIs" priority="1564" operator="equal" dxfId="9" stopIfTrue="1">
      <formula>"SG"</formula>
    </cfRule>
    <cfRule type="expression" priority="1565" dxfId="8" stopIfTrue="1">
      <formula>NOT(ISERROR(SEARCH("AL",S22)))</formula>
    </cfRule>
    <cfRule type="cellIs" priority="1566" operator="equal" dxfId="11">
      <formula>"SEC"</formula>
    </cfRule>
    <cfRule type="cellIs" priority="1567" operator="equal" dxfId="10" stopIfTrue="1">
      <formula>"SR"</formula>
    </cfRule>
    <cfRule type="cellIs" priority="1568" operator="equal" dxfId="9" stopIfTrue="1">
      <formula>"SG"</formula>
    </cfRule>
    <cfRule type="expression" priority="1569" dxfId="8" stopIfTrue="1">
      <formula>NOT(ISERROR(SEARCH("AL",S22)))</formula>
    </cfRule>
    <cfRule type="expression" priority="1570" dxfId="2" stopIfTrue="1">
      <formula>NOT(ISERROR(SEARCH("SEC",S22)))</formula>
    </cfRule>
    <cfRule type="cellIs" priority="1571" operator="equal" dxfId="11">
      <formula>"GS"</formula>
    </cfRule>
    <cfRule type="expression" priority="1572" dxfId="6" stopIfTrue="1">
      <formula>NOT(ISERROR(SEARCH("SL",S22)))</formula>
    </cfRule>
    <cfRule type="expression" priority="1573" dxfId="2" stopIfTrue="1">
      <formula>NOT(ISERROR(SEARCH("NP",S22)))</formula>
    </cfRule>
    <cfRule type="expression" priority="1574" dxfId="4" stopIfTrue="1">
      <formula>NOT(ISERROR(SEARCH("SH",S22)))</formula>
    </cfRule>
  </conditionalFormatting>
  <conditionalFormatting sqref="S26:T26">
    <cfRule type="expression" priority="1775" dxfId="2" stopIfTrue="1">
      <formula>NOT(ISERROR(SEARCH("WTT",S26)))</formula>
    </cfRule>
  </conditionalFormatting>
  <conditionalFormatting sqref="S46:T46">
    <cfRule type="cellIs" priority="203" operator="equal" dxfId="11">
      <formula>"GS"</formula>
    </cfRule>
    <cfRule type="cellIs" priority="204" operator="equal" dxfId="10" stopIfTrue="1">
      <formula>"SR"</formula>
    </cfRule>
    <cfRule type="cellIs" priority="205" operator="equal" dxfId="9" stopIfTrue="1">
      <formula>"SG"</formula>
    </cfRule>
    <cfRule type="expression" priority="206" dxfId="8" stopIfTrue="1">
      <formula>NOT(ISERROR(SEARCH("AL",S46)))</formula>
    </cfRule>
    <cfRule type="cellIs" priority="207" operator="equal" dxfId="11">
      <formula>"SEC"</formula>
    </cfRule>
    <cfRule type="cellIs" priority="208" operator="equal" dxfId="10" stopIfTrue="1">
      <formula>"SR"</formula>
    </cfRule>
    <cfRule type="cellIs" priority="209" operator="equal" dxfId="9" stopIfTrue="1">
      <formula>"SG"</formula>
    </cfRule>
    <cfRule type="expression" priority="210" dxfId="8" stopIfTrue="1">
      <formula>NOT(ISERROR(SEARCH("AL",S46)))</formula>
    </cfRule>
    <cfRule type="expression" priority="211" dxfId="2" stopIfTrue="1">
      <formula>NOT(ISERROR(SEARCH("SEC",S46)))</formula>
    </cfRule>
    <cfRule type="cellIs" priority="212" operator="equal" dxfId="11">
      <formula>"GS"</formula>
    </cfRule>
    <cfRule type="expression" priority="213" dxfId="6" stopIfTrue="1">
      <formula>NOT(ISERROR(SEARCH("SL",S46)))</formula>
    </cfRule>
    <cfRule type="expression" priority="214" dxfId="2" stopIfTrue="1">
      <formula>NOT(ISERROR(SEARCH("NP",S46)))</formula>
    </cfRule>
    <cfRule type="expression" priority="215" dxfId="4" stopIfTrue="1">
      <formula>NOT(ISERROR(SEARCH("SH",S46)))</formula>
    </cfRule>
    <cfRule type="expression" priority="216" dxfId="2" stopIfTrue="1">
      <formula>NOT(ISERROR(SEARCH("WTT",S46)))</formula>
    </cfRule>
    <cfRule type="expression" priority="217" dxfId="2" stopIfTrue="1">
      <formula>NOT(ISERROR(SEARCH("FH",S46)))</formula>
    </cfRule>
  </conditionalFormatting>
  <conditionalFormatting sqref="T28">
    <cfRule type="cellIs" priority="1253" operator="equal" dxfId="11">
      <formula>"GS"</formula>
    </cfRule>
    <cfRule type="cellIs" priority="1254" operator="equal" dxfId="10" stopIfTrue="1">
      <formula>"SR"</formula>
    </cfRule>
    <cfRule type="cellIs" priority="1255" operator="equal" dxfId="9" stopIfTrue="1">
      <formula>"SG"</formula>
    </cfRule>
    <cfRule type="expression" priority="1256" dxfId="8" stopIfTrue="1">
      <formula>NOT(ISERROR(SEARCH("AL",T28)))</formula>
    </cfRule>
    <cfRule type="cellIs" priority="1257" operator="equal" dxfId="11">
      <formula>"SEC"</formula>
    </cfRule>
    <cfRule type="cellIs" priority="1258" operator="equal" dxfId="10" stopIfTrue="1">
      <formula>"SR"</formula>
    </cfRule>
    <cfRule type="cellIs" priority="1259" operator="equal" dxfId="9" stopIfTrue="1">
      <formula>"SG"</formula>
    </cfRule>
    <cfRule type="expression" priority="1260" dxfId="8" stopIfTrue="1">
      <formula>NOT(ISERROR(SEARCH("AL",T28)))</formula>
    </cfRule>
    <cfRule type="expression" priority="1261" dxfId="2" stopIfTrue="1">
      <formula>NOT(ISERROR(SEARCH("SEC",T28)))</formula>
    </cfRule>
    <cfRule type="cellIs" priority="1262" operator="equal" dxfId="11">
      <formula>"GS"</formula>
    </cfRule>
    <cfRule type="expression" priority="1263" dxfId="6" stopIfTrue="1">
      <formula>NOT(ISERROR(SEARCH("SL",T28)))</formula>
    </cfRule>
    <cfRule type="expression" priority="1264" dxfId="2" stopIfTrue="1">
      <formula>NOT(ISERROR(SEARCH("NP",T28)))</formula>
    </cfRule>
    <cfRule type="expression" priority="1265" dxfId="4" stopIfTrue="1">
      <formula>NOT(ISERROR(SEARCH("SH",T28)))</formula>
    </cfRule>
    <cfRule type="expression" priority="1266" dxfId="2" stopIfTrue="1">
      <formula>NOT(ISERROR(SEARCH("WTT",T28)))</formula>
    </cfRule>
  </conditionalFormatting>
  <conditionalFormatting sqref="T31:T32">
    <cfRule type="expression" priority="1790" dxfId="2" stopIfTrue="1">
      <formula>NOT(ISERROR(SEARCH("WTT",T31)))</formula>
    </cfRule>
  </conditionalFormatting>
  <conditionalFormatting sqref="T39">
    <cfRule type="cellIs" priority="609" operator="equal" dxfId="11">
      <formula>"GS"</formula>
    </cfRule>
    <cfRule type="cellIs" priority="610" operator="equal" dxfId="10" stopIfTrue="1">
      <formula>"SR"</formula>
    </cfRule>
    <cfRule type="cellIs" priority="611" operator="equal" dxfId="9" stopIfTrue="1">
      <formula>"SG"</formula>
    </cfRule>
    <cfRule type="expression" priority="612" dxfId="8" stopIfTrue="1">
      <formula>NOT(ISERROR(SEARCH("AL",T39)))</formula>
    </cfRule>
    <cfRule type="cellIs" priority="613" operator="equal" dxfId="11">
      <formula>"SEC"</formula>
    </cfRule>
    <cfRule type="cellIs" priority="614" operator="equal" dxfId="10" stopIfTrue="1">
      <formula>"SR"</formula>
    </cfRule>
    <cfRule type="cellIs" priority="615" operator="equal" dxfId="9" stopIfTrue="1">
      <formula>"SG"</formula>
    </cfRule>
    <cfRule type="expression" priority="616" dxfId="8" stopIfTrue="1">
      <formula>NOT(ISERROR(SEARCH("AL",T39)))</formula>
    </cfRule>
    <cfRule type="expression" priority="617" dxfId="2" stopIfTrue="1">
      <formula>NOT(ISERROR(SEARCH("SEC",T39)))</formula>
    </cfRule>
    <cfRule type="cellIs" priority="618" operator="equal" dxfId="11">
      <formula>"GS"</formula>
    </cfRule>
    <cfRule type="expression" priority="619" dxfId="6" stopIfTrue="1">
      <formula>NOT(ISERROR(SEARCH("SL",T39)))</formula>
    </cfRule>
    <cfRule type="expression" priority="620" dxfId="2" stopIfTrue="1">
      <formula>NOT(ISERROR(SEARCH("NP",T39)))</formula>
    </cfRule>
    <cfRule type="expression" priority="621" dxfId="4" stopIfTrue="1">
      <formula>NOT(ISERROR(SEARCH("SH",T39)))</formula>
    </cfRule>
    <cfRule type="expression" priority="622" dxfId="2" stopIfTrue="1">
      <formula>NOT(ISERROR(SEARCH("WTT",T39)))</formula>
    </cfRule>
    <cfRule type="expression" priority="623" dxfId="2" stopIfTrue="1">
      <formula>NOT(ISERROR(SEARCH("FH",T39)))</formula>
    </cfRule>
  </conditionalFormatting>
  <conditionalFormatting sqref="T47">
    <cfRule type="cellIs" priority="142" operator="equal" dxfId="11">
      <formula>"GS"</formula>
    </cfRule>
    <cfRule type="cellIs" priority="143" operator="equal" dxfId="10" stopIfTrue="1">
      <formula>"SR"</formula>
    </cfRule>
    <cfRule type="cellIs" priority="144" operator="equal" dxfId="9" stopIfTrue="1">
      <formula>"SG"</formula>
    </cfRule>
    <cfRule type="expression" priority="145" dxfId="8" stopIfTrue="1">
      <formula>NOT(ISERROR(SEARCH("AL",T47)))</formula>
    </cfRule>
    <cfRule type="cellIs" priority="146" operator="equal" dxfId="11">
      <formula>"SEC"</formula>
    </cfRule>
    <cfRule type="cellIs" priority="147" operator="equal" dxfId="10" stopIfTrue="1">
      <formula>"SR"</formula>
    </cfRule>
    <cfRule type="cellIs" priority="148" operator="equal" dxfId="9" stopIfTrue="1">
      <formula>"SG"</formula>
    </cfRule>
    <cfRule type="expression" priority="149" dxfId="8" stopIfTrue="1">
      <formula>NOT(ISERROR(SEARCH("AL",T47)))</formula>
    </cfRule>
    <cfRule type="expression" priority="150" dxfId="2" stopIfTrue="1">
      <formula>NOT(ISERROR(SEARCH("SEC",T47)))</formula>
    </cfRule>
    <cfRule type="cellIs" priority="151" operator="equal" dxfId="11">
      <formula>"GS"</formula>
    </cfRule>
    <cfRule type="expression" priority="152" dxfId="6" stopIfTrue="1">
      <formula>NOT(ISERROR(SEARCH("SL",T47)))</formula>
    </cfRule>
    <cfRule type="expression" priority="153" dxfId="2" stopIfTrue="1">
      <formula>NOT(ISERROR(SEARCH("NP",T47)))</formula>
    </cfRule>
    <cfRule type="expression" priority="154" dxfId="4" stopIfTrue="1">
      <formula>NOT(ISERROR(SEARCH("SH",T47)))</formula>
    </cfRule>
    <cfRule type="expression" priority="155" dxfId="2" stopIfTrue="1">
      <formula>NOT(ISERROR(SEARCH("WTT",T47)))</formula>
    </cfRule>
    <cfRule type="expression" priority="156" dxfId="2" stopIfTrue="1">
      <formula>NOT(ISERROR(SEARCH("FH",T47)))</formula>
    </cfRule>
    <cfRule type="cellIs" priority="157" operator="equal" dxfId="9" stopIfTrue="1">
      <formula>"OTN"</formula>
    </cfRule>
  </conditionalFormatting>
  <conditionalFormatting sqref="T11:V11">
    <cfRule type="cellIs" priority="1665" operator="equal" dxfId="11">
      <formula>"GS"</formula>
    </cfRule>
    <cfRule type="cellIs" priority="1666" operator="equal" dxfId="10" stopIfTrue="1">
      <formula>"SR"</formula>
    </cfRule>
    <cfRule type="cellIs" priority="1667" operator="equal" dxfId="9" stopIfTrue="1">
      <formula>"SG"</formula>
    </cfRule>
    <cfRule type="expression" priority="1668" dxfId="8" stopIfTrue="1">
      <formula>NOT(ISERROR(SEARCH("AL",T11)))</formula>
    </cfRule>
  </conditionalFormatting>
  <conditionalFormatting sqref="T21:V21">
    <cfRule type="cellIs" priority="1628" operator="equal" dxfId="11">
      <formula>"GS"</formula>
    </cfRule>
    <cfRule type="cellIs" priority="1629" operator="equal" dxfId="10" stopIfTrue="1">
      <formula>"SR"</formula>
    </cfRule>
    <cfRule type="cellIs" priority="1630" operator="equal" dxfId="9" stopIfTrue="1">
      <formula>"SG"</formula>
    </cfRule>
    <cfRule type="expression" priority="1631" dxfId="8" stopIfTrue="1">
      <formula>NOT(ISERROR(SEARCH("AL",T21)))</formula>
    </cfRule>
  </conditionalFormatting>
  <conditionalFormatting sqref="U26:U27">
    <cfRule type="expression" priority="1776" dxfId="2" stopIfTrue="1">
      <formula>NOT(ISERROR(SEARCH("WTT",U26)))</formula>
    </cfRule>
  </conditionalFormatting>
  <conditionalFormatting sqref="U31">
    <cfRule type="cellIs" priority="1060" operator="equal" dxfId="11">
      <formula>"GS"</formula>
    </cfRule>
    <cfRule type="cellIs" priority="1061" operator="equal" dxfId="10" stopIfTrue="1">
      <formula>"SR"</formula>
    </cfRule>
    <cfRule type="cellIs" priority="1062" operator="equal" dxfId="9" stopIfTrue="1">
      <formula>"SG"</formula>
    </cfRule>
    <cfRule type="expression" priority="1063" dxfId="8" stopIfTrue="1">
      <formula>NOT(ISERROR(SEARCH("AL",U31)))</formula>
    </cfRule>
    <cfRule type="cellIs" priority="1064" operator="equal" dxfId="11">
      <formula>"SEC"</formula>
    </cfRule>
    <cfRule type="cellIs" priority="1065" operator="equal" dxfId="10" stopIfTrue="1">
      <formula>"SR"</formula>
    </cfRule>
    <cfRule type="cellIs" priority="1066" operator="equal" dxfId="9" stopIfTrue="1">
      <formula>"SG"</formula>
    </cfRule>
    <cfRule type="expression" priority="1067" dxfId="8" stopIfTrue="1">
      <formula>NOT(ISERROR(SEARCH("AL",U31)))</formula>
    </cfRule>
    <cfRule type="expression" priority="1068" dxfId="2" stopIfTrue="1">
      <formula>NOT(ISERROR(SEARCH("SEC",U31)))</formula>
    </cfRule>
    <cfRule type="cellIs" priority="1069" operator="equal" dxfId="11">
      <formula>"GS"</formula>
    </cfRule>
    <cfRule type="expression" priority="1070" dxfId="6" stopIfTrue="1">
      <formula>NOT(ISERROR(SEARCH("SL",U31)))</formula>
    </cfRule>
    <cfRule type="expression" priority="1071" dxfId="2" stopIfTrue="1">
      <formula>NOT(ISERROR(SEARCH("NP",U31)))</formula>
    </cfRule>
    <cfRule type="expression" priority="1072" dxfId="4" stopIfTrue="1">
      <formula>NOT(ISERROR(SEARCH("SH",U31)))</formula>
    </cfRule>
    <cfRule type="expression" priority="1073" dxfId="2" stopIfTrue="1">
      <formula>NOT(ISERROR(SEARCH("WTT",U31)))</formula>
    </cfRule>
    <cfRule type="expression" priority="1074" dxfId="2" stopIfTrue="1">
      <formula>NOT(ISERROR(SEARCH("FH",U31)))</formula>
    </cfRule>
  </conditionalFormatting>
  <conditionalFormatting sqref="U40">
    <cfRule type="cellIs" priority="550" operator="equal" dxfId="10" stopIfTrue="1">
      <formula>"SR"</formula>
    </cfRule>
    <cfRule type="cellIs" priority="551" operator="equal" dxfId="9" stopIfTrue="1">
      <formula>"SG"</formula>
    </cfRule>
    <cfRule type="expression" priority="552" dxfId="8" stopIfTrue="1">
      <formula>NOT(ISERROR(SEARCH("AL",U40)))</formula>
    </cfRule>
    <cfRule type="cellIs" priority="553" operator="equal" dxfId="11">
      <formula>"SEC"</formula>
    </cfRule>
    <cfRule type="cellIs" priority="554" operator="equal" dxfId="10" stopIfTrue="1">
      <formula>"SR"</formula>
    </cfRule>
    <cfRule type="cellIs" priority="555" operator="equal" dxfId="9" stopIfTrue="1">
      <formula>"SG"</formula>
    </cfRule>
    <cfRule type="expression" priority="556" dxfId="8" stopIfTrue="1">
      <formula>NOT(ISERROR(SEARCH("AL",U40)))</formula>
    </cfRule>
    <cfRule type="expression" priority="557" dxfId="2" stopIfTrue="1">
      <formula>NOT(ISERROR(SEARCH("SEC",U40)))</formula>
    </cfRule>
    <cfRule type="cellIs" priority="558" operator="equal" dxfId="11">
      <formula>"GS"</formula>
    </cfRule>
    <cfRule type="expression" priority="559" dxfId="6" stopIfTrue="1">
      <formula>NOT(ISERROR(SEARCH("SL",U40)))</formula>
    </cfRule>
    <cfRule type="expression" priority="560" dxfId="2" stopIfTrue="1">
      <formula>NOT(ISERROR(SEARCH("NP",U40)))</formula>
    </cfRule>
    <cfRule type="expression" priority="561" dxfId="4" stopIfTrue="1">
      <formula>NOT(ISERROR(SEARCH("SH",U40)))</formula>
    </cfRule>
    <cfRule type="expression" priority="562" dxfId="2" stopIfTrue="1">
      <formula>NOT(ISERROR(SEARCH("WTT",U40)))</formula>
    </cfRule>
    <cfRule type="expression" priority="563" dxfId="2" stopIfTrue="1">
      <formula>NOT(ISERROR(SEARCH("FH",U40)))</formula>
    </cfRule>
  </conditionalFormatting>
  <conditionalFormatting sqref="U40:U41">
    <cfRule type="cellIs" priority="497" operator="equal" dxfId="11">
      <formula>"GS"</formula>
    </cfRule>
  </conditionalFormatting>
  <conditionalFormatting sqref="U41">
    <cfRule type="cellIs" priority="489" operator="equal" dxfId="10" stopIfTrue="1">
      <formula>"SR"</formula>
    </cfRule>
    <cfRule type="cellIs" priority="490" operator="equal" dxfId="9" stopIfTrue="1">
      <formula>"SG"</formula>
    </cfRule>
    <cfRule type="expression" priority="491" dxfId="8" stopIfTrue="1">
      <formula>NOT(ISERROR(SEARCH("AL",U41)))</formula>
    </cfRule>
    <cfRule type="cellIs" priority="492" operator="equal" dxfId="11">
      <formula>"SEC"</formula>
    </cfRule>
    <cfRule type="cellIs" priority="493" operator="equal" dxfId="10" stopIfTrue="1">
      <formula>"SR"</formula>
    </cfRule>
    <cfRule type="cellIs" priority="494" operator="equal" dxfId="9" stopIfTrue="1">
      <formula>"SG"</formula>
    </cfRule>
    <cfRule type="expression" priority="495" dxfId="8" stopIfTrue="1">
      <formula>NOT(ISERROR(SEARCH("AL",U41)))</formula>
    </cfRule>
    <cfRule type="expression" priority="496" dxfId="2" stopIfTrue="1">
      <formula>NOT(ISERROR(SEARCH("SEC",U41)))</formula>
    </cfRule>
    <cfRule type="expression" priority="498" dxfId="6" stopIfTrue="1">
      <formula>NOT(ISERROR(SEARCH("SL",U41)))</formula>
    </cfRule>
    <cfRule type="expression" priority="499" dxfId="2" stopIfTrue="1">
      <formula>NOT(ISERROR(SEARCH("NP",U41)))</formula>
    </cfRule>
    <cfRule type="expression" priority="500" dxfId="4" stopIfTrue="1">
      <formula>NOT(ISERROR(SEARCH("SH",U41)))</formula>
    </cfRule>
    <cfRule type="expression" priority="501" dxfId="2" stopIfTrue="1">
      <formula>NOT(ISERROR(SEARCH("WTT",U41)))</formula>
    </cfRule>
    <cfRule type="expression" priority="502" dxfId="2" stopIfTrue="1">
      <formula>NOT(ISERROR(SEARCH("FH",U41)))</formula>
    </cfRule>
    <cfRule type="cellIs" priority="503" operator="equal" dxfId="9" stopIfTrue="1">
      <formula>"OTN"</formula>
    </cfRule>
  </conditionalFormatting>
  <conditionalFormatting sqref="U41:U42">
    <cfRule type="cellIs" priority="437" operator="equal" dxfId="11">
      <formula>"GS"</formula>
    </cfRule>
  </conditionalFormatting>
  <conditionalFormatting sqref="U42">
    <cfRule type="cellIs" priority="428" operator="equal" dxfId="11">
      <formula>"GS"</formula>
    </cfRule>
    <cfRule type="cellIs" priority="429" operator="equal" dxfId="10" stopIfTrue="1">
      <formula>"SR"</formula>
    </cfRule>
    <cfRule type="cellIs" priority="430" operator="equal" dxfId="9" stopIfTrue="1">
      <formula>"SG"</formula>
    </cfRule>
    <cfRule type="expression" priority="431" dxfId="8" stopIfTrue="1">
      <formula>NOT(ISERROR(SEARCH("AL",U42)))</formula>
    </cfRule>
    <cfRule type="cellIs" priority="432" operator="equal" dxfId="11">
      <formula>"SEC"</formula>
    </cfRule>
    <cfRule type="cellIs" priority="433" operator="equal" dxfId="10" stopIfTrue="1">
      <formula>"SR"</formula>
    </cfRule>
    <cfRule type="cellIs" priority="434" operator="equal" dxfId="9" stopIfTrue="1">
      <formula>"SG"</formula>
    </cfRule>
    <cfRule type="expression" priority="435" dxfId="8" stopIfTrue="1">
      <formula>NOT(ISERROR(SEARCH("AL",U42)))</formula>
    </cfRule>
    <cfRule type="expression" priority="436" dxfId="2" stopIfTrue="1">
      <formula>NOT(ISERROR(SEARCH("SEC",U42)))</formula>
    </cfRule>
    <cfRule type="expression" priority="438" dxfId="6" stopIfTrue="1">
      <formula>NOT(ISERROR(SEARCH("SL",U42)))</formula>
    </cfRule>
    <cfRule type="expression" priority="439" dxfId="2" stopIfTrue="1">
      <formula>NOT(ISERROR(SEARCH("NP",U42)))</formula>
    </cfRule>
    <cfRule type="expression" priority="440" dxfId="4" stopIfTrue="1">
      <formula>NOT(ISERROR(SEARCH("SH",U42)))</formula>
    </cfRule>
    <cfRule type="expression" priority="441" dxfId="2" stopIfTrue="1">
      <formula>NOT(ISERROR(SEARCH("WTT",U42)))</formula>
    </cfRule>
    <cfRule type="expression" priority="442" dxfId="2" stopIfTrue="1">
      <formula>NOT(ISERROR(SEARCH("FH",U42)))</formula>
    </cfRule>
  </conditionalFormatting>
  <conditionalFormatting sqref="U41:V41">
    <cfRule type="expression" priority="1803" dxfId="2" stopIfTrue="1">
      <formula>NOT(ISERROR(SEARCH("WTT",U41)))</formula>
    </cfRule>
  </conditionalFormatting>
  <conditionalFormatting sqref="U45:V45">
    <cfRule type="cellIs" priority="263" operator="equal" dxfId="11">
      <formula>"GS"</formula>
    </cfRule>
    <cfRule type="cellIs" priority="264" operator="equal" dxfId="10" stopIfTrue="1">
      <formula>"SR"</formula>
    </cfRule>
    <cfRule type="cellIs" priority="265" operator="equal" dxfId="9" stopIfTrue="1">
      <formula>"SG"</formula>
    </cfRule>
    <cfRule type="expression" priority="266" dxfId="8" stopIfTrue="1">
      <formula>NOT(ISERROR(SEARCH("AL",U45)))</formula>
    </cfRule>
    <cfRule type="cellIs" priority="267" operator="equal" dxfId="11">
      <formula>"SEC"</formula>
    </cfRule>
    <cfRule type="cellIs" priority="268" operator="equal" dxfId="10" stopIfTrue="1">
      <formula>"SR"</formula>
    </cfRule>
    <cfRule type="cellIs" priority="269" operator="equal" dxfId="9" stopIfTrue="1">
      <formula>"SG"</formula>
    </cfRule>
    <cfRule type="expression" priority="270" dxfId="8" stopIfTrue="1">
      <formula>NOT(ISERROR(SEARCH("AL",U45)))</formula>
    </cfRule>
    <cfRule type="expression" priority="271" dxfId="2" stopIfTrue="1">
      <formula>NOT(ISERROR(SEARCH("SEC",U45)))</formula>
    </cfRule>
    <cfRule type="cellIs" priority="272" operator="equal" dxfId="11">
      <formula>"GS"</formula>
    </cfRule>
    <cfRule type="expression" priority="273" dxfId="6" stopIfTrue="1">
      <formula>NOT(ISERROR(SEARCH("SL",U45)))</formula>
    </cfRule>
    <cfRule type="expression" priority="274" dxfId="2" stopIfTrue="1">
      <formula>NOT(ISERROR(SEARCH("NP",U45)))</formula>
    </cfRule>
    <cfRule type="expression" priority="275" dxfId="4" stopIfTrue="1">
      <formula>NOT(ISERROR(SEARCH("SH",U45)))</formula>
    </cfRule>
    <cfRule type="expression" priority="276" dxfId="2" stopIfTrue="1">
      <formula>NOT(ISERROR(SEARCH("WTT",U45)))</formula>
    </cfRule>
    <cfRule type="expression" priority="277" dxfId="2" stopIfTrue="1">
      <formula>NOT(ISERROR(SEARCH("FH",U45)))</formula>
    </cfRule>
  </conditionalFormatting>
  <conditionalFormatting sqref="V26">
    <cfRule type="cellIs" priority="1365" operator="equal" dxfId="11">
      <formula>"GS"</formula>
    </cfRule>
    <cfRule type="cellIs" priority="1366" operator="equal" dxfId="10" stopIfTrue="1">
      <formula>"SR"</formula>
    </cfRule>
    <cfRule type="cellIs" priority="1367" operator="equal" dxfId="9" stopIfTrue="1">
      <formula>"SG"</formula>
    </cfRule>
    <cfRule type="expression" priority="1368" dxfId="8" stopIfTrue="1">
      <formula>NOT(ISERROR(SEARCH("AL",V26)))</formula>
    </cfRule>
    <cfRule type="cellIs" priority="1369" operator="equal" dxfId="11">
      <formula>"SEC"</formula>
    </cfRule>
    <cfRule type="cellIs" priority="1370" operator="equal" dxfId="10" stopIfTrue="1">
      <formula>"SR"</formula>
    </cfRule>
    <cfRule type="cellIs" priority="1371" operator="equal" dxfId="9" stopIfTrue="1">
      <formula>"SG"</formula>
    </cfRule>
    <cfRule type="expression" priority="1372" dxfId="8" stopIfTrue="1">
      <formula>NOT(ISERROR(SEARCH("AL",V26)))</formula>
    </cfRule>
    <cfRule type="expression" priority="1373" dxfId="2" stopIfTrue="1">
      <formula>NOT(ISERROR(SEARCH("SEC",V26)))</formula>
    </cfRule>
    <cfRule type="cellIs" priority="1374" operator="equal" dxfId="11">
      <formula>"GS"</formula>
    </cfRule>
    <cfRule type="expression" priority="1375" dxfId="6" stopIfTrue="1">
      <formula>NOT(ISERROR(SEARCH("SL",V26)))</formula>
    </cfRule>
    <cfRule type="expression" priority="1376" dxfId="2" stopIfTrue="1">
      <formula>NOT(ISERROR(SEARCH("NP",V26)))</formula>
    </cfRule>
    <cfRule type="expression" priority="1377" dxfId="4" stopIfTrue="1">
      <formula>NOT(ISERROR(SEARCH("SH",V26)))</formula>
    </cfRule>
    <cfRule type="expression" priority="1378" dxfId="2" stopIfTrue="1">
      <formula>NOT(ISERROR(SEARCH("WTT",V26)))</formula>
    </cfRule>
  </conditionalFormatting>
  <conditionalFormatting sqref="V34">
    <cfRule type="cellIs" priority="909" operator="equal" dxfId="11">
      <formula>"GS"</formula>
    </cfRule>
    <cfRule type="cellIs" priority="910" operator="equal" dxfId="10" stopIfTrue="1">
      <formula>"SR"</formula>
    </cfRule>
    <cfRule type="cellIs" priority="911" operator="equal" dxfId="9" stopIfTrue="1">
      <formula>"SG"</formula>
    </cfRule>
    <cfRule type="expression" priority="912" dxfId="8" stopIfTrue="1">
      <formula>NOT(ISERROR(SEARCH("AL",V34)))</formula>
    </cfRule>
    <cfRule type="cellIs" priority="913" operator="equal" dxfId="11">
      <formula>"SEC"</formula>
    </cfRule>
    <cfRule type="cellIs" priority="914" operator="equal" dxfId="10" stopIfTrue="1">
      <formula>"SR"</formula>
    </cfRule>
    <cfRule type="cellIs" priority="915" operator="equal" dxfId="9" stopIfTrue="1">
      <formula>"SG"</formula>
    </cfRule>
    <cfRule type="expression" priority="916" dxfId="8" stopIfTrue="1">
      <formula>NOT(ISERROR(SEARCH("AL",V34)))</formula>
    </cfRule>
    <cfRule type="expression" priority="917" dxfId="2" stopIfTrue="1">
      <formula>NOT(ISERROR(SEARCH("SEC",V34)))</formula>
    </cfRule>
    <cfRule type="cellIs" priority="918" operator="equal" dxfId="11">
      <formula>"GS"</formula>
    </cfRule>
    <cfRule type="expression" priority="919" dxfId="6" stopIfTrue="1">
      <formula>NOT(ISERROR(SEARCH("SL",V34)))</formula>
    </cfRule>
    <cfRule type="expression" priority="920" dxfId="2" stopIfTrue="1">
      <formula>NOT(ISERROR(SEARCH("NP",V34)))</formula>
    </cfRule>
    <cfRule type="expression" priority="921" dxfId="4" stopIfTrue="1">
      <formula>NOT(ISERROR(SEARCH("SH",V34)))</formula>
    </cfRule>
    <cfRule type="expression" priority="922" dxfId="2" stopIfTrue="1">
      <formula>NOT(ISERROR(SEARCH("WTT",V34)))</formula>
    </cfRule>
    <cfRule type="expression" priority="923" dxfId="2" stopIfTrue="1">
      <formula>NOT(ISERROR(SEARCH("FH",V34)))</formula>
    </cfRule>
  </conditionalFormatting>
  <conditionalFormatting sqref="V34:V35">
    <cfRule type="expression" priority="1798" dxfId="2" stopIfTrue="1">
      <formula>NOT(ISERROR(SEARCH("WTT",V34)))</formula>
    </cfRule>
  </conditionalFormatting>
  <conditionalFormatting sqref="V38">
    <cfRule type="cellIs" priority="669" operator="equal" dxfId="11">
      <formula>"GS"</formula>
    </cfRule>
    <cfRule type="cellIs" priority="670" operator="equal" dxfId="10" stopIfTrue="1">
      <formula>"SR"</formula>
    </cfRule>
    <cfRule type="cellIs" priority="671" operator="equal" dxfId="9" stopIfTrue="1">
      <formula>"SG"</formula>
    </cfRule>
    <cfRule type="expression" priority="672" dxfId="8" stopIfTrue="1">
      <formula>NOT(ISERROR(SEARCH("AL",V38)))</formula>
    </cfRule>
    <cfRule type="cellIs" priority="673" operator="equal" dxfId="11">
      <formula>"SEC"</formula>
    </cfRule>
    <cfRule type="cellIs" priority="674" operator="equal" dxfId="10" stopIfTrue="1">
      <formula>"SR"</formula>
    </cfRule>
    <cfRule type="cellIs" priority="675" operator="equal" dxfId="9" stopIfTrue="1">
      <formula>"SG"</formula>
    </cfRule>
    <cfRule type="expression" priority="676" dxfId="8" stopIfTrue="1">
      <formula>NOT(ISERROR(SEARCH("AL",V38)))</formula>
    </cfRule>
    <cfRule type="expression" priority="677" dxfId="2" stopIfTrue="1">
      <formula>NOT(ISERROR(SEARCH("SEC",V38)))</formula>
    </cfRule>
    <cfRule type="cellIs" priority="678" operator="equal" dxfId="11">
      <formula>"GS"</formula>
    </cfRule>
    <cfRule type="expression" priority="679" dxfId="6" stopIfTrue="1">
      <formula>NOT(ISERROR(SEARCH("SL",V38)))</formula>
    </cfRule>
    <cfRule type="expression" priority="680" dxfId="2" stopIfTrue="1">
      <formula>NOT(ISERROR(SEARCH("NP",V38)))</formula>
    </cfRule>
    <cfRule type="expression" priority="681" dxfId="4" stopIfTrue="1">
      <formula>NOT(ISERROR(SEARCH("SH",V38)))</formula>
    </cfRule>
    <cfRule type="expression" priority="682" dxfId="2" stopIfTrue="1">
      <formula>NOT(ISERROR(SEARCH("WTT",V38)))</formula>
    </cfRule>
    <cfRule type="expression" priority="683" dxfId="2" stopIfTrue="1">
      <formula>NOT(ISERROR(SEARCH("FH",V38)))</formula>
    </cfRule>
  </conditionalFormatting>
  <conditionalFormatting sqref="V36:W36">
    <cfRule type="expression" priority="1822" dxfId="2" stopIfTrue="1">
      <formula>NOT(ISERROR(SEARCH("WTT",V36)))</formula>
    </cfRule>
  </conditionalFormatting>
  <conditionalFormatting sqref="V48:W48">
    <cfRule type="cellIs" priority="81" operator="equal" dxfId="11">
      <formula>"GS"</formula>
    </cfRule>
    <cfRule type="cellIs" priority="82" operator="equal" dxfId="10" stopIfTrue="1">
      <formula>"SR"</formula>
    </cfRule>
    <cfRule type="cellIs" priority="83" operator="equal" dxfId="9" stopIfTrue="1">
      <formula>"SG"</formula>
    </cfRule>
    <cfRule type="expression" priority="84" dxfId="8" stopIfTrue="1">
      <formula>NOT(ISERROR(SEARCH("AL",V48)))</formula>
    </cfRule>
    <cfRule type="cellIs" priority="85" operator="equal" dxfId="11">
      <formula>"SEC"</formula>
    </cfRule>
    <cfRule type="cellIs" priority="86" operator="equal" dxfId="10" stopIfTrue="1">
      <formula>"SR"</formula>
    </cfRule>
    <cfRule type="cellIs" priority="87" operator="equal" dxfId="9" stopIfTrue="1">
      <formula>"SG"</formula>
    </cfRule>
    <cfRule type="expression" priority="88" dxfId="8" stopIfTrue="1">
      <formula>NOT(ISERROR(SEARCH("AL",V48)))</formula>
    </cfRule>
    <cfRule type="expression" priority="89" dxfId="2" stopIfTrue="1">
      <formula>NOT(ISERROR(SEARCH("SEC",V48)))</formula>
    </cfRule>
    <cfRule type="cellIs" priority="90" operator="equal" dxfId="11">
      <formula>"GS"</formula>
    </cfRule>
    <cfRule type="expression" priority="91" dxfId="6" stopIfTrue="1">
      <formula>NOT(ISERROR(SEARCH("SL",V48)))</formula>
    </cfRule>
    <cfRule type="expression" priority="92" dxfId="2" stopIfTrue="1">
      <formula>NOT(ISERROR(SEARCH("NP",V48)))</formula>
    </cfRule>
    <cfRule type="expression" priority="93" dxfId="4" stopIfTrue="1">
      <formula>NOT(ISERROR(SEARCH("SH",V48)))</formula>
    </cfRule>
    <cfRule type="expression" priority="94" dxfId="2" stopIfTrue="1">
      <formula>NOT(ISERROR(SEARCH("WTT",V48)))</formula>
    </cfRule>
    <cfRule type="expression" priority="95" dxfId="2" stopIfTrue="1">
      <formula>NOT(ISERROR(SEARCH("FH",V48)))</formula>
    </cfRule>
  </conditionalFormatting>
  <conditionalFormatting sqref="W10">
    <cfRule type="cellIs" priority="1681" operator="equal" dxfId="11">
      <formula>"GS"</formula>
    </cfRule>
    <cfRule type="cellIs" priority="1682" operator="equal" dxfId="10" stopIfTrue="1">
      <formula>"SR"</formula>
    </cfRule>
    <cfRule type="cellIs" priority="1683" operator="equal" dxfId="9" stopIfTrue="1">
      <formula>"SG"</formula>
    </cfRule>
    <cfRule type="expression" priority="1684" dxfId="8" stopIfTrue="1">
      <formula>NOT(ISERROR(SEARCH("AL",W10)))</formula>
    </cfRule>
  </conditionalFormatting>
  <conditionalFormatting sqref="W20">
    <cfRule type="cellIs" priority="1644" operator="equal" dxfId="11">
      <formula>"GS"</formula>
    </cfRule>
    <cfRule type="cellIs" priority="1645" operator="equal" dxfId="10" stopIfTrue="1">
      <formula>"SR"</formula>
    </cfRule>
    <cfRule type="cellIs" priority="1646" operator="equal" dxfId="9" stopIfTrue="1">
      <formula>"SG"</formula>
    </cfRule>
    <cfRule type="expression" priority="1647" dxfId="8" stopIfTrue="1">
      <formula>NOT(ISERROR(SEARCH("AL",W20)))</formula>
    </cfRule>
  </conditionalFormatting>
  <conditionalFormatting sqref="W29">
    <cfRule type="cellIs" priority="1180" operator="equal" dxfId="11">
      <formula>"GS"</formula>
    </cfRule>
    <cfRule type="cellIs" priority="1181" operator="equal" dxfId="10" stopIfTrue="1">
      <formula>"SR"</formula>
    </cfRule>
    <cfRule type="cellIs" priority="1182" operator="equal" dxfId="9" stopIfTrue="1">
      <formula>"SG"</formula>
    </cfRule>
    <cfRule type="expression" priority="1183" dxfId="8" stopIfTrue="1">
      <formula>NOT(ISERROR(SEARCH("AL",W29)))</formula>
    </cfRule>
    <cfRule type="cellIs" priority="1184" operator="equal" dxfId="11">
      <formula>"SEC"</formula>
    </cfRule>
    <cfRule type="cellIs" priority="1185" operator="equal" dxfId="10" stopIfTrue="1">
      <formula>"SR"</formula>
    </cfRule>
    <cfRule type="cellIs" priority="1186" operator="equal" dxfId="9" stopIfTrue="1">
      <formula>"SG"</formula>
    </cfRule>
    <cfRule type="expression" priority="1187" dxfId="8" stopIfTrue="1">
      <formula>NOT(ISERROR(SEARCH("AL",W29)))</formula>
    </cfRule>
    <cfRule type="expression" priority="1188" dxfId="2" stopIfTrue="1">
      <formula>NOT(ISERROR(SEARCH("SEC",W29)))</formula>
    </cfRule>
    <cfRule type="cellIs" priority="1189" operator="equal" dxfId="11">
      <formula>"GS"</formula>
    </cfRule>
    <cfRule type="expression" priority="1190" dxfId="6" stopIfTrue="1">
      <formula>NOT(ISERROR(SEARCH("SL",W29)))</formula>
    </cfRule>
    <cfRule type="expression" priority="1191" dxfId="2" stopIfTrue="1">
      <formula>NOT(ISERROR(SEARCH("NP",W29)))</formula>
    </cfRule>
    <cfRule type="expression" priority="1192" dxfId="4" stopIfTrue="1">
      <formula>NOT(ISERROR(SEARCH("SH",W29)))</formula>
    </cfRule>
    <cfRule type="expression" priority="1193" dxfId="2" stopIfTrue="1">
      <formula>NOT(ISERROR(SEARCH("WTT",W29)))</formula>
    </cfRule>
    <cfRule type="expression" priority="1194" dxfId="2" stopIfTrue="1">
      <formula>NOT(ISERROR(SEARCH("FH",W29)))</formula>
    </cfRule>
  </conditionalFormatting>
  <conditionalFormatting sqref="W36">
    <cfRule type="cellIs" priority="789" operator="equal" dxfId="11">
      <formula>"GS"</formula>
    </cfRule>
    <cfRule type="cellIs" priority="790" operator="equal" dxfId="10" stopIfTrue="1">
      <formula>"SR"</formula>
    </cfRule>
    <cfRule type="cellIs" priority="791" operator="equal" dxfId="9" stopIfTrue="1">
      <formula>"SG"</formula>
    </cfRule>
    <cfRule type="expression" priority="792" dxfId="8" stopIfTrue="1">
      <formula>NOT(ISERROR(SEARCH("AL",W36)))</formula>
    </cfRule>
    <cfRule type="cellIs" priority="793" operator="equal" dxfId="11">
      <formula>"SEC"</formula>
    </cfRule>
    <cfRule type="cellIs" priority="794" operator="equal" dxfId="10" stopIfTrue="1">
      <formula>"SR"</formula>
    </cfRule>
    <cfRule type="cellIs" priority="795" operator="equal" dxfId="9" stopIfTrue="1">
      <formula>"SG"</formula>
    </cfRule>
    <cfRule type="expression" priority="796" dxfId="8" stopIfTrue="1">
      <formula>NOT(ISERROR(SEARCH("AL",W36)))</formula>
    </cfRule>
    <cfRule type="expression" priority="797" dxfId="2" stopIfTrue="1">
      <formula>NOT(ISERROR(SEARCH("SEC",W36)))</formula>
    </cfRule>
    <cfRule type="cellIs" priority="798" operator="equal" dxfId="11">
      <formula>"GS"</formula>
    </cfRule>
    <cfRule type="expression" priority="799" dxfId="6" stopIfTrue="1">
      <formula>NOT(ISERROR(SEARCH("SL",W36)))</formula>
    </cfRule>
    <cfRule type="expression" priority="800" dxfId="2" stopIfTrue="1">
      <formula>NOT(ISERROR(SEARCH("NP",W36)))</formula>
    </cfRule>
    <cfRule type="expression" priority="801" dxfId="4" stopIfTrue="1">
      <formula>NOT(ISERROR(SEARCH("SH",W36)))</formula>
    </cfRule>
    <cfRule type="expression" priority="802" dxfId="2" stopIfTrue="1">
      <formula>NOT(ISERROR(SEARCH("WTT",W36)))</formula>
    </cfRule>
    <cfRule type="expression" priority="803" dxfId="2" stopIfTrue="1">
      <formula>NOT(ISERROR(SEARCH("FH",W36)))</formula>
    </cfRule>
  </conditionalFormatting>
  <conditionalFormatting sqref="W35:X35">
    <cfRule type="cellIs" priority="849" operator="equal" dxfId="11">
      <formula>"GS"</formula>
    </cfRule>
    <cfRule type="cellIs" priority="850" operator="equal" dxfId="10" stopIfTrue="1">
      <formula>"SR"</formula>
    </cfRule>
    <cfRule type="cellIs" priority="851" operator="equal" dxfId="9" stopIfTrue="1">
      <formula>"SG"</formula>
    </cfRule>
    <cfRule type="expression" priority="852" dxfId="8" stopIfTrue="1">
      <formula>NOT(ISERROR(SEARCH("AL",W35)))</formula>
    </cfRule>
    <cfRule type="cellIs" priority="853" operator="equal" dxfId="11">
      <formula>"SEC"</formula>
    </cfRule>
    <cfRule type="cellIs" priority="854" operator="equal" dxfId="10" stopIfTrue="1">
      <formula>"SR"</formula>
    </cfRule>
    <cfRule type="cellIs" priority="855" operator="equal" dxfId="9" stopIfTrue="1">
      <formula>"SG"</formula>
    </cfRule>
    <cfRule type="expression" priority="856" dxfId="8" stopIfTrue="1">
      <formula>NOT(ISERROR(SEARCH("AL",W35)))</formula>
    </cfRule>
    <cfRule type="expression" priority="857" dxfId="2" stopIfTrue="1">
      <formula>NOT(ISERROR(SEARCH("SEC",W35)))</formula>
    </cfRule>
    <cfRule type="cellIs" priority="858" operator="equal" dxfId="11">
      <formula>"GS"</formula>
    </cfRule>
    <cfRule type="expression" priority="859" dxfId="6" stopIfTrue="1">
      <formula>NOT(ISERROR(SEARCH("SL",W35)))</formula>
    </cfRule>
    <cfRule type="expression" priority="860" dxfId="2" stopIfTrue="1">
      <formula>NOT(ISERROR(SEARCH("NP",W35)))</formula>
    </cfRule>
    <cfRule type="expression" priority="861" dxfId="4" stopIfTrue="1">
      <formula>NOT(ISERROR(SEARCH("SH",W35)))</formula>
    </cfRule>
    <cfRule type="expression" priority="862" dxfId="2" stopIfTrue="1">
      <formula>NOT(ISERROR(SEARCH("WTT",W35)))</formula>
    </cfRule>
    <cfRule type="expression" priority="863" dxfId="2" stopIfTrue="1">
      <formula>NOT(ISERROR(SEARCH("FH",W35)))</formula>
    </cfRule>
  </conditionalFormatting>
  <conditionalFormatting sqref="W37:X37">
    <cfRule type="cellIs" priority="729" operator="equal" dxfId="11">
      <formula>"GS"</formula>
    </cfRule>
    <cfRule type="cellIs" priority="730" operator="equal" dxfId="10" stopIfTrue="1">
      <formula>"SR"</formula>
    </cfRule>
    <cfRule type="cellIs" priority="731" operator="equal" dxfId="9" stopIfTrue="1">
      <formula>"SG"</formula>
    </cfRule>
    <cfRule type="expression" priority="732" dxfId="8" stopIfTrue="1">
      <formula>NOT(ISERROR(SEARCH("AL",W37)))</formula>
    </cfRule>
    <cfRule type="cellIs" priority="733" operator="equal" dxfId="11">
      <formula>"SEC"</formula>
    </cfRule>
    <cfRule type="cellIs" priority="734" operator="equal" dxfId="10" stopIfTrue="1">
      <formula>"SR"</formula>
    </cfRule>
    <cfRule type="cellIs" priority="735" operator="equal" dxfId="9" stopIfTrue="1">
      <formula>"SG"</formula>
    </cfRule>
    <cfRule type="expression" priority="736" dxfId="8" stopIfTrue="1">
      <formula>NOT(ISERROR(SEARCH("AL",W37)))</formula>
    </cfRule>
    <cfRule type="expression" priority="737" dxfId="2" stopIfTrue="1">
      <formula>NOT(ISERROR(SEARCH("SEC",W37)))</formula>
    </cfRule>
    <cfRule type="cellIs" priority="738" operator="equal" dxfId="11">
      <formula>"GS"</formula>
    </cfRule>
    <cfRule type="expression" priority="739" dxfId="6" stopIfTrue="1">
      <formula>NOT(ISERROR(SEARCH("SL",W37)))</formula>
    </cfRule>
    <cfRule type="expression" priority="740" dxfId="2" stopIfTrue="1">
      <formula>NOT(ISERROR(SEARCH("NP",W37)))</formula>
    </cfRule>
    <cfRule type="expression" priority="741" dxfId="4" stopIfTrue="1">
      <formula>NOT(ISERROR(SEARCH("SH",W37)))</formula>
    </cfRule>
    <cfRule type="expression" priority="742" dxfId="2" stopIfTrue="1">
      <formula>NOT(ISERROR(SEARCH("WTT",W37)))</formula>
    </cfRule>
    <cfRule type="expression" priority="743" dxfId="2" stopIfTrue="1">
      <formula>NOT(ISERROR(SEARCH("FH",W37)))</formula>
    </cfRule>
  </conditionalFormatting>
  <conditionalFormatting sqref="W47:X47">
    <cfRule type="cellIs" priority="1804" operator="equal" dxfId="9" stopIfTrue="1">
      <formula>"OTN"</formula>
    </cfRule>
  </conditionalFormatting>
  <conditionalFormatting sqref="W11:AF11">
    <cfRule type="containsText" priority="17" operator="containsText" dxfId="74" text="G">
      <formula>NOT(ISERROR(SEARCH("G",W11)))</formula>
    </cfRule>
  </conditionalFormatting>
  <conditionalFormatting sqref="W21:AF21">
    <cfRule type="cellIs" priority="1603" operator="equal" dxfId="10" stopIfTrue="1">
      <formula>"SR"</formula>
    </cfRule>
    <cfRule type="cellIs" priority="1604" operator="equal" dxfId="9" stopIfTrue="1">
      <formula>"SG"</formula>
    </cfRule>
    <cfRule type="expression" priority="1605" dxfId="8" stopIfTrue="1">
      <formula>NOT(ISERROR(SEARCH("AL",W21)))</formula>
    </cfRule>
  </conditionalFormatting>
  <conditionalFormatting sqref="X9">
    <cfRule type="cellIs" priority="1701" operator="equal" dxfId="11">
      <formula>"GS"</formula>
    </cfRule>
    <cfRule type="cellIs" priority="1702" operator="equal" dxfId="10" stopIfTrue="1">
      <formula>"SR"</formula>
    </cfRule>
    <cfRule type="cellIs" priority="1703" operator="equal" dxfId="9" stopIfTrue="1">
      <formula>"SG"</formula>
    </cfRule>
    <cfRule type="expression" priority="1704" dxfId="8" stopIfTrue="1">
      <formula>NOT(ISERROR(SEARCH("AL",X9)))</formula>
    </cfRule>
  </conditionalFormatting>
  <conditionalFormatting sqref="X20">
    <cfRule type="containsText" priority="7" operator="containsText" dxfId="74" text="G">
      <formula>NOT(ISERROR(SEARCH("G",X20)))</formula>
    </cfRule>
  </conditionalFormatting>
  <conditionalFormatting sqref="X23">
    <cfRule type="cellIs" priority="1510" operator="equal" dxfId="11">
      <formula>"GS"</formula>
    </cfRule>
    <cfRule type="cellIs" priority="1511" operator="equal" dxfId="10" stopIfTrue="1">
      <formula>"SR"</formula>
    </cfRule>
    <cfRule type="cellIs" priority="1512" operator="equal" dxfId="9" stopIfTrue="1">
      <formula>"SG"</formula>
    </cfRule>
    <cfRule type="expression" priority="1513" dxfId="8" stopIfTrue="1">
      <formula>NOT(ISERROR(SEARCH("AL",X23)))</formula>
    </cfRule>
    <cfRule type="cellIs" priority="1514" operator="equal" dxfId="11">
      <formula>"SEC"</formula>
    </cfRule>
    <cfRule type="cellIs" priority="1515" operator="equal" dxfId="10" stopIfTrue="1">
      <formula>"SR"</formula>
    </cfRule>
    <cfRule type="cellIs" priority="1516" operator="equal" dxfId="9" stopIfTrue="1">
      <formula>"SG"</formula>
    </cfRule>
    <cfRule type="expression" priority="1517" dxfId="8" stopIfTrue="1">
      <formula>NOT(ISERROR(SEARCH("AL",X23)))</formula>
    </cfRule>
    <cfRule type="expression" priority="1518" dxfId="2" stopIfTrue="1">
      <formula>NOT(ISERROR(SEARCH("SEC",X23)))</formula>
    </cfRule>
    <cfRule type="cellIs" priority="1519" operator="equal" dxfId="11">
      <formula>"GS"</formula>
    </cfRule>
    <cfRule type="expression" priority="1520" dxfId="6" stopIfTrue="1">
      <formula>NOT(ISERROR(SEARCH("SL",X23)))</formula>
    </cfRule>
    <cfRule type="expression" priority="1521" dxfId="2" stopIfTrue="1">
      <formula>NOT(ISERROR(SEARCH("NP",X23)))</formula>
    </cfRule>
    <cfRule type="expression" priority="1522" dxfId="4" stopIfTrue="1">
      <formula>NOT(ISERROR(SEARCH("SH",X23)))</formula>
    </cfRule>
  </conditionalFormatting>
  <conditionalFormatting sqref="X47:Y47">
    <cfRule type="expression" priority="1824" dxfId="2" stopIfTrue="1">
      <formula>NOT(ISERROR(SEARCH("FH",X47)))</formula>
    </cfRule>
    <cfRule type="expression" priority="1826" dxfId="2" stopIfTrue="1">
      <formula>NOT(ISERROR(SEARCH("WTT",X47)))</formula>
    </cfRule>
  </conditionalFormatting>
  <conditionalFormatting sqref="X33:AM33">
    <cfRule type="containsText" priority="939" operator="containsText" dxfId="792" text="NC">
      <formula>NOT(ISERROR(SEARCH("NC",X33)))</formula>
    </cfRule>
  </conditionalFormatting>
  <conditionalFormatting sqref="Y27">
    <cfRule type="cellIs" priority="1295" operator="equal" dxfId="11">
      <formula>"GS"</formula>
    </cfRule>
    <cfRule type="cellIs" priority="1296" operator="equal" dxfId="10" stopIfTrue="1">
      <formula>"SR"</formula>
    </cfRule>
    <cfRule type="cellIs" priority="1297" operator="equal" dxfId="9" stopIfTrue="1">
      <formula>"SG"</formula>
    </cfRule>
    <cfRule type="expression" priority="1298" dxfId="8" stopIfTrue="1">
      <formula>NOT(ISERROR(SEARCH("AL",Y27)))</formula>
    </cfRule>
    <cfRule type="cellIs" priority="1299" operator="equal" dxfId="11">
      <formula>"SEC"</formula>
    </cfRule>
    <cfRule type="cellIs" priority="1300" operator="equal" dxfId="10" stopIfTrue="1">
      <formula>"SR"</formula>
    </cfRule>
    <cfRule type="cellIs" priority="1301" operator="equal" dxfId="9" stopIfTrue="1">
      <formula>"SG"</formula>
    </cfRule>
    <cfRule type="expression" priority="1302" dxfId="8" stopIfTrue="1">
      <formula>NOT(ISERROR(SEARCH("AL",Y27)))</formula>
    </cfRule>
    <cfRule type="expression" priority="1303" dxfId="2" stopIfTrue="1">
      <formula>NOT(ISERROR(SEARCH("SEC",Y27)))</formula>
    </cfRule>
    <cfRule type="cellIs" priority="1304" operator="equal" dxfId="11">
      <formula>"GS"</formula>
    </cfRule>
    <cfRule type="expression" priority="1305" dxfId="6" stopIfTrue="1">
      <formula>NOT(ISERROR(SEARCH("SL",Y27)))</formula>
    </cfRule>
    <cfRule type="expression" priority="1306" dxfId="2" stopIfTrue="1">
      <formula>NOT(ISERROR(SEARCH("NP",Y27)))</formula>
    </cfRule>
    <cfRule type="expression" priority="1307" dxfId="4" stopIfTrue="1">
      <formula>NOT(ISERROR(SEARCH("SH",Y27)))</formula>
    </cfRule>
    <cfRule type="expression" priority="1308" dxfId="2" stopIfTrue="1">
      <formula>NOT(ISERROR(SEARCH("WTT",Y27)))</formula>
    </cfRule>
  </conditionalFormatting>
  <conditionalFormatting sqref="Y42">
    <cfRule type="cellIs" priority="413" operator="equal" dxfId="11">
      <formula>"GS"</formula>
    </cfRule>
    <cfRule type="cellIs" priority="414" operator="equal" dxfId="10" stopIfTrue="1">
      <formula>"SR"</formula>
    </cfRule>
    <cfRule type="cellIs" priority="415" operator="equal" dxfId="9" stopIfTrue="1">
      <formula>"SG"</formula>
    </cfRule>
    <cfRule type="expression" priority="416" dxfId="8" stopIfTrue="1">
      <formula>NOT(ISERROR(SEARCH("AL",Y42)))</formula>
    </cfRule>
    <cfRule type="cellIs" priority="417" operator="equal" dxfId="11">
      <formula>"SEC"</formula>
    </cfRule>
    <cfRule type="cellIs" priority="418" operator="equal" dxfId="10" stopIfTrue="1">
      <formula>"SR"</formula>
    </cfRule>
    <cfRule type="cellIs" priority="419" operator="equal" dxfId="9" stopIfTrue="1">
      <formula>"SG"</formula>
    </cfRule>
    <cfRule type="expression" priority="420" dxfId="8" stopIfTrue="1">
      <formula>NOT(ISERROR(SEARCH("AL",Y42)))</formula>
    </cfRule>
    <cfRule type="expression" priority="421" dxfId="2" stopIfTrue="1">
      <formula>NOT(ISERROR(SEARCH("SEC",Y42)))</formula>
    </cfRule>
    <cfRule type="cellIs" priority="422" operator="equal" dxfId="11">
      <formula>"GS"</formula>
    </cfRule>
    <cfRule type="expression" priority="423" dxfId="6" stopIfTrue="1">
      <formula>NOT(ISERROR(SEARCH("SL",Y42)))</formula>
    </cfRule>
    <cfRule type="expression" priority="424" dxfId="2" stopIfTrue="1">
      <formula>NOT(ISERROR(SEARCH("NP",Y42)))</formula>
    </cfRule>
    <cfRule type="expression" priority="425" dxfId="4" stopIfTrue="1">
      <formula>NOT(ISERROR(SEARCH("SH",Y42)))</formula>
    </cfRule>
    <cfRule type="expression" priority="426" dxfId="2" stopIfTrue="1">
      <formula>NOT(ISERROR(SEARCH("WTT",Y42)))</formula>
    </cfRule>
    <cfRule type="expression" priority="427" dxfId="2" stopIfTrue="1">
      <formula>NOT(ISERROR(SEARCH("FH",Y42)))</formula>
    </cfRule>
  </conditionalFormatting>
  <conditionalFormatting sqref="Y50">
    <cfRule type="cellIs" priority="1735" operator="equal" dxfId="792">
      <formula>"NC"</formula>
    </cfRule>
  </conditionalFormatting>
  <conditionalFormatting sqref="Y25:Z25">
    <cfRule type="cellIs" priority="1406" operator="equal" dxfId="11">
      <formula>"GS"</formula>
    </cfRule>
    <cfRule type="cellIs" priority="1407" operator="equal" dxfId="10" stopIfTrue="1">
      <formula>"SR"</formula>
    </cfRule>
    <cfRule type="cellIs" priority="1408" operator="equal" dxfId="9" stopIfTrue="1">
      <formula>"SG"</formula>
    </cfRule>
    <cfRule type="expression" priority="1409" dxfId="8" stopIfTrue="1">
      <formula>NOT(ISERROR(SEARCH("AL",Y25)))</formula>
    </cfRule>
    <cfRule type="cellIs" priority="1410" operator="equal" dxfId="11">
      <formula>"SEC"</formula>
    </cfRule>
    <cfRule type="cellIs" priority="1411" operator="equal" dxfId="10" stopIfTrue="1">
      <formula>"SR"</formula>
    </cfRule>
    <cfRule type="cellIs" priority="1412" operator="equal" dxfId="9" stopIfTrue="1">
      <formula>"SG"</formula>
    </cfRule>
    <cfRule type="expression" priority="1413" dxfId="8" stopIfTrue="1">
      <formula>NOT(ISERROR(SEARCH("AL",Y25)))</formula>
    </cfRule>
    <cfRule type="expression" priority="1414" dxfId="2" stopIfTrue="1">
      <formula>NOT(ISERROR(SEARCH("SEC",Y25)))</formula>
    </cfRule>
    <cfRule type="cellIs" priority="1415" operator="equal" dxfId="11">
      <formula>"GS"</formula>
    </cfRule>
    <cfRule type="expression" priority="1416" dxfId="6" stopIfTrue="1">
      <formula>NOT(ISERROR(SEARCH("SL",Y25)))</formula>
    </cfRule>
    <cfRule type="expression" priority="1417" dxfId="2" stopIfTrue="1">
      <formula>NOT(ISERROR(SEARCH("NP",Y25)))</formula>
    </cfRule>
    <cfRule type="expression" priority="1418" dxfId="4" stopIfTrue="1">
      <formula>NOT(ISERROR(SEARCH("SH",Y25)))</formula>
    </cfRule>
  </conditionalFormatting>
  <conditionalFormatting sqref="Y32:Z32">
    <cfRule type="cellIs" priority="985" operator="equal" dxfId="11">
      <formula>"GS"</formula>
    </cfRule>
    <cfRule type="cellIs" priority="986" operator="equal" dxfId="10" stopIfTrue="1">
      <formula>"SR"</formula>
    </cfRule>
    <cfRule type="cellIs" priority="987" operator="equal" dxfId="9" stopIfTrue="1">
      <formula>"SG"</formula>
    </cfRule>
    <cfRule type="expression" priority="988" dxfId="8" stopIfTrue="1">
      <formula>NOT(ISERROR(SEARCH("AL",Y32)))</formula>
    </cfRule>
    <cfRule type="cellIs" priority="989" operator="equal" dxfId="11">
      <formula>"SEC"</formula>
    </cfRule>
    <cfRule type="cellIs" priority="990" operator="equal" dxfId="10" stopIfTrue="1">
      <formula>"SR"</formula>
    </cfRule>
    <cfRule type="cellIs" priority="991" operator="equal" dxfId="9" stopIfTrue="1">
      <formula>"SG"</formula>
    </cfRule>
    <cfRule type="expression" priority="992" dxfId="8" stopIfTrue="1">
      <formula>NOT(ISERROR(SEARCH("AL",Y32)))</formula>
    </cfRule>
    <cfRule type="expression" priority="993" dxfId="2" stopIfTrue="1">
      <formula>NOT(ISERROR(SEARCH("SEC",Y32)))</formula>
    </cfRule>
    <cfRule type="cellIs" priority="994" operator="equal" dxfId="11">
      <formula>"GS"</formula>
    </cfRule>
    <cfRule type="expression" priority="995" dxfId="6" stopIfTrue="1">
      <formula>NOT(ISERROR(SEARCH("SL",Y32)))</formula>
    </cfRule>
    <cfRule type="expression" priority="996" dxfId="2" stopIfTrue="1">
      <formula>NOT(ISERROR(SEARCH("NP",Y32)))</formula>
    </cfRule>
    <cfRule type="expression" priority="997" dxfId="4" stopIfTrue="1">
      <formula>NOT(ISERROR(SEARCH("SH",Y32)))</formula>
    </cfRule>
    <cfRule type="expression" priority="998" dxfId="2" stopIfTrue="1">
      <formula>NOT(ISERROR(SEARCH("WTT",Y32)))</formula>
    </cfRule>
    <cfRule type="expression" priority="999" dxfId="2" stopIfTrue="1">
      <formula>NOT(ISERROR(SEARCH("FH",Y32)))</formula>
    </cfRule>
  </conditionalFormatting>
  <conditionalFormatting sqref="Y33:Z34">
    <cfRule type="expression" priority="1796" dxfId="2" stopIfTrue="1">
      <formula>NOT(ISERROR(SEARCH("WTT",Y33)))</formula>
    </cfRule>
  </conditionalFormatting>
  <conditionalFormatting sqref="Y10:AA10">
    <cfRule type="containsText" priority="12" operator="containsText" dxfId="74" text="G">
      <formula>NOT(ISERROR(SEARCH("G",Y10)))</formula>
    </cfRule>
  </conditionalFormatting>
  <conditionalFormatting sqref="Z30:Z31">
    <cfRule type="expression" priority="1788" dxfId="2" stopIfTrue="1">
      <formula>NOT(ISERROR(SEARCH("WTT",Z30)))</formula>
    </cfRule>
  </conditionalFormatting>
  <conditionalFormatting sqref="Z35:Z36">
    <cfRule type="expression" priority="1801" dxfId="2" stopIfTrue="1">
      <formula>NOT(ISERROR(SEARCH("WTT",Z35)))</formula>
    </cfRule>
  </conditionalFormatting>
  <conditionalFormatting sqref="Z28:AA28">
    <cfRule type="cellIs" priority="1239" operator="equal" dxfId="11">
      <formula>"GS"</formula>
    </cfRule>
    <cfRule type="cellIs" priority="1240" operator="equal" dxfId="10" stopIfTrue="1">
      <formula>"SR"</formula>
    </cfRule>
    <cfRule type="cellIs" priority="1241" operator="equal" dxfId="9" stopIfTrue="1">
      <formula>"SG"</formula>
    </cfRule>
    <cfRule type="expression" priority="1242" dxfId="8" stopIfTrue="1">
      <formula>NOT(ISERROR(SEARCH("AL",Z28)))</formula>
    </cfRule>
    <cfRule type="cellIs" priority="1243" operator="equal" dxfId="11">
      <formula>"SEC"</formula>
    </cfRule>
    <cfRule type="cellIs" priority="1244" operator="equal" dxfId="10" stopIfTrue="1">
      <formula>"SR"</formula>
    </cfRule>
    <cfRule type="cellIs" priority="1245" operator="equal" dxfId="9" stopIfTrue="1">
      <formula>"SG"</formula>
    </cfRule>
    <cfRule type="expression" priority="1246" dxfId="8" stopIfTrue="1">
      <formula>NOT(ISERROR(SEARCH("AL",Z28)))</formula>
    </cfRule>
    <cfRule type="expression" priority="1247" dxfId="2" stopIfTrue="1">
      <formula>NOT(ISERROR(SEARCH("SEC",Z28)))</formula>
    </cfRule>
    <cfRule type="cellIs" priority="1248" operator="equal" dxfId="11">
      <formula>"GS"</formula>
    </cfRule>
    <cfRule type="expression" priority="1249" dxfId="6" stopIfTrue="1">
      <formula>NOT(ISERROR(SEARCH("SL",Z28)))</formula>
    </cfRule>
    <cfRule type="expression" priority="1250" dxfId="2" stopIfTrue="1">
      <formula>NOT(ISERROR(SEARCH("NP",Z28)))</formula>
    </cfRule>
    <cfRule type="expression" priority="1251" dxfId="4" stopIfTrue="1">
      <formula>NOT(ISERROR(SEARCH("SH",Z28)))</formula>
    </cfRule>
    <cfRule type="expression" priority="1252" dxfId="2" stopIfTrue="1">
      <formula>NOT(ISERROR(SEARCH("WTT",Z28)))</formula>
    </cfRule>
  </conditionalFormatting>
  <conditionalFormatting sqref="AA24">
    <cfRule type="cellIs" priority="1445" operator="equal" dxfId="11">
      <formula>"GS"</formula>
    </cfRule>
    <cfRule type="cellIs" priority="1446" operator="equal" dxfId="10" stopIfTrue="1">
      <formula>"SR"</formula>
    </cfRule>
    <cfRule type="cellIs" priority="1447" operator="equal" dxfId="9" stopIfTrue="1">
      <formula>"SG"</formula>
    </cfRule>
    <cfRule type="expression" priority="1448" dxfId="8" stopIfTrue="1">
      <formula>NOT(ISERROR(SEARCH("AL",AA24)))</formula>
    </cfRule>
    <cfRule type="cellIs" priority="1449" operator="equal" dxfId="11">
      <formula>"SEC"</formula>
    </cfRule>
    <cfRule type="cellIs" priority="1450" operator="equal" dxfId="10" stopIfTrue="1">
      <formula>"SR"</formula>
    </cfRule>
    <cfRule type="cellIs" priority="1451" operator="equal" dxfId="9" stopIfTrue="1">
      <formula>"SG"</formula>
    </cfRule>
    <cfRule type="expression" priority="1452" dxfId="8" stopIfTrue="1">
      <formula>NOT(ISERROR(SEARCH("AL",AA24)))</formula>
    </cfRule>
    <cfRule type="expression" priority="1453" dxfId="2" stopIfTrue="1">
      <formula>NOT(ISERROR(SEARCH("SEC",AA24)))</formula>
    </cfRule>
    <cfRule type="cellIs" priority="1454" operator="equal" dxfId="11">
      <formula>"GS"</formula>
    </cfRule>
    <cfRule type="expression" priority="1455" dxfId="6" stopIfTrue="1">
      <formula>NOT(ISERROR(SEARCH("SL",AA24)))</formula>
    </cfRule>
    <cfRule type="expression" priority="1456" dxfId="2" stopIfTrue="1">
      <formula>NOT(ISERROR(SEARCH("NP",AA24)))</formula>
    </cfRule>
    <cfRule type="expression" priority="1457" dxfId="4" stopIfTrue="1">
      <formula>NOT(ISERROR(SEARCH("SH",AA24)))</formula>
    </cfRule>
  </conditionalFormatting>
  <conditionalFormatting sqref="AA29:AA30">
    <cfRule type="expression" priority="1785" dxfId="2" stopIfTrue="1">
      <formula>NOT(ISERROR(SEARCH("WTT",AA29)))</formula>
    </cfRule>
  </conditionalFormatting>
  <conditionalFormatting sqref="AA30">
    <cfRule type="cellIs" priority="1106" operator="equal" dxfId="10" stopIfTrue="1">
      <formula>"SR"</formula>
    </cfRule>
    <cfRule type="cellIs" priority="1107" operator="equal" dxfId="9" stopIfTrue="1">
      <formula>"SG"</formula>
    </cfRule>
    <cfRule type="expression" priority="1108" dxfId="8" stopIfTrue="1">
      <formula>NOT(ISERROR(SEARCH("AL",AA30)))</formula>
    </cfRule>
    <cfRule type="cellIs" priority="1109" operator="equal" dxfId="11">
      <formula>"SEC"</formula>
    </cfRule>
    <cfRule type="cellIs" priority="1110" operator="equal" dxfId="10" stopIfTrue="1">
      <formula>"SR"</formula>
    </cfRule>
    <cfRule type="cellIs" priority="1111" operator="equal" dxfId="9" stopIfTrue="1">
      <formula>"SG"</formula>
    </cfRule>
    <cfRule type="expression" priority="1112" dxfId="8" stopIfTrue="1">
      <formula>NOT(ISERROR(SEARCH("AL",AA30)))</formula>
    </cfRule>
    <cfRule type="expression" priority="1113" dxfId="2" stopIfTrue="1">
      <formula>NOT(ISERROR(SEARCH("SEC",AA30)))</formula>
    </cfRule>
    <cfRule type="cellIs" priority="1114" operator="equal" dxfId="11">
      <formula>"GS"</formula>
    </cfRule>
    <cfRule type="expression" priority="1115" dxfId="6" stopIfTrue="1">
      <formula>NOT(ISERROR(SEARCH("SL",AA30)))</formula>
    </cfRule>
    <cfRule type="expression" priority="1116" dxfId="2" stopIfTrue="1">
      <formula>NOT(ISERROR(SEARCH("NP",AA30)))</formula>
    </cfRule>
    <cfRule type="expression" priority="1117" dxfId="4" stopIfTrue="1">
      <formula>NOT(ISERROR(SEARCH("SH",AA30)))</formula>
    </cfRule>
    <cfRule type="expression" priority="1118" dxfId="2" stopIfTrue="1">
      <formula>NOT(ISERROR(SEARCH("WTT",AA30)))</formula>
    </cfRule>
    <cfRule type="expression" priority="1119" dxfId="2" stopIfTrue="1">
      <formula>NOT(ISERROR(SEARCH("FH",AA30)))</formula>
    </cfRule>
  </conditionalFormatting>
  <conditionalFormatting sqref="AA30:AA31">
    <cfRule type="cellIs" priority="1054" operator="equal" dxfId="11">
      <formula>"GS"</formula>
    </cfRule>
  </conditionalFormatting>
  <conditionalFormatting sqref="AA31">
    <cfRule type="cellIs" priority="1045" operator="equal" dxfId="11">
      <formula>"GS"</formula>
    </cfRule>
    <cfRule type="cellIs" priority="1046" operator="equal" dxfId="10" stopIfTrue="1">
      <formula>"SR"</formula>
    </cfRule>
    <cfRule type="cellIs" priority="1047" operator="equal" dxfId="9" stopIfTrue="1">
      <formula>"SG"</formula>
    </cfRule>
    <cfRule type="expression" priority="1048" dxfId="8" stopIfTrue="1">
      <formula>NOT(ISERROR(SEARCH("AL",AA31)))</formula>
    </cfRule>
    <cfRule type="cellIs" priority="1049" operator="equal" dxfId="11">
      <formula>"SEC"</formula>
    </cfRule>
    <cfRule type="cellIs" priority="1050" operator="equal" dxfId="10" stopIfTrue="1">
      <formula>"SR"</formula>
    </cfRule>
    <cfRule type="cellIs" priority="1051" operator="equal" dxfId="9" stopIfTrue="1">
      <formula>"SG"</formula>
    </cfRule>
    <cfRule type="expression" priority="1052" dxfId="8" stopIfTrue="1">
      <formula>NOT(ISERROR(SEARCH("AL",AA31)))</formula>
    </cfRule>
    <cfRule type="expression" priority="1053" dxfId="2" stopIfTrue="1">
      <formula>NOT(ISERROR(SEARCH("SEC",AA31)))</formula>
    </cfRule>
    <cfRule type="expression" priority="1055" dxfId="6" stopIfTrue="1">
      <formula>NOT(ISERROR(SEARCH("SL",AA31)))</formula>
    </cfRule>
    <cfRule type="expression" priority="1056" dxfId="2" stopIfTrue="1">
      <formula>NOT(ISERROR(SEARCH("NP",AA31)))</formula>
    </cfRule>
    <cfRule type="expression" priority="1057" dxfId="4" stopIfTrue="1">
      <formula>NOT(ISERROR(SEARCH("SH",AA31)))</formula>
    </cfRule>
    <cfRule type="expression" priority="1058" dxfId="2" stopIfTrue="1">
      <formula>NOT(ISERROR(SEARCH("WTT",AA31)))</formula>
    </cfRule>
    <cfRule type="expression" priority="1059" dxfId="2" stopIfTrue="1">
      <formula>NOT(ISERROR(SEARCH("FH",AA31)))</formula>
    </cfRule>
  </conditionalFormatting>
  <conditionalFormatting sqref="AA63">
    <cfRule type="cellIs" priority="50" operator="equal" dxfId="9" stopIfTrue="1">
      <formula>"TPN"</formula>
    </cfRule>
  </conditionalFormatting>
  <conditionalFormatting sqref="AA22:AB22">
    <cfRule type="cellIs" priority="1549" operator="equal" dxfId="11">
      <formula>"GS"</formula>
    </cfRule>
    <cfRule type="cellIs" priority="1550" operator="equal" dxfId="10" stopIfTrue="1">
      <formula>"SR"</formula>
    </cfRule>
    <cfRule type="cellIs" priority="1551" operator="equal" dxfId="9" stopIfTrue="1">
      <formula>"SG"</formula>
    </cfRule>
    <cfRule type="expression" priority="1552" dxfId="8" stopIfTrue="1">
      <formula>NOT(ISERROR(SEARCH("AL",AA22)))</formula>
    </cfRule>
    <cfRule type="cellIs" priority="1553" operator="equal" dxfId="11">
      <formula>"SEC"</formula>
    </cfRule>
    <cfRule type="cellIs" priority="1554" operator="equal" dxfId="10" stopIfTrue="1">
      <formula>"SR"</formula>
    </cfRule>
    <cfRule type="cellIs" priority="1555" operator="equal" dxfId="9" stopIfTrue="1">
      <formula>"SG"</formula>
    </cfRule>
    <cfRule type="expression" priority="1556" dxfId="8" stopIfTrue="1">
      <formula>NOT(ISERROR(SEARCH("AL",AA22)))</formula>
    </cfRule>
    <cfRule type="expression" priority="1557" dxfId="2" stopIfTrue="1">
      <formula>NOT(ISERROR(SEARCH("SEC",AA22)))</formula>
    </cfRule>
    <cfRule type="cellIs" priority="1558" operator="equal" dxfId="11">
      <formula>"GS"</formula>
    </cfRule>
    <cfRule type="expression" priority="1559" dxfId="6" stopIfTrue="1">
      <formula>NOT(ISERROR(SEARCH("SL",AA22)))</formula>
    </cfRule>
    <cfRule type="expression" priority="1560" dxfId="2" stopIfTrue="1">
      <formula>NOT(ISERROR(SEARCH("NP",AA22)))</formula>
    </cfRule>
    <cfRule type="expression" priority="1561" dxfId="4" stopIfTrue="1">
      <formula>NOT(ISERROR(SEARCH("SH",AA22)))</formula>
    </cfRule>
  </conditionalFormatting>
  <conditionalFormatting sqref="AA32:AB33">
    <cfRule type="expression" priority="1794" dxfId="2" stopIfTrue="1">
      <formula>NOT(ISERROR(SEARCH("WTT",AA32)))</formula>
    </cfRule>
  </conditionalFormatting>
  <conditionalFormatting sqref="AB8">
    <cfRule type="cellIs" priority="1713" operator="equal" dxfId="11">
      <formula>"GS"</formula>
    </cfRule>
    <cfRule type="cellIs" priority="1714" operator="equal" dxfId="10" stopIfTrue="1">
      <formula>"SR"</formula>
    </cfRule>
    <cfRule type="cellIs" priority="1715" operator="equal" dxfId="9" stopIfTrue="1">
      <formula>"SG"</formula>
    </cfRule>
    <cfRule type="expression" priority="1716" dxfId="8" stopIfTrue="1">
      <formula>NOT(ISERROR(SEARCH("AL",AB8)))</formula>
    </cfRule>
  </conditionalFormatting>
  <conditionalFormatting sqref="AB20">
    <cfRule type="containsText" priority="6" operator="containsText" dxfId="74" text="G">
      <formula>NOT(ISERROR(SEARCH("G",AB20)))</formula>
    </cfRule>
  </conditionalFormatting>
  <conditionalFormatting sqref="AB39">
    <cfRule type="cellIs" priority="594" operator="equal" dxfId="11">
      <formula>"GS"</formula>
    </cfRule>
    <cfRule type="cellIs" priority="595" operator="equal" dxfId="10" stopIfTrue="1">
      <formula>"SR"</formula>
    </cfRule>
    <cfRule type="cellIs" priority="596" operator="equal" dxfId="9" stopIfTrue="1">
      <formula>"SG"</formula>
    </cfRule>
    <cfRule type="expression" priority="597" dxfId="8" stopIfTrue="1">
      <formula>NOT(ISERROR(SEARCH("AL",AB39)))</formula>
    </cfRule>
    <cfRule type="cellIs" priority="598" operator="equal" dxfId="11">
      <formula>"SEC"</formula>
    </cfRule>
    <cfRule type="cellIs" priority="599" operator="equal" dxfId="10" stopIfTrue="1">
      <formula>"SR"</formula>
    </cfRule>
    <cfRule type="cellIs" priority="600" operator="equal" dxfId="9" stopIfTrue="1">
      <formula>"SG"</formula>
    </cfRule>
    <cfRule type="expression" priority="601" dxfId="8" stopIfTrue="1">
      <formula>NOT(ISERROR(SEARCH("AL",AB39)))</formula>
    </cfRule>
    <cfRule type="expression" priority="602" dxfId="2" stopIfTrue="1">
      <formula>NOT(ISERROR(SEARCH("SEC",AB39)))</formula>
    </cfRule>
    <cfRule type="cellIs" priority="603" operator="equal" dxfId="11">
      <formula>"GS"</formula>
    </cfRule>
    <cfRule type="expression" priority="604" dxfId="6" stopIfTrue="1">
      <formula>NOT(ISERROR(SEARCH("SL",AB39)))</formula>
    </cfRule>
    <cfRule type="expression" priority="605" dxfId="2" stopIfTrue="1">
      <formula>NOT(ISERROR(SEARCH("NP",AB39)))</formula>
    </cfRule>
    <cfRule type="expression" priority="606" dxfId="4" stopIfTrue="1">
      <formula>NOT(ISERROR(SEARCH("SH",AB39)))</formula>
    </cfRule>
    <cfRule type="expression" priority="607" dxfId="2" stopIfTrue="1">
      <formula>NOT(ISERROR(SEARCH("WTT",AB39)))</formula>
    </cfRule>
    <cfRule type="expression" priority="608" dxfId="2" stopIfTrue="1">
      <formula>NOT(ISERROR(SEARCH("FH",AB39)))</formula>
    </cfRule>
  </conditionalFormatting>
  <conditionalFormatting sqref="AB46">
    <cfRule type="cellIs" priority="188" operator="equal" dxfId="11">
      <formula>"GS"</formula>
    </cfRule>
    <cfRule type="cellIs" priority="189" operator="equal" dxfId="10" stopIfTrue="1">
      <formula>"SR"</formula>
    </cfRule>
    <cfRule type="cellIs" priority="190" operator="equal" dxfId="9" stopIfTrue="1">
      <formula>"SG"</formula>
    </cfRule>
    <cfRule type="expression" priority="191" dxfId="8" stopIfTrue="1">
      <formula>NOT(ISERROR(SEARCH("AL",AB46)))</formula>
    </cfRule>
    <cfRule type="cellIs" priority="192" operator="equal" dxfId="11">
      <formula>"SEC"</formula>
    </cfRule>
    <cfRule type="cellIs" priority="193" operator="equal" dxfId="10" stopIfTrue="1">
      <formula>"SR"</formula>
    </cfRule>
    <cfRule type="cellIs" priority="194" operator="equal" dxfId="9" stopIfTrue="1">
      <formula>"SG"</formula>
    </cfRule>
    <cfRule type="expression" priority="195" dxfId="8" stopIfTrue="1">
      <formula>NOT(ISERROR(SEARCH("AL",AB46)))</formula>
    </cfRule>
    <cfRule type="expression" priority="196" dxfId="2" stopIfTrue="1">
      <formula>NOT(ISERROR(SEARCH("SEC",AB46)))</formula>
    </cfRule>
    <cfRule type="cellIs" priority="197" operator="equal" dxfId="11">
      <formula>"GS"</formula>
    </cfRule>
    <cfRule type="expression" priority="198" dxfId="6" stopIfTrue="1">
      <formula>NOT(ISERROR(SEARCH("SL",AB46)))</formula>
    </cfRule>
    <cfRule type="expression" priority="199" dxfId="2" stopIfTrue="1">
      <formula>NOT(ISERROR(SEARCH("NP",AB46)))</formula>
    </cfRule>
    <cfRule type="expression" priority="200" dxfId="4" stopIfTrue="1">
      <formula>NOT(ISERROR(SEARCH("SH",AB46)))</formula>
    </cfRule>
    <cfRule type="expression" priority="201" dxfId="2" stopIfTrue="1">
      <formula>NOT(ISERROR(SEARCH("WTT",AB46)))</formula>
    </cfRule>
    <cfRule type="expression" priority="202" dxfId="2" stopIfTrue="1">
      <formula>NOT(ISERROR(SEARCH("FH",AB46)))</formula>
    </cfRule>
  </conditionalFormatting>
  <conditionalFormatting sqref="AB48">
    <cfRule type="cellIs" priority="66" operator="equal" dxfId="11">
      <formula>"GS"</formula>
    </cfRule>
    <cfRule type="cellIs" priority="67" operator="equal" dxfId="10" stopIfTrue="1">
      <formula>"SR"</formula>
    </cfRule>
    <cfRule type="cellIs" priority="68" operator="equal" dxfId="9" stopIfTrue="1">
      <formula>"SG"</formula>
    </cfRule>
    <cfRule type="expression" priority="69" dxfId="8" stopIfTrue="1">
      <formula>NOT(ISERROR(SEARCH("AL",AB48)))</formula>
    </cfRule>
    <cfRule type="cellIs" priority="70" operator="equal" dxfId="11">
      <formula>"SEC"</formula>
    </cfRule>
    <cfRule type="cellIs" priority="71" operator="equal" dxfId="10" stopIfTrue="1">
      <formula>"SR"</formula>
    </cfRule>
    <cfRule type="cellIs" priority="72" operator="equal" dxfId="9" stopIfTrue="1">
      <formula>"SG"</formula>
    </cfRule>
    <cfRule type="expression" priority="73" dxfId="8" stopIfTrue="1">
      <formula>NOT(ISERROR(SEARCH("AL",AB48)))</formula>
    </cfRule>
    <cfRule type="expression" priority="74" dxfId="2" stopIfTrue="1">
      <formula>NOT(ISERROR(SEARCH("SEC",AB48)))</formula>
    </cfRule>
    <cfRule type="cellIs" priority="75" operator="equal" dxfId="11">
      <formula>"GS"</formula>
    </cfRule>
    <cfRule type="expression" priority="76" dxfId="6" stopIfTrue="1">
      <formula>NOT(ISERROR(SEARCH("SL",AB48)))</formula>
    </cfRule>
    <cfRule type="expression" priority="77" dxfId="2" stopIfTrue="1">
      <formula>NOT(ISERROR(SEARCH("NP",AB48)))</formula>
    </cfRule>
    <cfRule type="expression" priority="78" dxfId="4" stopIfTrue="1">
      <formula>NOT(ISERROR(SEARCH("SH",AB48)))</formula>
    </cfRule>
    <cfRule type="expression" priority="79" dxfId="2" stopIfTrue="1">
      <formula>NOT(ISERROR(SEARCH("WTT",AB48)))</formula>
    </cfRule>
    <cfRule type="expression" priority="80" dxfId="2" stopIfTrue="1">
      <formula>NOT(ISERROR(SEARCH("FH",AB48)))</formula>
    </cfRule>
  </conditionalFormatting>
  <conditionalFormatting sqref="AC10">
    <cfRule type="containsText" priority="13" operator="containsText" dxfId="74" text="G">
      <formula>NOT(ISERROR(SEARCH("G",AC10)))</formula>
    </cfRule>
  </conditionalFormatting>
  <conditionalFormatting sqref="AC26:AC27">
    <cfRule type="expression" priority="1777" dxfId="2" stopIfTrue="1">
      <formula>NOT(ISERROR(SEARCH("WTT",AC26)))</formula>
    </cfRule>
  </conditionalFormatting>
  <conditionalFormatting sqref="AC34">
    <cfRule type="cellIs" priority="894" operator="equal" dxfId="11">
      <formula>"GS"</formula>
    </cfRule>
    <cfRule type="cellIs" priority="895" operator="equal" dxfId="10" stopIfTrue="1">
      <formula>"SR"</formula>
    </cfRule>
    <cfRule type="cellIs" priority="896" operator="equal" dxfId="9" stopIfTrue="1">
      <formula>"SG"</formula>
    </cfRule>
    <cfRule type="expression" priority="897" dxfId="8" stopIfTrue="1">
      <formula>NOT(ISERROR(SEARCH("AL",AC34)))</formula>
    </cfRule>
    <cfRule type="cellIs" priority="898" operator="equal" dxfId="11">
      <formula>"SEC"</formula>
    </cfRule>
    <cfRule type="cellIs" priority="899" operator="equal" dxfId="10" stopIfTrue="1">
      <formula>"SR"</formula>
    </cfRule>
    <cfRule type="cellIs" priority="900" operator="equal" dxfId="9" stopIfTrue="1">
      <formula>"SG"</formula>
    </cfRule>
    <cfRule type="expression" priority="901" dxfId="8" stopIfTrue="1">
      <formula>NOT(ISERROR(SEARCH("AL",AC34)))</formula>
    </cfRule>
    <cfRule type="expression" priority="902" dxfId="2" stopIfTrue="1">
      <formula>NOT(ISERROR(SEARCH("SEC",AC34)))</formula>
    </cfRule>
    <cfRule type="cellIs" priority="903" operator="equal" dxfId="11">
      <formula>"GS"</formula>
    </cfRule>
    <cfRule type="expression" priority="904" dxfId="6" stopIfTrue="1">
      <formula>NOT(ISERROR(SEARCH("SL",AC34)))</formula>
    </cfRule>
    <cfRule type="expression" priority="905" dxfId="2" stopIfTrue="1">
      <formula>NOT(ISERROR(SEARCH("NP",AC34)))</formula>
    </cfRule>
    <cfRule type="expression" priority="906" dxfId="4" stopIfTrue="1">
      <formula>NOT(ISERROR(SEARCH("SH",AC34)))</formula>
    </cfRule>
    <cfRule type="expression" priority="907" dxfId="2" stopIfTrue="1">
      <formula>NOT(ISERROR(SEARCH("WTT",AC34)))</formula>
    </cfRule>
    <cfRule type="expression" priority="908" dxfId="2" stopIfTrue="1">
      <formula>NOT(ISERROR(SEARCH("FH",AC34)))</formula>
    </cfRule>
  </conditionalFormatting>
  <conditionalFormatting sqref="AC40">
    <cfRule type="cellIs" priority="534" operator="equal" dxfId="11">
      <formula>"GS"</formula>
    </cfRule>
    <cfRule type="cellIs" priority="535" operator="equal" dxfId="10" stopIfTrue="1">
      <formula>"SR"</formula>
    </cfRule>
    <cfRule type="cellIs" priority="536" operator="equal" dxfId="9" stopIfTrue="1">
      <formula>"SG"</formula>
    </cfRule>
    <cfRule type="expression" priority="537" dxfId="8" stopIfTrue="1">
      <formula>NOT(ISERROR(SEARCH("AL",AC40)))</formula>
    </cfRule>
    <cfRule type="cellIs" priority="538" operator="equal" dxfId="11">
      <formula>"SEC"</formula>
    </cfRule>
    <cfRule type="cellIs" priority="539" operator="equal" dxfId="10" stopIfTrue="1">
      <formula>"SR"</formula>
    </cfRule>
    <cfRule type="cellIs" priority="540" operator="equal" dxfId="9" stopIfTrue="1">
      <formula>"SG"</formula>
    </cfRule>
    <cfRule type="expression" priority="541" dxfId="8" stopIfTrue="1">
      <formula>NOT(ISERROR(SEARCH("AL",AC40)))</formula>
    </cfRule>
    <cfRule type="expression" priority="542" dxfId="2" stopIfTrue="1">
      <formula>NOT(ISERROR(SEARCH("SEC",AC40)))</formula>
    </cfRule>
    <cfRule type="cellIs" priority="543" operator="equal" dxfId="11">
      <formula>"GS"</formula>
    </cfRule>
    <cfRule type="expression" priority="544" dxfId="6" stopIfTrue="1">
      <formula>NOT(ISERROR(SEARCH("SL",AC40)))</formula>
    </cfRule>
    <cfRule type="expression" priority="545" dxfId="2" stopIfTrue="1">
      <formula>NOT(ISERROR(SEARCH("NP",AC40)))</formula>
    </cfRule>
    <cfRule type="expression" priority="546" dxfId="4" stopIfTrue="1">
      <formula>NOT(ISERROR(SEARCH("SH",AC40)))</formula>
    </cfRule>
    <cfRule type="expression" priority="547" dxfId="2" stopIfTrue="1">
      <formula>NOT(ISERROR(SEARCH("WTT",AC40)))</formula>
    </cfRule>
    <cfRule type="expression" priority="548" dxfId="2" stopIfTrue="1">
      <formula>NOT(ISERROR(SEARCH("FH",AC40)))</formula>
    </cfRule>
  </conditionalFormatting>
  <conditionalFormatting sqref="AC43">
    <cfRule type="cellIs" priority="339" operator="equal" dxfId="10" stopIfTrue="1">
      <formula>"SR"</formula>
    </cfRule>
    <cfRule type="cellIs" priority="340" operator="equal" dxfId="9" stopIfTrue="1">
      <formula>"SG"</formula>
    </cfRule>
    <cfRule type="expression" priority="341" dxfId="8" stopIfTrue="1">
      <formula>NOT(ISERROR(SEARCH("AL",AC43)))</formula>
    </cfRule>
    <cfRule type="cellIs" priority="342" operator="equal" dxfId="11">
      <formula>"SEC"</formula>
    </cfRule>
    <cfRule type="cellIs" priority="343" operator="equal" dxfId="10" stopIfTrue="1">
      <formula>"SR"</formula>
    </cfRule>
    <cfRule type="cellIs" priority="344" operator="equal" dxfId="9" stopIfTrue="1">
      <formula>"SG"</formula>
    </cfRule>
    <cfRule type="expression" priority="345" dxfId="8" stopIfTrue="1">
      <formula>NOT(ISERROR(SEARCH("AL",AC43)))</formula>
    </cfRule>
    <cfRule type="expression" priority="346" dxfId="2" stopIfTrue="1">
      <formula>NOT(ISERROR(SEARCH("SEC",AC43)))</formula>
    </cfRule>
    <cfRule type="cellIs" priority="347" operator="equal" dxfId="11">
      <formula>"GS"</formula>
    </cfRule>
    <cfRule type="expression" priority="348" dxfId="6" stopIfTrue="1">
      <formula>NOT(ISERROR(SEARCH("SL",AC43)))</formula>
    </cfRule>
    <cfRule type="expression" priority="349" dxfId="2" stopIfTrue="1">
      <formula>NOT(ISERROR(SEARCH("NP",AC43)))</formula>
    </cfRule>
    <cfRule type="expression" priority="350" dxfId="4" stopIfTrue="1">
      <formula>NOT(ISERROR(SEARCH("SH",AC43)))</formula>
    </cfRule>
    <cfRule type="expression" priority="351" dxfId="2" stopIfTrue="1">
      <formula>NOT(ISERROR(SEARCH("WTT",AC43)))</formula>
    </cfRule>
    <cfRule type="expression" priority="352" dxfId="2" stopIfTrue="1">
      <formula>NOT(ISERROR(SEARCH("FH",AC43)))</formula>
    </cfRule>
  </conditionalFormatting>
  <conditionalFormatting sqref="AC43:AC44">
    <cfRule type="cellIs" priority="302" operator="equal" dxfId="11">
      <formula>"GS"</formula>
    </cfRule>
  </conditionalFormatting>
  <conditionalFormatting sqref="AC44">
    <cfRule type="cellIs" priority="293" operator="equal" dxfId="11">
      <formula>"GS"</formula>
    </cfRule>
    <cfRule type="cellIs" priority="294" operator="equal" dxfId="10" stopIfTrue="1">
      <formula>"SR"</formula>
    </cfRule>
    <cfRule type="cellIs" priority="295" operator="equal" dxfId="9" stopIfTrue="1">
      <formula>"SG"</formula>
    </cfRule>
    <cfRule type="expression" priority="296" dxfId="8" stopIfTrue="1">
      <formula>NOT(ISERROR(SEARCH("AL",AC44)))</formula>
    </cfRule>
    <cfRule type="cellIs" priority="297" operator="equal" dxfId="11">
      <formula>"SEC"</formula>
    </cfRule>
    <cfRule type="cellIs" priority="298" operator="equal" dxfId="10" stopIfTrue="1">
      <formula>"SR"</formula>
    </cfRule>
    <cfRule type="cellIs" priority="299" operator="equal" dxfId="9" stopIfTrue="1">
      <formula>"SG"</formula>
    </cfRule>
    <cfRule type="expression" priority="300" dxfId="8" stopIfTrue="1">
      <formula>NOT(ISERROR(SEARCH("AL",AC44)))</formula>
    </cfRule>
    <cfRule type="expression" priority="301" dxfId="2" stopIfTrue="1">
      <formula>NOT(ISERROR(SEARCH("SEC",AC44)))</formula>
    </cfRule>
    <cfRule type="expression" priority="303" dxfId="6" stopIfTrue="1">
      <formula>NOT(ISERROR(SEARCH("SL",AC44)))</formula>
    </cfRule>
    <cfRule type="expression" priority="304" dxfId="2" stopIfTrue="1">
      <formula>NOT(ISERROR(SEARCH("NP",AC44)))</formula>
    </cfRule>
    <cfRule type="expression" priority="305" dxfId="4" stopIfTrue="1">
      <formula>NOT(ISERROR(SEARCH("SH",AC44)))</formula>
    </cfRule>
    <cfRule type="expression" priority="306" dxfId="2" stopIfTrue="1">
      <formula>NOT(ISERROR(SEARCH("WTT",AC44)))</formula>
    </cfRule>
    <cfRule type="expression" priority="307" dxfId="2" stopIfTrue="1">
      <formula>NOT(ISERROR(SEARCH("FH",AC44)))</formula>
    </cfRule>
  </conditionalFormatting>
  <conditionalFormatting sqref="AC47">
    <cfRule type="cellIs" priority="126" operator="equal" dxfId="11">
      <formula>"GS"</formula>
    </cfRule>
    <cfRule type="cellIs" priority="127" operator="equal" dxfId="10" stopIfTrue="1">
      <formula>"SR"</formula>
    </cfRule>
    <cfRule type="cellIs" priority="128" operator="equal" dxfId="9" stopIfTrue="1">
      <formula>"SG"</formula>
    </cfRule>
    <cfRule type="expression" priority="129" dxfId="8" stopIfTrue="1">
      <formula>NOT(ISERROR(SEARCH("AL",AC47)))</formula>
    </cfRule>
    <cfRule type="cellIs" priority="130" operator="equal" dxfId="11">
      <formula>"SEC"</formula>
    </cfRule>
    <cfRule type="cellIs" priority="131" operator="equal" dxfId="10" stopIfTrue="1">
      <formula>"SR"</formula>
    </cfRule>
    <cfRule type="cellIs" priority="132" operator="equal" dxfId="9" stopIfTrue="1">
      <formula>"SG"</formula>
    </cfRule>
    <cfRule type="expression" priority="133" dxfId="8" stopIfTrue="1">
      <formula>NOT(ISERROR(SEARCH("AL",AC47)))</formula>
    </cfRule>
    <cfRule type="expression" priority="134" dxfId="2" stopIfTrue="1">
      <formula>NOT(ISERROR(SEARCH("SEC",AC47)))</formula>
    </cfRule>
    <cfRule type="cellIs" priority="135" operator="equal" dxfId="11">
      <formula>"GS"</formula>
    </cfRule>
    <cfRule type="expression" priority="136" dxfId="6" stopIfTrue="1">
      <formula>NOT(ISERROR(SEARCH("SL",AC47)))</formula>
    </cfRule>
    <cfRule type="expression" priority="137" dxfId="2" stopIfTrue="1">
      <formula>NOT(ISERROR(SEARCH("NP",AC47)))</formula>
    </cfRule>
    <cfRule type="expression" priority="138" dxfId="4" stopIfTrue="1">
      <formula>NOT(ISERROR(SEARCH("SH",AC47)))</formula>
    </cfRule>
    <cfRule type="expression" priority="139" dxfId="2" stopIfTrue="1">
      <formula>NOT(ISERROR(SEARCH("WTT",AC47)))</formula>
    </cfRule>
    <cfRule type="expression" priority="140" dxfId="2" stopIfTrue="1">
      <formula>NOT(ISERROR(SEARCH("FH",AC47)))</formula>
    </cfRule>
    <cfRule type="cellIs" priority="141" operator="equal" dxfId="9" stopIfTrue="1">
      <formula>"OTN"</formula>
    </cfRule>
  </conditionalFormatting>
  <conditionalFormatting sqref="AC31:AD32">
    <cfRule type="expression" priority="1791" dxfId="2" stopIfTrue="1">
      <formula>NOT(ISERROR(SEARCH("WTT",AC31)))</formula>
    </cfRule>
  </conditionalFormatting>
  <conditionalFormatting sqref="AC34:AD35">
    <cfRule type="expression" priority="1799" dxfId="2" stopIfTrue="1">
      <formula>NOT(ISERROR(SEARCH("WTT",AC34)))</formula>
    </cfRule>
  </conditionalFormatting>
  <conditionalFormatting sqref="AD10">
    <cfRule type="cellIs" priority="1677" operator="equal" dxfId="11">
      <formula>"GS"</formula>
    </cfRule>
    <cfRule type="cellIs" priority="1678" operator="equal" dxfId="10" stopIfTrue="1">
      <formula>"SR"</formula>
    </cfRule>
    <cfRule type="cellIs" priority="1679" operator="equal" dxfId="9" stopIfTrue="1">
      <formula>"SG"</formula>
    </cfRule>
    <cfRule type="expression" priority="1680" dxfId="8" stopIfTrue="1">
      <formula>NOT(ISERROR(SEARCH("AL",AD10)))</formula>
    </cfRule>
  </conditionalFormatting>
  <conditionalFormatting sqref="AD20">
    <cfRule type="cellIs" priority="1640" operator="equal" dxfId="11">
      <formula>"GS"</formula>
    </cfRule>
    <cfRule type="cellIs" priority="1641" operator="equal" dxfId="10" stopIfTrue="1">
      <formula>"SR"</formula>
    </cfRule>
    <cfRule type="cellIs" priority="1642" operator="equal" dxfId="9" stopIfTrue="1">
      <formula>"SG"</formula>
    </cfRule>
    <cfRule type="expression" priority="1643" dxfId="8" stopIfTrue="1">
      <formula>NOT(ISERROR(SEARCH("AL",AD20)))</formula>
    </cfRule>
  </conditionalFormatting>
  <conditionalFormatting sqref="AD27:AD28">
    <cfRule type="expression" priority="1780" dxfId="2" stopIfTrue="1">
      <formula>NOT(ISERROR(SEARCH("WTT",AD27)))</formula>
    </cfRule>
  </conditionalFormatting>
  <conditionalFormatting sqref="AD28:AD29">
    <cfRule type="expression" priority="1782" dxfId="2" stopIfTrue="1">
      <formula>NOT(ISERROR(SEARCH("FH",AD28)))</formula>
    </cfRule>
    <cfRule type="expression" priority="1783" dxfId="2" stopIfTrue="1">
      <formula>NOT(ISERROR(SEARCH("WTT",AD28)))</formula>
    </cfRule>
  </conditionalFormatting>
  <conditionalFormatting sqref="AD29">
    <cfRule type="cellIs" priority="1165" operator="equal" dxfId="11">
      <formula>"GS"</formula>
    </cfRule>
    <cfRule type="cellIs" priority="1166" operator="equal" dxfId="10" stopIfTrue="1">
      <formula>"SR"</formula>
    </cfRule>
    <cfRule type="cellIs" priority="1167" operator="equal" dxfId="9" stopIfTrue="1">
      <formula>"SG"</formula>
    </cfRule>
    <cfRule type="expression" priority="1168" dxfId="8" stopIfTrue="1">
      <formula>NOT(ISERROR(SEARCH("AL",AD29)))</formula>
    </cfRule>
    <cfRule type="cellIs" priority="1169" operator="equal" dxfId="11">
      <formula>"SEC"</formula>
    </cfRule>
    <cfRule type="cellIs" priority="1170" operator="equal" dxfId="10" stopIfTrue="1">
      <formula>"SR"</formula>
    </cfRule>
    <cfRule type="cellIs" priority="1171" operator="equal" dxfId="9" stopIfTrue="1">
      <formula>"SG"</formula>
    </cfRule>
    <cfRule type="expression" priority="1172" dxfId="8" stopIfTrue="1">
      <formula>NOT(ISERROR(SEARCH("AL",AD29)))</formula>
    </cfRule>
    <cfRule type="expression" priority="1173" dxfId="2" stopIfTrue="1">
      <formula>NOT(ISERROR(SEARCH("SEC",AD29)))</formula>
    </cfRule>
    <cfRule type="cellIs" priority="1174" operator="equal" dxfId="11">
      <formula>"GS"</formula>
    </cfRule>
    <cfRule type="expression" priority="1175" dxfId="6" stopIfTrue="1">
      <formula>NOT(ISERROR(SEARCH("SL",AD29)))</formula>
    </cfRule>
    <cfRule type="expression" priority="1176" dxfId="2" stopIfTrue="1">
      <formula>NOT(ISERROR(SEARCH("NP",AD29)))</formula>
    </cfRule>
    <cfRule type="expression" priority="1177" dxfId="4" stopIfTrue="1">
      <formula>NOT(ISERROR(SEARCH("SH",AD29)))</formula>
    </cfRule>
    <cfRule type="expression" priority="1178" dxfId="2" stopIfTrue="1">
      <formula>NOT(ISERROR(SEARCH("WTT",AD29)))</formula>
    </cfRule>
    <cfRule type="expression" priority="1179" dxfId="2" stopIfTrue="1">
      <formula>NOT(ISERROR(SEARCH("FH",AD29)))</formula>
    </cfRule>
  </conditionalFormatting>
  <conditionalFormatting sqref="AD35">
    <cfRule type="cellIs" priority="834" operator="equal" dxfId="11">
      <formula>"GS"</formula>
    </cfRule>
    <cfRule type="cellIs" priority="835" operator="equal" dxfId="10" stopIfTrue="1">
      <formula>"SR"</formula>
    </cfRule>
    <cfRule type="cellIs" priority="836" operator="equal" dxfId="9" stopIfTrue="1">
      <formula>"SG"</formula>
    </cfRule>
    <cfRule type="expression" priority="837" dxfId="8" stopIfTrue="1">
      <formula>NOT(ISERROR(SEARCH("AL",AD35)))</formula>
    </cfRule>
    <cfRule type="cellIs" priority="838" operator="equal" dxfId="11">
      <formula>"SEC"</formula>
    </cfRule>
    <cfRule type="cellIs" priority="839" operator="equal" dxfId="10" stopIfTrue="1">
      <formula>"SR"</formula>
    </cfRule>
    <cfRule type="cellIs" priority="840" operator="equal" dxfId="9" stopIfTrue="1">
      <formula>"SG"</formula>
    </cfRule>
    <cfRule type="expression" priority="841" dxfId="8" stopIfTrue="1">
      <formula>NOT(ISERROR(SEARCH("AL",AD35)))</formula>
    </cfRule>
    <cfRule type="expression" priority="842" dxfId="2" stopIfTrue="1">
      <formula>NOT(ISERROR(SEARCH("SEC",AD35)))</formula>
    </cfRule>
    <cfRule type="cellIs" priority="843" operator="equal" dxfId="11">
      <formula>"GS"</formula>
    </cfRule>
    <cfRule type="expression" priority="844" dxfId="6" stopIfTrue="1">
      <formula>NOT(ISERROR(SEARCH("SL",AD35)))</formula>
    </cfRule>
    <cfRule type="expression" priority="845" dxfId="2" stopIfTrue="1">
      <formula>NOT(ISERROR(SEARCH("NP",AD35)))</formula>
    </cfRule>
    <cfRule type="expression" priority="846" dxfId="4" stopIfTrue="1">
      <formula>NOT(ISERROR(SEARCH("SH",AD35)))</formula>
    </cfRule>
    <cfRule type="expression" priority="847" dxfId="2" stopIfTrue="1">
      <formula>NOT(ISERROR(SEARCH("WTT",AD35)))</formula>
    </cfRule>
    <cfRule type="expression" priority="848" dxfId="2" stopIfTrue="1">
      <formula>NOT(ISERROR(SEARCH("FH",AD35)))</formula>
    </cfRule>
  </conditionalFormatting>
  <conditionalFormatting sqref="AD45">
    <cfRule type="cellIs" priority="248" operator="equal" dxfId="11">
      <formula>"GS"</formula>
    </cfRule>
    <cfRule type="cellIs" priority="249" operator="equal" dxfId="10" stopIfTrue="1">
      <formula>"SR"</formula>
    </cfRule>
    <cfRule type="cellIs" priority="250" operator="equal" dxfId="9" stopIfTrue="1">
      <formula>"SG"</formula>
    </cfRule>
    <cfRule type="expression" priority="251" dxfId="8" stopIfTrue="1">
      <formula>NOT(ISERROR(SEARCH("AL",AD45)))</formula>
    </cfRule>
    <cfRule type="cellIs" priority="252" operator="equal" dxfId="11">
      <formula>"SEC"</formula>
    </cfRule>
    <cfRule type="cellIs" priority="253" operator="equal" dxfId="10" stopIfTrue="1">
      <formula>"SR"</formula>
    </cfRule>
    <cfRule type="cellIs" priority="254" operator="equal" dxfId="9" stopIfTrue="1">
      <formula>"SG"</formula>
    </cfRule>
    <cfRule type="expression" priority="255" dxfId="8" stopIfTrue="1">
      <formula>NOT(ISERROR(SEARCH("AL",AD45)))</formula>
    </cfRule>
    <cfRule type="expression" priority="256" dxfId="2" stopIfTrue="1">
      <formula>NOT(ISERROR(SEARCH("SEC",AD45)))</formula>
    </cfRule>
    <cfRule type="cellIs" priority="257" operator="equal" dxfId="11">
      <formula>"GS"</formula>
    </cfRule>
    <cfRule type="expression" priority="258" dxfId="6" stopIfTrue="1">
      <formula>NOT(ISERROR(SEARCH("SL",AD45)))</formula>
    </cfRule>
    <cfRule type="expression" priority="259" dxfId="2" stopIfTrue="1">
      <formula>NOT(ISERROR(SEARCH("NP",AD45)))</formula>
    </cfRule>
    <cfRule type="expression" priority="260" dxfId="4" stopIfTrue="1">
      <formula>NOT(ISERROR(SEARCH("SH",AD45)))</formula>
    </cfRule>
    <cfRule type="expression" priority="261" dxfId="2" stopIfTrue="1">
      <formula>NOT(ISERROR(SEARCH("WTT",AD45)))</formula>
    </cfRule>
    <cfRule type="expression" priority="262" dxfId="2" stopIfTrue="1">
      <formula>NOT(ISERROR(SEARCH("FH",AD45)))</formula>
    </cfRule>
  </conditionalFormatting>
  <conditionalFormatting sqref="AD26:AE26">
    <cfRule type="cellIs" priority="1351" operator="equal" dxfId="11">
      <formula>"GS"</formula>
    </cfRule>
    <cfRule type="cellIs" priority="1352" operator="equal" dxfId="10" stopIfTrue="1">
      <formula>"SR"</formula>
    </cfRule>
    <cfRule type="cellIs" priority="1353" operator="equal" dxfId="9" stopIfTrue="1">
      <formula>"SG"</formula>
    </cfRule>
    <cfRule type="expression" priority="1354" dxfId="8" stopIfTrue="1">
      <formula>NOT(ISERROR(SEARCH("AL",AD26)))</formula>
    </cfRule>
    <cfRule type="cellIs" priority="1355" operator="equal" dxfId="11">
      <formula>"SEC"</formula>
    </cfRule>
    <cfRule type="cellIs" priority="1356" operator="equal" dxfId="10" stopIfTrue="1">
      <formula>"SR"</formula>
    </cfRule>
    <cfRule type="cellIs" priority="1357" operator="equal" dxfId="9" stopIfTrue="1">
      <formula>"SG"</formula>
    </cfRule>
    <cfRule type="expression" priority="1358" dxfId="8" stopIfTrue="1">
      <formula>NOT(ISERROR(SEARCH("AL",AD26)))</formula>
    </cfRule>
    <cfRule type="expression" priority="1359" dxfId="2" stopIfTrue="1">
      <formula>NOT(ISERROR(SEARCH("SEC",AD26)))</formula>
    </cfRule>
    <cfRule type="cellIs" priority="1360" operator="equal" dxfId="11">
      <formula>"GS"</formula>
    </cfRule>
    <cfRule type="expression" priority="1361" dxfId="6" stopIfTrue="1">
      <formula>NOT(ISERROR(SEARCH("SL",AD26)))</formula>
    </cfRule>
    <cfRule type="expression" priority="1362" dxfId="2" stopIfTrue="1">
      <formula>NOT(ISERROR(SEARCH("NP",AD26)))</formula>
    </cfRule>
    <cfRule type="expression" priority="1363" dxfId="4" stopIfTrue="1">
      <formula>NOT(ISERROR(SEARCH("SH",AD26)))</formula>
    </cfRule>
    <cfRule type="expression" priority="1364" dxfId="2" stopIfTrue="1">
      <formula>NOT(ISERROR(SEARCH("WTT",AD26)))</formula>
    </cfRule>
  </conditionalFormatting>
  <conditionalFormatting sqref="AE9">
    <cfRule type="cellIs" priority="1697" operator="equal" dxfId="11">
      <formula>"GS"</formula>
    </cfRule>
    <cfRule type="cellIs" priority="1698" operator="equal" dxfId="10" stopIfTrue="1">
      <formula>"SR"</formula>
    </cfRule>
    <cfRule type="cellIs" priority="1699" operator="equal" dxfId="9" stopIfTrue="1">
      <formula>"SG"</formula>
    </cfRule>
    <cfRule type="expression" priority="1700" dxfId="8" stopIfTrue="1">
      <formula>NOT(ISERROR(SEARCH("AL",AE9)))</formula>
    </cfRule>
  </conditionalFormatting>
  <conditionalFormatting sqref="AE20">
    <cfRule type="containsText" priority="5" operator="containsText" dxfId="74" text="G">
      <formula>NOT(ISERROR(SEARCH("G",AE20)))</formula>
    </cfRule>
  </conditionalFormatting>
  <conditionalFormatting sqref="AE23">
    <cfRule type="cellIs" priority="1497" operator="equal" dxfId="11">
      <formula>"GS"</formula>
    </cfRule>
    <cfRule type="cellIs" priority="1498" operator="equal" dxfId="10" stopIfTrue="1">
      <formula>"SR"</formula>
    </cfRule>
    <cfRule type="cellIs" priority="1499" operator="equal" dxfId="9" stopIfTrue="1">
      <formula>"SG"</formula>
    </cfRule>
    <cfRule type="expression" priority="1500" dxfId="8" stopIfTrue="1">
      <formula>NOT(ISERROR(SEARCH("AL",AE23)))</formula>
    </cfRule>
    <cfRule type="cellIs" priority="1501" operator="equal" dxfId="11">
      <formula>"SEC"</formula>
    </cfRule>
    <cfRule type="cellIs" priority="1502" operator="equal" dxfId="10" stopIfTrue="1">
      <formula>"SR"</formula>
    </cfRule>
    <cfRule type="cellIs" priority="1503" operator="equal" dxfId="9" stopIfTrue="1">
      <formula>"SG"</formula>
    </cfRule>
    <cfRule type="expression" priority="1504" dxfId="8" stopIfTrue="1">
      <formula>NOT(ISERROR(SEARCH("AL",AE23)))</formula>
    </cfRule>
    <cfRule type="expression" priority="1505" dxfId="2" stopIfTrue="1">
      <formula>NOT(ISERROR(SEARCH("SEC",AE23)))</formula>
    </cfRule>
    <cfRule type="cellIs" priority="1506" operator="equal" dxfId="11">
      <formula>"GS"</formula>
    </cfRule>
    <cfRule type="expression" priority="1507" dxfId="6" stopIfTrue="1">
      <formula>NOT(ISERROR(SEARCH("SL",AE23)))</formula>
    </cfRule>
    <cfRule type="expression" priority="1508" dxfId="2" stopIfTrue="1">
      <formula>NOT(ISERROR(SEARCH("NP",AE23)))</formula>
    </cfRule>
    <cfRule type="expression" priority="1509" dxfId="4" stopIfTrue="1">
      <formula>NOT(ISERROR(SEARCH("SH",AE23)))</formula>
    </cfRule>
  </conditionalFormatting>
  <conditionalFormatting sqref="AE42">
    <cfRule type="cellIs" priority="398" operator="equal" dxfId="11">
      <formula>"GS"</formula>
    </cfRule>
    <cfRule type="cellIs" priority="399" operator="equal" dxfId="10" stopIfTrue="1">
      <formula>"SR"</formula>
    </cfRule>
    <cfRule type="cellIs" priority="400" operator="equal" dxfId="9" stopIfTrue="1">
      <formula>"SG"</formula>
    </cfRule>
    <cfRule type="expression" priority="401" dxfId="8" stopIfTrue="1">
      <formula>NOT(ISERROR(SEARCH("AL",AE42)))</formula>
    </cfRule>
    <cfRule type="cellIs" priority="402" operator="equal" dxfId="11">
      <formula>"SEC"</formula>
    </cfRule>
    <cfRule type="cellIs" priority="403" operator="equal" dxfId="10" stopIfTrue="1">
      <formula>"SR"</formula>
    </cfRule>
    <cfRule type="cellIs" priority="404" operator="equal" dxfId="9" stopIfTrue="1">
      <formula>"SG"</formula>
    </cfRule>
    <cfRule type="expression" priority="405" dxfId="8" stopIfTrue="1">
      <formula>NOT(ISERROR(SEARCH("AL",AE42)))</formula>
    </cfRule>
    <cfRule type="expression" priority="406" dxfId="2" stopIfTrue="1">
      <formula>NOT(ISERROR(SEARCH("SEC",AE42)))</formula>
    </cfRule>
    <cfRule type="cellIs" priority="407" operator="equal" dxfId="11">
      <formula>"GS"</formula>
    </cfRule>
    <cfRule type="expression" priority="408" dxfId="6" stopIfTrue="1">
      <formula>NOT(ISERROR(SEARCH("SL",AE42)))</formula>
    </cfRule>
    <cfRule type="expression" priority="409" dxfId="2" stopIfTrue="1">
      <formula>NOT(ISERROR(SEARCH("NP",AE42)))</formula>
    </cfRule>
    <cfRule type="expression" priority="410" dxfId="4" stopIfTrue="1">
      <formula>NOT(ISERROR(SEARCH("SH",AE42)))</formula>
    </cfRule>
    <cfRule type="expression" priority="411" dxfId="2" stopIfTrue="1">
      <formula>NOT(ISERROR(SEARCH("WTT",AE42)))</formula>
    </cfRule>
    <cfRule type="expression" priority="412" dxfId="2" stopIfTrue="1">
      <formula>NOT(ISERROR(SEARCH("FH",AE42)))</formula>
    </cfRule>
  </conditionalFormatting>
  <conditionalFormatting sqref="AE38:AF38">
    <cfRule type="cellIs" priority="654" operator="equal" dxfId="11">
      <formula>"GS"</formula>
    </cfRule>
    <cfRule type="cellIs" priority="655" operator="equal" dxfId="10" stopIfTrue="1">
      <formula>"SR"</formula>
    </cfRule>
    <cfRule type="cellIs" priority="656" operator="equal" dxfId="9" stopIfTrue="1">
      <formula>"SG"</formula>
    </cfRule>
    <cfRule type="expression" priority="657" dxfId="8" stopIfTrue="1">
      <formula>NOT(ISERROR(SEARCH("AL",AE38)))</formula>
    </cfRule>
    <cfRule type="cellIs" priority="658" operator="equal" dxfId="11">
      <formula>"SEC"</formula>
    </cfRule>
    <cfRule type="cellIs" priority="659" operator="equal" dxfId="10" stopIfTrue="1">
      <formula>"SR"</formula>
    </cfRule>
    <cfRule type="cellIs" priority="660" operator="equal" dxfId="9" stopIfTrue="1">
      <formula>"SG"</formula>
    </cfRule>
    <cfRule type="expression" priority="661" dxfId="8" stopIfTrue="1">
      <formula>NOT(ISERROR(SEARCH("AL",AE38)))</formula>
    </cfRule>
    <cfRule type="expression" priority="662" dxfId="2" stopIfTrue="1">
      <formula>NOT(ISERROR(SEARCH("SEC",AE38)))</formula>
    </cfRule>
    <cfRule type="cellIs" priority="663" operator="equal" dxfId="11">
      <formula>"GS"</formula>
    </cfRule>
    <cfRule type="expression" priority="664" dxfId="6" stopIfTrue="1">
      <formula>NOT(ISERROR(SEARCH("SL",AE38)))</formula>
    </cfRule>
    <cfRule type="expression" priority="665" dxfId="2" stopIfTrue="1">
      <formula>NOT(ISERROR(SEARCH("NP",AE38)))</formula>
    </cfRule>
    <cfRule type="expression" priority="666" dxfId="4" stopIfTrue="1">
      <formula>NOT(ISERROR(SEARCH("SH",AE38)))</formula>
    </cfRule>
    <cfRule type="expression" priority="667" dxfId="2" stopIfTrue="1">
      <formula>NOT(ISERROR(SEARCH("WTT",AE38)))</formula>
    </cfRule>
    <cfRule type="expression" priority="668" dxfId="2" stopIfTrue="1">
      <formula>NOT(ISERROR(SEARCH("FH",AE38)))</formula>
    </cfRule>
  </conditionalFormatting>
  <conditionalFormatting sqref="AF27">
    <cfRule type="cellIs" priority="1281" operator="equal" dxfId="11">
      <formula>"GS"</formula>
    </cfRule>
    <cfRule type="cellIs" priority="1282" operator="equal" dxfId="10" stopIfTrue="1">
      <formula>"SR"</formula>
    </cfRule>
    <cfRule type="cellIs" priority="1283" operator="equal" dxfId="9" stopIfTrue="1">
      <formula>"SG"</formula>
    </cfRule>
    <cfRule type="expression" priority="1284" dxfId="8" stopIfTrue="1">
      <formula>NOT(ISERROR(SEARCH("AL",AF27)))</formula>
    </cfRule>
    <cfRule type="cellIs" priority="1285" operator="equal" dxfId="11">
      <formula>"SEC"</formula>
    </cfRule>
    <cfRule type="cellIs" priority="1286" operator="equal" dxfId="10" stopIfTrue="1">
      <formula>"SR"</formula>
    </cfRule>
    <cfRule type="cellIs" priority="1287" operator="equal" dxfId="9" stopIfTrue="1">
      <formula>"SG"</formula>
    </cfRule>
    <cfRule type="expression" priority="1288" dxfId="8" stopIfTrue="1">
      <formula>NOT(ISERROR(SEARCH("AL",AF27)))</formula>
    </cfRule>
    <cfRule type="expression" priority="1289" dxfId="2" stopIfTrue="1">
      <formula>NOT(ISERROR(SEARCH("SEC",AF27)))</formula>
    </cfRule>
    <cfRule type="cellIs" priority="1290" operator="equal" dxfId="11">
      <formula>"GS"</formula>
    </cfRule>
    <cfRule type="expression" priority="1291" dxfId="6" stopIfTrue="1">
      <formula>NOT(ISERROR(SEARCH("SL",AF27)))</formula>
    </cfRule>
    <cfRule type="expression" priority="1292" dxfId="2" stopIfTrue="1">
      <formula>NOT(ISERROR(SEARCH("NP",AF27)))</formula>
    </cfRule>
    <cfRule type="expression" priority="1293" dxfId="4" stopIfTrue="1">
      <formula>NOT(ISERROR(SEARCH("SH",AF27)))</formula>
    </cfRule>
    <cfRule type="expression" priority="1294" dxfId="2" stopIfTrue="1">
      <formula>NOT(ISERROR(SEARCH("WTT",AF27)))</formula>
    </cfRule>
  </conditionalFormatting>
  <conditionalFormatting sqref="AF37">
    <cfRule type="cellIs" priority="714" operator="equal" dxfId="11">
      <formula>"GS"</formula>
    </cfRule>
    <cfRule type="cellIs" priority="715" operator="equal" dxfId="10" stopIfTrue="1">
      <formula>"SR"</formula>
    </cfRule>
    <cfRule type="cellIs" priority="716" operator="equal" dxfId="9" stopIfTrue="1">
      <formula>"SG"</formula>
    </cfRule>
    <cfRule type="expression" priority="717" dxfId="8" stopIfTrue="1">
      <formula>NOT(ISERROR(SEARCH("AL",AF37)))</formula>
    </cfRule>
    <cfRule type="cellIs" priority="718" operator="equal" dxfId="11">
      <formula>"SEC"</formula>
    </cfRule>
    <cfRule type="cellIs" priority="719" operator="equal" dxfId="10" stopIfTrue="1">
      <formula>"SR"</formula>
    </cfRule>
    <cfRule type="cellIs" priority="720" operator="equal" dxfId="9" stopIfTrue="1">
      <formula>"SG"</formula>
    </cfRule>
    <cfRule type="expression" priority="721" dxfId="8" stopIfTrue="1">
      <formula>NOT(ISERROR(SEARCH("AL",AF37)))</formula>
    </cfRule>
    <cfRule type="expression" priority="722" dxfId="2" stopIfTrue="1">
      <formula>NOT(ISERROR(SEARCH("SEC",AF37)))</formula>
    </cfRule>
    <cfRule type="cellIs" priority="723" operator="equal" dxfId="11">
      <formula>"GS"</formula>
    </cfRule>
    <cfRule type="expression" priority="724" dxfId="6" stopIfTrue="1">
      <formula>NOT(ISERROR(SEARCH("SL",AF37)))</formula>
    </cfRule>
    <cfRule type="expression" priority="725" dxfId="2" stopIfTrue="1">
      <formula>NOT(ISERROR(SEARCH("NP",AF37)))</formula>
    </cfRule>
    <cfRule type="expression" priority="726" dxfId="4" stopIfTrue="1">
      <formula>NOT(ISERROR(SEARCH("SH",AF37)))</formula>
    </cfRule>
    <cfRule type="expression" priority="727" dxfId="2" stopIfTrue="1">
      <formula>NOT(ISERROR(SEARCH("WTT",AF37)))</formula>
    </cfRule>
    <cfRule type="expression" priority="728" dxfId="2" stopIfTrue="1">
      <formula>NOT(ISERROR(SEARCH("FH",AF37)))</formula>
    </cfRule>
  </conditionalFormatting>
  <conditionalFormatting sqref="AF36:AG36">
    <cfRule type="cellIs" priority="774" operator="equal" dxfId="11">
      <formula>"GS"</formula>
    </cfRule>
    <cfRule type="cellIs" priority="775" operator="equal" dxfId="10" stopIfTrue="1">
      <formula>"SR"</formula>
    </cfRule>
    <cfRule type="cellIs" priority="776" operator="equal" dxfId="9" stopIfTrue="1">
      <formula>"SG"</formula>
    </cfRule>
    <cfRule type="expression" priority="777" dxfId="8" stopIfTrue="1">
      <formula>NOT(ISERROR(SEARCH("AL",AF36)))</formula>
    </cfRule>
    <cfRule type="cellIs" priority="778" operator="equal" dxfId="11">
      <formula>"SEC"</formula>
    </cfRule>
    <cfRule type="cellIs" priority="779" operator="equal" dxfId="10" stopIfTrue="1">
      <formula>"SR"</formula>
    </cfRule>
    <cfRule type="cellIs" priority="780" operator="equal" dxfId="9" stopIfTrue="1">
      <formula>"SG"</formula>
    </cfRule>
    <cfRule type="expression" priority="781" dxfId="8" stopIfTrue="1">
      <formula>NOT(ISERROR(SEARCH("AL",AF36)))</formula>
    </cfRule>
    <cfRule type="expression" priority="782" dxfId="2" stopIfTrue="1">
      <formula>NOT(ISERROR(SEARCH("SEC",AF36)))</formula>
    </cfRule>
    <cfRule type="cellIs" priority="783" operator="equal" dxfId="11">
      <formula>"GS"</formula>
    </cfRule>
    <cfRule type="expression" priority="784" dxfId="6" stopIfTrue="1">
      <formula>NOT(ISERROR(SEARCH("SL",AF36)))</formula>
    </cfRule>
    <cfRule type="expression" priority="785" dxfId="2" stopIfTrue="1">
      <formula>NOT(ISERROR(SEARCH("NP",AF36)))</formula>
    </cfRule>
    <cfRule type="expression" priority="786" dxfId="4" stopIfTrue="1">
      <formula>NOT(ISERROR(SEARCH("SH",AF36)))</formula>
    </cfRule>
    <cfRule type="expression" priority="787" dxfId="2" stopIfTrue="1">
      <formula>NOT(ISERROR(SEARCH("WTT",AF36)))</formula>
    </cfRule>
    <cfRule type="expression" priority="788" dxfId="2" stopIfTrue="1">
      <formula>NOT(ISERROR(SEARCH("FH",AF36)))</formula>
    </cfRule>
  </conditionalFormatting>
  <conditionalFormatting sqref="AF41:AG41">
    <cfRule type="cellIs" priority="473" operator="equal" dxfId="11">
      <formula>"GS"</formula>
    </cfRule>
    <cfRule type="cellIs" priority="474" operator="equal" dxfId="10" stopIfTrue="1">
      <formula>"SR"</formula>
    </cfRule>
    <cfRule type="cellIs" priority="475" operator="equal" dxfId="9" stopIfTrue="1">
      <formula>"SG"</formula>
    </cfRule>
    <cfRule type="expression" priority="476" dxfId="8" stopIfTrue="1">
      <formula>NOT(ISERROR(SEARCH("AL",AF41)))</formula>
    </cfRule>
    <cfRule type="cellIs" priority="477" operator="equal" dxfId="11">
      <formula>"SEC"</formula>
    </cfRule>
    <cfRule type="cellIs" priority="478" operator="equal" dxfId="10" stopIfTrue="1">
      <formula>"SR"</formula>
    </cfRule>
    <cfRule type="cellIs" priority="479" operator="equal" dxfId="9" stopIfTrue="1">
      <formula>"SG"</formula>
    </cfRule>
    <cfRule type="expression" priority="480" dxfId="8" stopIfTrue="1">
      <formula>NOT(ISERROR(SEARCH("AL",AF41)))</formula>
    </cfRule>
    <cfRule type="expression" priority="481" dxfId="2" stopIfTrue="1">
      <formula>NOT(ISERROR(SEARCH("SEC",AF41)))</formula>
    </cfRule>
    <cfRule type="cellIs" priority="482" operator="equal" dxfId="11">
      <formula>"GS"</formula>
    </cfRule>
    <cfRule type="expression" priority="483" dxfId="6" stopIfTrue="1">
      <formula>NOT(ISERROR(SEARCH("SL",AF41)))</formula>
    </cfRule>
    <cfRule type="expression" priority="484" dxfId="2" stopIfTrue="1">
      <formula>NOT(ISERROR(SEARCH("NP",AF41)))</formula>
    </cfRule>
    <cfRule type="expression" priority="485" dxfId="4" stopIfTrue="1">
      <formula>NOT(ISERROR(SEARCH("SH",AF41)))</formula>
    </cfRule>
    <cfRule type="expression" priority="486" dxfId="2" stopIfTrue="1">
      <formula>NOT(ISERROR(SEARCH("WTT",AF41)))</formula>
    </cfRule>
    <cfRule type="expression" priority="487" dxfId="2" stopIfTrue="1">
      <formula>NOT(ISERROR(SEARCH("FH",AF41)))</formula>
    </cfRule>
  </conditionalFormatting>
  <conditionalFormatting sqref="AF10:AJ10">
    <cfRule type="containsText" priority="14" operator="containsText" dxfId="74" text="G">
      <formula>NOT(ISERROR(SEARCH("G",AF10)))</formula>
    </cfRule>
  </conditionalFormatting>
  <conditionalFormatting sqref="AG11">
    <cfRule type="cellIs" priority="1661" operator="equal" dxfId="11">
      <formula>"GS"</formula>
    </cfRule>
    <cfRule type="cellIs" priority="1662" operator="equal" dxfId="10" stopIfTrue="1">
      <formula>"SR"</formula>
    </cfRule>
    <cfRule type="cellIs" priority="1663" operator="equal" dxfId="9" stopIfTrue="1">
      <formula>"SG"</formula>
    </cfRule>
    <cfRule type="expression" priority="1664" dxfId="8" stopIfTrue="1">
      <formula>NOT(ISERROR(SEARCH("AL",AG11)))</formula>
    </cfRule>
  </conditionalFormatting>
  <conditionalFormatting sqref="AG21">
    <cfRule type="cellIs" priority="1624" operator="equal" dxfId="11">
      <formula>"GS"</formula>
    </cfRule>
    <cfRule type="cellIs" priority="1625" operator="equal" dxfId="10" stopIfTrue="1">
      <formula>"SR"</formula>
    </cfRule>
    <cfRule type="cellIs" priority="1626" operator="equal" dxfId="9" stopIfTrue="1">
      <formula>"SG"</formula>
    </cfRule>
    <cfRule type="expression" priority="1627" dxfId="8" stopIfTrue="1">
      <formula>NOT(ISERROR(SEARCH("AL",AG21)))</formula>
    </cfRule>
  </conditionalFormatting>
  <conditionalFormatting sqref="AG29:AG30">
    <cfRule type="expression" priority="1786" dxfId="2" stopIfTrue="1">
      <formula>NOT(ISERROR(SEARCH("WTT",AG29)))</formula>
    </cfRule>
  </conditionalFormatting>
  <conditionalFormatting sqref="AG31">
    <cfRule type="cellIs" priority="1030" operator="equal" dxfId="11">
      <formula>"GS"</formula>
    </cfRule>
    <cfRule type="cellIs" priority="1031" operator="equal" dxfId="10" stopIfTrue="1">
      <formula>"SR"</formula>
    </cfRule>
    <cfRule type="cellIs" priority="1032" operator="equal" dxfId="9" stopIfTrue="1">
      <formula>"SG"</formula>
    </cfRule>
    <cfRule type="expression" priority="1033" dxfId="8" stopIfTrue="1">
      <formula>NOT(ISERROR(SEARCH("AL",AG31)))</formula>
    </cfRule>
    <cfRule type="cellIs" priority="1034" operator="equal" dxfId="11">
      <formula>"SEC"</formula>
    </cfRule>
    <cfRule type="cellIs" priority="1035" operator="equal" dxfId="10" stopIfTrue="1">
      <formula>"SR"</formula>
    </cfRule>
    <cfRule type="cellIs" priority="1036" operator="equal" dxfId="9" stopIfTrue="1">
      <formula>"SG"</formula>
    </cfRule>
    <cfRule type="expression" priority="1037" dxfId="8" stopIfTrue="1">
      <formula>NOT(ISERROR(SEARCH("AL",AG31)))</formula>
    </cfRule>
    <cfRule type="expression" priority="1038" dxfId="2" stopIfTrue="1">
      <formula>NOT(ISERROR(SEARCH("SEC",AG31)))</formula>
    </cfRule>
    <cfRule type="cellIs" priority="1039" operator="equal" dxfId="11">
      <formula>"GS"</formula>
    </cfRule>
    <cfRule type="expression" priority="1040" dxfId="6" stopIfTrue="1">
      <formula>NOT(ISERROR(SEARCH("SL",AG31)))</formula>
    </cfRule>
    <cfRule type="expression" priority="1041" dxfId="2" stopIfTrue="1">
      <formula>NOT(ISERROR(SEARCH("NP",AG31)))</formula>
    </cfRule>
    <cfRule type="expression" priority="1042" dxfId="4" stopIfTrue="1">
      <formula>NOT(ISERROR(SEARCH("SH",AG31)))</formula>
    </cfRule>
    <cfRule type="expression" priority="1043" dxfId="2" stopIfTrue="1">
      <formula>NOT(ISERROR(SEARCH("WTT",AG31)))</formula>
    </cfRule>
    <cfRule type="expression" priority="1044" dxfId="2" stopIfTrue="1">
      <formula>NOT(ISERROR(SEARCH("FH",AG31)))</formula>
    </cfRule>
  </conditionalFormatting>
  <conditionalFormatting sqref="AG33:AG34">
    <cfRule type="expression" priority="1797" dxfId="2" stopIfTrue="1">
      <formula>NOT(ISERROR(SEARCH("WTT",AG33)))</formula>
    </cfRule>
  </conditionalFormatting>
  <conditionalFormatting sqref="AG35:AH36">
    <cfRule type="expression" priority="1802" dxfId="2" stopIfTrue="1">
      <formula>NOT(ISERROR(SEARCH("WTT",AG35)))</formula>
    </cfRule>
  </conditionalFormatting>
  <conditionalFormatting sqref="AH28">
    <cfRule type="cellIs" priority="1225" operator="equal" dxfId="11">
      <formula>"GS"</formula>
    </cfRule>
    <cfRule type="cellIs" priority="1226" operator="equal" dxfId="10" stopIfTrue="1">
      <formula>"SR"</formula>
    </cfRule>
    <cfRule type="cellIs" priority="1227" operator="equal" dxfId="9" stopIfTrue="1">
      <formula>"SG"</formula>
    </cfRule>
    <cfRule type="expression" priority="1228" dxfId="8" stopIfTrue="1">
      <formula>NOT(ISERROR(SEARCH("AL",AH28)))</formula>
    </cfRule>
    <cfRule type="cellIs" priority="1229" operator="equal" dxfId="11">
      <formula>"SEC"</formula>
    </cfRule>
    <cfRule type="cellIs" priority="1230" operator="equal" dxfId="10" stopIfTrue="1">
      <formula>"SR"</formula>
    </cfRule>
    <cfRule type="cellIs" priority="1231" operator="equal" dxfId="9" stopIfTrue="1">
      <formula>"SG"</formula>
    </cfRule>
    <cfRule type="expression" priority="1232" dxfId="8" stopIfTrue="1">
      <formula>NOT(ISERROR(SEARCH("AL",AH28)))</formula>
    </cfRule>
    <cfRule type="expression" priority="1233" dxfId="2" stopIfTrue="1">
      <formula>NOT(ISERROR(SEARCH("SEC",AH28)))</formula>
    </cfRule>
    <cfRule type="cellIs" priority="1234" operator="equal" dxfId="11">
      <formula>"GS"</formula>
    </cfRule>
    <cfRule type="expression" priority="1235" dxfId="6" stopIfTrue="1">
      <formula>NOT(ISERROR(SEARCH("SL",AH28)))</formula>
    </cfRule>
    <cfRule type="expression" priority="1236" dxfId="2" stopIfTrue="1">
      <formula>NOT(ISERROR(SEARCH("NP",AH28)))</formula>
    </cfRule>
    <cfRule type="expression" priority="1237" dxfId="4" stopIfTrue="1">
      <formula>NOT(ISERROR(SEARCH("SH",AH28)))</formula>
    </cfRule>
    <cfRule type="expression" priority="1238" dxfId="2" stopIfTrue="1">
      <formula>NOT(ISERROR(SEARCH("WTT",AH28)))</formula>
    </cfRule>
  </conditionalFormatting>
  <conditionalFormatting sqref="AH30">
    <cfRule type="cellIs" priority="1090" operator="equal" dxfId="11">
      <formula>"GS"</formula>
    </cfRule>
    <cfRule type="cellIs" priority="1091" operator="equal" dxfId="10" stopIfTrue="1">
      <formula>"SR"</formula>
    </cfRule>
    <cfRule type="cellIs" priority="1092" operator="equal" dxfId="9" stopIfTrue="1">
      <formula>"SG"</formula>
    </cfRule>
    <cfRule type="expression" priority="1093" dxfId="8" stopIfTrue="1">
      <formula>NOT(ISERROR(SEARCH("AL",AH30)))</formula>
    </cfRule>
    <cfRule type="cellIs" priority="1094" operator="equal" dxfId="11">
      <formula>"SEC"</formula>
    </cfRule>
    <cfRule type="cellIs" priority="1095" operator="equal" dxfId="10" stopIfTrue="1">
      <formula>"SR"</formula>
    </cfRule>
    <cfRule type="cellIs" priority="1096" operator="equal" dxfId="9" stopIfTrue="1">
      <formula>"SG"</formula>
    </cfRule>
    <cfRule type="expression" priority="1097" dxfId="8" stopIfTrue="1">
      <formula>NOT(ISERROR(SEARCH("AL",AH30)))</formula>
    </cfRule>
    <cfRule type="expression" priority="1098" dxfId="2" stopIfTrue="1">
      <formula>NOT(ISERROR(SEARCH("SEC",AH30)))</formula>
    </cfRule>
    <cfRule type="cellIs" priority="1099" operator="equal" dxfId="11">
      <formula>"GS"</formula>
    </cfRule>
    <cfRule type="expression" priority="1100" dxfId="6" stopIfTrue="1">
      <formula>NOT(ISERROR(SEARCH("SL",AH30)))</formula>
    </cfRule>
    <cfRule type="expression" priority="1101" dxfId="2" stopIfTrue="1">
      <formula>NOT(ISERROR(SEARCH("NP",AH30)))</formula>
    </cfRule>
    <cfRule type="expression" priority="1102" dxfId="4" stopIfTrue="1">
      <formula>NOT(ISERROR(SEARCH("SH",AH30)))</formula>
    </cfRule>
    <cfRule type="expression" priority="1103" dxfId="2" stopIfTrue="1">
      <formula>NOT(ISERROR(SEARCH("WTT",AH30)))</formula>
    </cfRule>
    <cfRule type="expression" priority="1104" dxfId="2" stopIfTrue="1">
      <formula>NOT(ISERROR(SEARCH("FH",AH30)))</formula>
    </cfRule>
  </conditionalFormatting>
  <conditionalFormatting sqref="AH30:AH31">
    <cfRule type="expression" priority="1789" dxfId="2" stopIfTrue="1">
      <formula>NOT(ISERROR(SEARCH("WTT",AH30)))</formula>
    </cfRule>
  </conditionalFormatting>
  <conditionalFormatting sqref="AH32">
    <cfRule type="cellIs" priority="970" operator="equal" dxfId="11">
      <formula>"GS"</formula>
    </cfRule>
    <cfRule type="cellIs" priority="971" operator="equal" dxfId="10" stopIfTrue="1">
      <formula>"SR"</formula>
    </cfRule>
    <cfRule type="cellIs" priority="972" operator="equal" dxfId="9" stopIfTrue="1">
      <formula>"SG"</formula>
    </cfRule>
    <cfRule type="expression" priority="973" dxfId="8" stopIfTrue="1">
      <formula>NOT(ISERROR(SEARCH("AL",AH32)))</formula>
    </cfRule>
    <cfRule type="cellIs" priority="974" operator="equal" dxfId="11">
      <formula>"SEC"</formula>
    </cfRule>
    <cfRule type="cellIs" priority="975" operator="equal" dxfId="10" stopIfTrue="1">
      <formula>"SR"</formula>
    </cfRule>
    <cfRule type="cellIs" priority="976" operator="equal" dxfId="9" stopIfTrue="1">
      <formula>"SG"</formula>
    </cfRule>
    <cfRule type="expression" priority="977" dxfId="8" stopIfTrue="1">
      <formula>NOT(ISERROR(SEARCH("AL",AH32)))</formula>
    </cfRule>
    <cfRule type="expression" priority="978" dxfId="2" stopIfTrue="1">
      <formula>NOT(ISERROR(SEARCH("SEC",AH32)))</formula>
    </cfRule>
    <cfRule type="cellIs" priority="979" operator="equal" dxfId="11">
      <formula>"GS"</formula>
    </cfRule>
    <cfRule type="expression" priority="980" dxfId="6" stopIfTrue="1">
      <formula>NOT(ISERROR(SEARCH("SL",AH32)))</formula>
    </cfRule>
    <cfRule type="expression" priority="981" dxfId="2" stopIfTrue="1">
      <formula>NOT(ISERROR(SEARCH("NP",AH32)))</formula>
    </cfRule>
    <cfRule type="expression" priority="982" dxfId="4" stopIfTrue="1">
      <formula>NOT(ISERROR(SEARCH("SH",AH32)))</formula>
    </cfRule>
    <cfRule type="expression" priority="983" dxfId="2" stopIfTrue="1">
      <formula>NOT(ISERROR(SEARCH("WTT",AH32)))</formula>
    </cfRule>
    <cfRule type="expression" priority="984" dxfId="2" stopIfTrue="1">
      <formula>NOT(ISERROR(SEARCH("FH",AH32)))</formula>
    </cfRule>
  </conditionalFormatting>
  <conditionalFormatting sqref="AH11:AM11">
    <cfRule type="containsText" priority="16" operator="containsText" dxfId="74" text="G">
      <formula>NOT(ISERROR(SEARCH("G",AH11)))</formula>
    </cfRule>
  </conditionalFormatting>
  <conditionalFormatting sqref="AH21:AM21">
    <cfRule type="cellIs" priority="1600" operator="equal" dxfId="10" stopIfTrue="1">
      <formula>"SR"</formula>
    </cfRule>
    <cfRule type="cellIs" priority="1601" operator="equal" dxfId="9" stopIfTrue="1">
      <formula>"SG"</formula>
    </cfRule>
    <cfRule type="expression" priority="1602" dxfId="8" stopIfTrue="1">
      <formula>NOT(ISERROR(SEARCH("AL",AH21)))</formula>
    </cfRule>
  </conditionalFormatting>
  <conditionalFormatting sqref="AI24">
    <cfRule type="cellIs" priority="1433" operator="equal" dxfId="10" stopIfTrue="1">
      <formula>"SR"</formula>
    </cfRule>
    <cfRule type="cellIs" priority="1434" operator="equal" dxfId="9" stopIfTrue="1">
      <formula>"SG"</formula>
    </cfRule>
    <cfRule type="expression" priority="1435" dxfId="8" stopIfTrue="1">
      <formula>NOT(ISERROR(SEARCH("AL",AI24)))</formula>
    </cfRule>
    <cfRule type="cellIs" priority="1436" operator="equal" dxfId="11">
      <formula>"SEC"</formula>
    </cfRule>
    <cfRule type="cellIs" priority="1437" operator="equal" dxfId="10" stopIfTrue="1">
      <formula>"SR"</formula>
    </cfRule>
    <cfRule type="cellIs" priority="1438" operator="equal" dxfId="9" stopIfTrue="1">
      <formula>"SG"</formula>
    </cfRule>
    <cfRule type="expression" priority="1439" dxfId="8" stopIfTrue="1">
      <formula>NOT(ISERROR(SEARCH("AL",AI24)))</formula>
    </cfRule>
    <cfRule type="expression" priority="1440" dxfId="2" stopIfTrue="1">
      <formula>NOT(ISERROR(SEARCH("SEC",AI24)))</formula>
    </cfRule>
    <cfRule type="cellIs" priority="1441" operator="equal" dxfId="11">
      <formula>"GS"</formula>
    </cfRule>
    <cfRule type="expression" priority="1442" dxfId="6" stopIfTrue="1">
      <formula>NOT(ISERROR(SEARCH("SL",AI24)))</formula>
    </cfRule>
    <cfRule type="expression" priority="1443" dxfId="2" stopIfTrue="1">
      <formula>NOT(ISERROR(SEARCH("NP",AI24)))</formula>
    </cfRule>
    <cfRule type="expression" priority="1444" dxfId="4" stopIfTrue="1">
      <formula>NOT(ISERROR(SEARCH("SH",AI24)))</formula>
    </cfRule>
  </conditionalFormatting>
  <conditionalFormatting sqref="AI24:AI25">
    <cfRule type="cellIs" priority="1402" operator="equal" dxfId="11">
      <formula>"GS"</formula>
    </cfRule>
  </conditionalFormatting>
  <conditionalFormatting sqref="AI25">
    <cfRule type="cellIs" priority="1393" operator="equal" dxfId="11">
      <formula>"GS"</formula>
    </cfRule>
    <cfRule type="cellIs" priority="1394" operator="equal" dxfId="10" stopIfTrue="1">
      <formula>"SR"</formula>
    </cfRule>
    <cfRule type="cellIs" priority="1395" operator="equal" dxfId="9" stopIfTrue="1">
      <formula>"SG"</formula>
    </cfRule>
    <cfRule type="expression" priority="1396" dxfId="8" stopIfTrue="1">
      <formula>NOT(ISERROR(SEARCH("AL",AI25)))</formula>
    </cfRule>
    <cfRule type="cellIs" priority="1397" operator="equal" dxfId="11">
      <formula>"SEC"</formula>
    </cfRule>
    <cfRule type="cellIs" priority="1398" operator="equal" dxfId="10" stopIfTrue="1">
      <formula>"SR"</formula>
    </cfRule>
    <cfRule type="cellIs" priority="1399" operator="equal" dxfId="9" stopIfTrue="1">
      <formula>"SG"</formula>
    </cfRule>
    <cfRule type="expression" priority="1400" dxfId="8" stopIfTrue="1">
      <formula>NOT(ISERROR(SEARCH("AL",AI25)))</formula>
    </cfRule>
    <cfRule type="expression" priority="1401" dxfId="2" stopIfTrue="1">
      <formula>NOT(ISERROR(SEARCH("SEC",AI25)))</formula>
    </cfRule>
    <cfRule type="expression" priority="1403" dxfId="6" stopIfTrue="1">
      <formula>NOT(ISERROR(SEARCH("SL",AI25)))</formula>
    </cfRule>
    <cfRule type="expression" priority="1404" dxfId="2" stopIfTrue="1">
      <formula>NOT(ISERROR(SEARCH("NP",AI25)))</formula>
    </cfRule>
    <cfRule type="expression" priority="1405" dxfId="4" stopIfTrue="1">
      <formula>NOT(ISERROR(SEARCH("SH",AI25)))</formula>
    </cfRule>
  </conditionalFormatting>
  <conditionalFormatting sqref="AI34:AJ34">
    <cfRule type="cellIs" priority="879" operator="equal" dxfId="11">
      <formula>"GS"</formula>
    </cfRule>
    <cfRule type="cellIs" priority="880" operator="equal" dxfId="10" stopIfTrue="1">
      <formula>"SR"</formula>
    </cfRule>
    <cfRule type="cellIs" priority="881" operator="equal" dxfId="9" stopIfTrue="1">
      <formula>"SG"</formula>
    </cfRule>
    <cfRule type="expression" priority="882" dxfId="8" stopIfTrue="1">
      <formula>NOT(ISERROR(SEARCH("AL",AI34)))</formula>
    </cfRule>
    <cfRule type="cellIs" priority="883" operator="equal" dxfId="11">
      <formula>"SEC"</formula>
    </cfRule>
    <cfRule type="cellIs" priority="884" operator="equal" dxfId="10" stopIfTrue="1">
      <formula>"SR"</formula>
    </cfRule>
    <cfRule type="cellIs" priority="885" operator="equal" dxfId="9" stopIfTrue="1">
      <formula>"SG"</formula>
    </cfRule>
    <cfRule type="expression" priority="886" dxfId="8" stopIfTrue="1">
      <formula>NOT(ISERROR(SEARCH("AL",AI34)))</formula>
    </cfRule>
    <cfRule type="expression" priority="887" dxfId="2" stopIfTrue="1">
      <formula>NOT(ISERROR(SEARCH("SEC",AI34)))</formula>
    </cfRule>
    <cfRule type="cellIs" priority="888" operator="equal" dxfId="11">
      <formula>"GS"</formula>
    </cfRule>
    <cfRule type="expression" priority="889" dxfId="6" stopIfTrue="1">
      <formula>NOT(ISERROR(SEARCH("SL",AI34)))</formula>
    </cfRule>
    <cfRule type="expression" priority="890" dxfId="2" stopIfTrue="1">
      <formula>NOT(ISERROR(SEARCH("NP",AI34)))</formula>
    </cfRule>
    <cfRule type="expression" priority="891" dxfId="4" stopIfTrue="1">
      <formula>NOT(ISERROR(SEARCH("SH",AI34)))</formula>
    </cfRule>
    <cfRule type="expression" priority="892" dxfId="2" stopIfTrue="1">
      <formula>NOT(ISERROR(SEARCH("WTT",AI34)))</formula>
    </cfRule>
    <cfRule type="expression" priority="893" dxfId="2" stopIfTrue="1">
      <formula>NOT(ISERROR(SEARCH("FH",AI34)))</formula>
    </cfRule>
  </conditionalFormatting>
  <conditionalFormatting sqref="AI39:AJ39">
    <cfRule type="cellIs" priority="579" operator="equal" dxfId="11">
      <formula>"GS"</formula>
    </cfRule>
    <cfRule type="cellIs" priority="580" operator="equal" dxfId="10" stopIfTrue="1">
      <formula>"SR"</formula>
    </cfRule>
    <cfRule type="cellIs" priority="581" operator="equal" dxfId="9" stopIfTrue="1">
      <formula>"SG"</formula>
    </cfRule>
    <cfRule type="expression" priority="582" dxfId="8" stopIfTrue="1">
      <formula>NOT(ISERROR(SEARCH("AL",AI39)))</formula>
    </cfRule>
    <cfRule type="cellIs" priority="583" operator="equal" dxfId="11">
      <formula>"SEC"</formula>
    </cfRule>
    <cfRule type="cellIs" priority="584" operator="equal" dxfId="10" stopIfTrue="1">
      <formula>"SR"</formula>
    </cfRule>
    <cfRule type="cellIs" priority="585" operator="equal" dxfId="9" stopIfTrue="1">
      <formula>"SG"</formula>
    </cfRule>
    <cfRule type="expression" priority="586" dxfId="8" stopIfTrue="1">
      <formula>NOT(ISERROR(SEARCH("AL",AI39)))</formula>
    </cfRule>
    <cfRule type="expression" priority="587" dxfId="2" stopIfTrue="1">
      <formula>NOT(ISERROR(SEARCH("SEC",AI39)))</formula>
    </cfRule>
    <cfRule type="cellIs" priority="588" operator="equal" dxfId="11">
      <formula>"GS"</formula>
    </cfRule>
    <cfRule type="expression" priority="589" dxfId="6" stopIfTrue="1">
      <formula>NOT(ISERROR(SEARCH("SL",AI39)))</formula>
    </cfRule>
    <cfRule type="expression" priority="590" dxfId="2" stopIfTrue="1">
      <formula>NOT(ISERROR(SEARCH("NP",AI39)))</formula>
    </cfRule>
    <cfRule type="expression" priority="591" dxfId="4" stopIfTrue="1">
      <formula>NOT(ISERROR(SEARCH("SH",AI39)))</formula>
    </cfRule>
    <cfRule type="expression" priority="592" dxfId="2" stopIfTrue="1">
      <formula>NOT(ISERROR(SEARCH("WTT",AI39)))</formula>
    </cfRule>
    <cfRule type="expression" priority="593" dxfId="2" stopIfTrue="1">
      <formula>NOT(ISERROR(SEARCH("FH",AI39)))</formula>
    </cfRule>
  </conditionalFormatting>
  <conditionalFormatting sqref="AJ22">
    <cfRule type="cellIs" priority="1536" operator="equal" dxfId="11">
      <formula>"GS"</formula>
    </cfRule>
    <cfRule type="cellIs" priority="1537" operator="equal" dxfId="10" stopIfTrue="1">
      <formula>"SR"</formula>
    </cfRule>
    <cfRule type="cellIs" priority="1538" operator="equal" dxfId="9" stopIfTrue="1">
      <formula>"SG"</formula>
    </cfRule>
    <cfRule type="expression" priority="1539" dxfId="8" stopIfTrue="1">
      <formula>NOT(ISERROR(SEARCH("AL",AJ22)))</formula>
    </cfRule>
    <cfRule type="cellIs" priority="1540" operator="equal" dxfId="11">
      <formula>"SEC"</formula>
    </cfRule>
    <cfRule type="cellIs" priority="1541" operator="equal" dxfId="10" stopIfTrue="1">
      <formula>"SR"</formula>
    </cfRule>
    <cfRule type="cellIs" priority="1542" operator="equal" dxfId="9" stopIfTrue="1">
      <formula>"SG"</formula>
    </cfRule>
    <cfRule type="expression" priority="1543" dxfId="8" stopIfTrue="1">
      <formula>NOT(ISERROR(SEARCH("AL",AJ22)))</formula>
    </cfRule>
    <cfRule type="expression" priority="1544" dxfId="2" stopIfTrue="1">
      <formula>NOT(ISERROR(SEARCH("SEC",AJ22)))</formula>
    </cfRule>
    <cfRule type="cellIs" priority="1545" operator="equal" dxfId="11">
      <formula>"GS"</formula>
    </cfRule>
    <cfRule type="expression" priority="1546" dxfId="6" stopIfTrue="1">
      <formula>NOT(ISERROR(SEARCH("SL",AJ22)))</formula>
    </cfRule>
    <cfRule type="expression" priority="1547" dxfId="2" stopIfTrue="1">
      <formula>NOT(ISERROR(SEARCH("NP",AJ22)))</formula>
    </cfRule>
    <cfRule type="expression" priority="1548" dxfId="4" stopIfTrue="1">
      <formula>NOT(ISERROR(SEARCH("SH",AJ22)))</formula>
    </cfRule>
  </conditionalFormatting>
  <conditionalFormatting sqref="AJ31:AJ32">
    <cfRule type="expression" priority="1792" dxfId="2" stopIfTrue="1">
      <formula>NOT(ISERROR(SEARCH("WTT",AJ31)))</formula>
    </cfRule>
  </conditionalFormatting>
  <conditionalFormatting sqref="AJ46">
    <cfRule type="cellIs" priority="173" operator="equal" dxfId="11">
      <formula>"GS"</formula>
    </cfRule>
    <cfRule type="cellIs" priority="174" operator="equal" dxfId="10" stopIfTrue="1">
      <formula>"SR"</formula>
    </cfRule>
    <cfRule type="cellIs" priority="175" operator="equal" dxfId="9" stopIfTrue="1">
      <formula>"SG"</formula>
    </cfRule>
    <cfRule type="expression" priority="176" dxfId="8" stopIfTrue="1">
      <formula>NOT(ISERROR(SEARCH("AL",AJ46)))</formula>
    </cfRule>
    <cfRule type="cellIs" priority="177" operator="equal" dxfId="11">
      <formula>"SEC"</formula>
    </cfRule>
    <cfRule type="cellIs" priority="178" operator="equal" dxfId="10" stopIfTrue="1">
      <formula>"SR"</formula>
    </cfRule>
    <cfRule type="cellIs" priority="179" operator="equal" dxfId="9" stopIfTrue="1">
      <formula>"SG"</formula>
    </cfRule>
    <cfRule type="expression" priority="180" dxfId="8" stopIfTrue="1">
      <formula>NOT(ISERROR(SEARCH("AL",AJ46)))</formula>
    </cfRule>
    <cfRule type="expression" priority="181" dxfId="2" stopIfTrue="1">
      <formula>NOT(ISERROR(SEARCH("SEC",AJ46)))</formula>
    </cfRule>
    <cfRule type="cellIs" priority="182" operator="equal" dxfId="11">
      <formula>"GS"</formula>
    </cfRule>
    <cfRule type="expression" priority="183" dxfId="6" stopIfTrue="1">
      <formula>NOT(ISERROR(SEARCH("SL",AJ46)))</formula>
    </cfRule>
    <cfRule type="expression" priority="184" dxfId="2" stopIfTrue="1">
      <formula>NOT(ISERROR(SEARCH("NP",AJ46)))</formula>
    </cfRule>
    <cfRule type="expression" priority="185" dxfId="4" stopIfTrue="1">
      <formula>NOT(ISERROR(SEARCH("SH",AJ46)))</formula>
    </cfRule>
    <cfRule type="expression" priority="186" dxfId="2" stopIfTrue="1">
      <formula>NOT(ISERROR(SEARCH("WTT",AJ46)))</formula>
    </cfRule>
    <cfRule type="expression" priority="187" dxfId="2" stopIfTrue="1">
      <formula>NOT(ISERROR(SEARCH("FH",AJ46)))</formula>
    </cfRule>
  </conditionalFormatting>
  <conditionalFormatting sqref="AJ48">
    <cfRule type="cellIs" priority="51" operator="equal" dxfId="11">
      <formula>"GS"</formula>
    </cfRule>
    <cfRule type="cellIs" priority="52" operator="equal" dxfId="10" stopIfTrue="1">
      <formula>"SR"</formula>
    </cfRule>
    <cfRule type="cellIs" priority="53" operator="equal" dxfId="9" stopIfTrue="1">
      <formula>"SG"</formula>
    </cfRule>
    <cfRule type="expression" priority="54" dxfId="8" stopIfTrue="1">
      <formula>NOT(ISERROR(SEARCH("AL",AJ48)))</formula>
    </cfRule>
    <cfRule type="cellIs" priority="55" operator="equal" dxfId="11">
      <formula>"SEC"</formula>
    </cfRule>
    <cfRule type="cellIs" priority="56" operator="equal" dxfId="10" stopIfTrue="1">
      <formula>"SR"</formula>
    </cfRule>
    <cfRule type="cellIs" priority="57" operator="equal" dxfId="9" stopIfTrue="1">
      <formula>"SG"</formula>
    </cfRule>
    <cfRule type="expression" priority="58" dxfId="8" stopIfTrue="1">
      <formula>NOT(ISERROR(SEARCH("AL",AJ48)))</formula>
    </cfRule>
    <cfRule type="expression" priority="59" dxfId="2" stopIfTrue="1">
      <formula>NOT(ISERROR(SEARCH("SEC",AJ48)))</formula>
    </cfRule>
    <cfRule type="cellIs" priority="60" operator="equal" dxfId="11">
      <formula>"GS"</formula>
    </cfRule>
    <cfRule type="expression" priority="61" dxfId="6" stopIfTrue="1">
      <formula>NOT(ISERROR(SEARCH("SL",AJ48)))</formula>
    </cfRule>
    <cfRule type="expression" priority="62" dxfId="2" stopIfTrue="1">
      <formula>NOT(ISERROR(SEARCH("NP",AJ48)))</formula>
    </cfRule>
    <cfRule type="expression" priority="63" dxfId="4" stopIfTrue="1">
      <formula>NOT(ISERROR(SEARCH("SH",AJ48)))</formula>
    </cfRule>
    <cfRule type="expression" priority="64" dxfId="2" stopIfTrue="1">
      <formula>NOT(ISERROR(SEARCH("WTT",AJ48)))</formula>
    </cfRule>
    <cfRule type="expression" priority="65" dxfId="2" stopIfTrue="1">
      <formula>NOT(ISERROR(SEARCH("FH",AJ48)))</formula>
    </cfRule>
  </conditionalFormatting>
  <conditionalFormatting sqref="AJ26:AK27">
    <cfRule type="expression" priority="1778" dxfId="2" stopIfTrue="1">
      <formula>NOT(ISERROR(SEARCH("WTT",AJ26)))</formula>
    </cfRule>
  </conditionalFormatting>
  <conditionalFormatting sqref="AK10">
    <cfRule type="cellIs" priority="1673" operator="equal" dxfId="11">
      <formula>"GS"</formula>
    </cfRule>
    <cfRule type="cellIs" priority="1674" operator="equal" dxfId="10" stopIfTrue="1">
      <formula>"SR"</formula>
    </cfRule>
    <cfRule type="cellIs" priority="1675" operator="equal" dxfId="9" stopIfTrue="1">
      <formula>"SG"</formula>
    </cfRule>
    <cfRule type="expression" priority="1676" dxfId="8" stopIfTrue="1">
      <formula>NOT(ISERROR(SEARCH("AL",AK10)))</formula>
    </cfRule>
  </conditionalFormatting>
  <conditionalFormatting sqref="AK20">
    <cfRule type="cellIs" priority="1636" operator="equal" dxfId="11">
      <formula>"GS"</formula>
    </cfRule>
    <cfRule type="cellIs" priority="1637" operator="equal" dxfId="10" stopIfTrue="1">
      <formula>"SR"</formula>
    </cfRule>
    <cfRule type="cellIs" priority="1638" operator="equal" dxfId="9" stopIfTrue="1">
      <formula>"SG"</formula>
    </cfRule>
    <cfRule type="expression" priority="1639" dxfId="8" stopIfTrue="1">
      <formula>NOT(ISERROR(SEARCH("AL",AK20)))</formula>
    </cfRule>
  </conditionalFormatting>
  <conditionalFormatting sqref="AK29">
    <cfRule type="cellIs" priority="1150" operator="equal" dxfId="11">
      <formula>"GS"</formula>
    </cfRule>
    <cfRule type="cellIs" priority="1151" operator="equal" dxfId="10" stopIfTrue="1">
      <formula>"SR"</formula>
    </cfRule>
    <cfRule type="cellIs" priority="1152" operator="equal" dxfId="9" stopIfTrue="1">
      <formula>"SG"</formula>
    </cfRule>
    <cfRule type="expression" priority="1153" dxfId="8" stopIfTrue="1">
      <formula>NOT(ISERROR(SEARCH("AL",AK29)))</formula>
    </cfRule>
    <cfRule type="cellIs" priority="1154" operator="equal" dxfId="11">
      <formula>"SEC"</formula>
    </cfRule>
    <cfRule type="cellIs" priority="1155" operator="equal" dxfId="10" stopIfTrue="1">
      <formula>"SR"</formula>
    </cfRule>
    <cfRule type="cellIs" priority="1156" operator="equal" dxfId="9" stopIfTrue="1">
      <formula>"SG"</formula>
    </cfRule>
    <cfRule type="expression" priority="1157" dxfId="8" stopIfTrue="1">
      <formula>NOT(ISERROR(SEARCH("AL",AK29)))</formula>
    </cfRule>
    <cfRule type="expression" priority="1158" dxfId="2" stopIfTrue="1">
      <formula>NOT(ISERROR(SEARCH("SEC",AK29)))</formula>
    </cfRule>
    <cfRule type="cellIs" priority="1159" operator="equal" dxfId="11">
      <formula>"GS"</formula>
    </cfRule>
    <cfRule type="expression" priority="1160" dxfId="6" stopIfTrue="1">
      <formula>NOT(ISERROR(SEARCH("SL",AK29)))</formula>
    </cfRule>
    <cfRule type="expression" priority="1161" dxfId="2" stopIfTrue="1">
      <formula>NOT(ISERROR(SEARCH("NP",AK29)))</formula>
    </cfRule>
    <cfRule type="expression" priority="1162" dxfId="4" stopIfTrue="1">
      <formula>NOT(ISERROR(SEARCH("SH",AK29)))</formula>
    </cfRule>
    <cfRule type="expression" priority="1163" dxfId="2" stopIfTrue="1">
      <formula>NOT(ISERROR(SEARCH("WTT",AK29)))</formula>
    </cfRule>
    <cfRule type="expression" priority="1164" dxfId="2" stopIfTrue="1">
      <formula>NOT(ISERROR(SEARCH("FH",AK29)))</formula>
    </cfRule>
  </conditionalFormatting>
  <conditionalFormatting sqref="AK34:AK35">
    <cfRule type="expression" priority="1800" dxfId="2" stopIfTrue="1">
      <formula>NOT(ISERROR(SEARCH("WTT",AK34)))</formula>
    </cfRule>
  </conditionalFormatting>
  <conditionalFormatting sqref="AK40">
    <cfRule type="cellIs" priority="519" operator="equal" dxfId="11">
      <formula>"GS"</formula>
    </cfRule>
    <cfRule type="cellIs" priority="520" operator="equal" dxfId="10" stopIfTrue="1">
      <formula>"SR"</formula>
    </cfRule>
    <cfRule type="cellIs" priority="521" operator="equal" dxfId="9" stopIfTrue="1">
      <formula>"SG"</formula>
    </cfRule>
    <cfRule type="expression" priority="522" dxfId="8" stopIfTrue="1">
      <formula>NOT(ISERROR(SEARCH("AL",AK40)))</formula>
    </cfRule>
    <cfRule type="cellIs" priority="523" operator="equal" dxfId="11">
      <formula>"SEC"</formula>
    </cfRule>
    <cfRule type="cellIs" priority="524" operator="equal" dxfId="10" stopIfTrue="1">
      <formula>"SR"</formula>
    </cfRule>
    <cfRule type="cellIs" priority="525" operator="equal" dxfId="9" stopIfTrue="1">
      <formula>"SG"</formula>
    </cfRule>
    <cfRule type="expression" priority="526" dxfId="8" stopIfTrue="1">
      <formula>NOT(ISERROR(SEARCH("AL",AK40)))</formula>
    </cfRule>
    <cfRule type="expression" priority="527" dxfId="2" stopIfTrue="1">
      <formula>NOT(ISERROR(SEARCH("SEC",AK40)))</formula>
    </cfRule>
    <cfRule type="cellIs" priority="528" operator="equal" dxfId="11">
      <formula>"GS"</formula>
    </cfRule>
    <cfRule type="expression" priority="529" dxfId="6" stopIfTrue="1">
      <formula>NOT(ISERROR(SEARCH("SL",AK40)))</formula>
    </cfRule>
    <cfRule type="expression" priority="530" dxfId="2" stopIfTrue="1">
      <formula>NOT(ISERROR(SEARCH("NP",AK40)))</formula>
    </cfRule>
    <cfRule type="expression" priority="531" dxfId="4" stopIfTrue="1">
      <formula>NOT(ISERROR(SEARCH("SH",AK40)))</formula>
    </cfRule>
    <cfRule type="expression" priority="532" dxfId="2" stopIfTrue="1">
      <formula>NOT(ISERROR(SEARCH("WTT",AK40)))</formula>
    </cfRule>
    <cfRule type="expression" priority="533" dxfId="2" stopIfTrue="1">
      <formula>NOT(ISERROR(SEARCH("FH",AK40)))</formula>
    </cfRule>
  </conditionalFormatting>
  <conditionalFormatting sqref="AK43">
    <cfRule type="cellIs" priority="323" operator="equal" dxfId="11">
      <formula>"GS"</formula>
    </cfRule>
    <cfRule type="cellIs" priority="324" operator="equal" dxfId="10" stopIfTrue="1">
      <formula>"SR"</formula>
    </cfRule>
    <cfRule type="cellIs" priority="325" operator="equal" dxfId="9" stopIfTrue="1">
      <formula>"SG"</formula>
    </cfRule>
    <cfRule type="expression" priority="326" dxfId="8" stopIfTrue="1">
      <formula>NOT(ISERROR(SEARCH("AL",AK43)))</formula>
    </cfRule>
    <cfRule type="cellIs" priority="327" operator="equal" dxfId="11">
      <formula>"SEC"</formula>
    </cfRule>
    <cfRule type="cellIs" priority="328" operator="equal" dxfId="10" stopIfTrue="1">
      <formula>"SR"</formula>
    </cfRule>
    <cfRule type="cellIs" priority="329" operator="equal" dxfId="9" stopIfTrue="1">
      <formula>"SG"</formula>
    </cfRule>
    <cfRule type="expression" priority="330" dxfId="8" stopIfTrue="1">
      <formula>NOT(ISERROR(SEARCH("AL",AK43)))</formula>
    </cfRule>
    <cfRule type="expression" priority="331" dxfId="2" stopIfTrue="1">
      <formula>NOT(ISERROR(SEARCH("SEC",AK43)))</formula>
    </cfRule>
    <cfRule type="cellIs" priority="332" operator="equal" dxfId="11">
      <formula>"GS"</formula>
    </cfRule>
    <cfRule type="expression" priority="333" dxfId="6" stopIfTrue="1">
      <formula>NOT(ISERROR(SEARCH("SL",AK43)))</formula>
    </cfRule>
    <cfRule type="expression" priority="334" dxfId="2" stopIfTrue="1">
      <formula>NOT(ISERROR(SEARCH("NP",AK43)))</formula>
    </cfRule>
    <cfRule type="expression" priority="335" dxfId="4" stopIfTrue="1">
      <formula>NOT(ISERROR(SEARCH("SH",AK43)))</formula>
    </cfRule>
    <cfRule type="expression" priority="336" dxfId="2" stopIfTrue="1">
      <formula>NOT(ISERROR(SEARCH("WTT",AK43)))</formula>
    </cfRule>
    <cfRule type="expression" priority="337" dxfId="2" stopIfTrue="1">
      <formula>NOT(ISERROR(SEARCH("FH",AK43)))</formula>
    </cfRule>
  </conditionalFormatting>
  <conditionalFormatting sqref="AK47">
    <cfRule type="cellIs" priority="111" operator="equal" dxfId="11">
      <formula>"GS"</formula>
    </cfRule>
    <cfRule type="cellIs" priority="112" operator="equal" dxfId="10" stopIfTrue="1">
      <formula>"SR"</formula>
    </cfRule>
    <cfRule type="cellIs" priority="113" operator="equal" dxfId="9" stopIfTrue="1">
      <formula>"SG"</formula>
    </cfRule>
    <cfRule type="expression" priority="114" dxfId="8" stopIfTrue="1">
      <formula>NOT(ISERROR(SEARCH("AL",AK47)))</formula>
    </cfRule>
    <cfRule type="cellIs" priority="115" operator="equal" dxfId="11">
      <formula>"SEC"</formula>
    </cfRule>
    <cfRule type="cellIs" priority="116" operator="equal" dxfId="10" stopIfTrue="1">
      <formula>"SR"</formula>
    </cfRule>
    <cfRule type="cellIs" priority="117" operator="equal" dxfId="9" stopIfTrue="1">
      <formula>"SG"</formula>
    </cfRule>
    <cfRule type="expression" priority="118" dxfId="8" stopIfTrue="1">
      <formula>NOT(ISERROR(SEARCH("AL",AK47)))</formula>
    </cfRule>
    <cfRule type="expression" priority="119" dxfId="2" stopIfTrue="1">
      <formula>NOT(ISERROR(SEARCH("SEC",AK47)))</formula>
    </cfRule>
    <cfRule type="cellIs" priority="120" operator="equal" dxfId="11">
      <formula>"GS"</formula>
    </cfRule>
    <cfRule type="expression" priority="121" dxfId="6" stopIfTrue="1">
      <formula>NOT(ISERROR(SEARCH("SL",AK47)))</formula>
    </cfRule>
    <cfRule type="expression" priority="122" dxfId="2" stopIfTrue="1">
      <formula>NOT(ISERROR(SEARCH("NP",AK47)))</formula>
    </cfRule>
    <cfRule type="expression" priority="123" dxfId="4" stopIfTrue="1">
      <formula>NOT(ISERROR(SEARCH("SH",AK47)))</formula>
    </cfRule>
    <cfRule type="expression" priority="124" dxfId="2" stopIfTrue="1">
      <formula>NOT(ISERROR(SEARCH("WTT",AK47)))</formula>
    </cfRule>
    <cfRule type="expression" priority="125" dxfId="2" stopIfTrue="1">
      <formula>NOT(ISERROR(SEARCH("FH",AK47)))</formula>
    </cfRule>
  </conditionalFormatting>
  <conditionalFormatting sqref="AL9">
    <cfRule type="cellIs" priority="1693" operator="equal" dxfId="11">
      <formula>"GS"</formula>
    </cfRule>
    <cfRule type="cellIs" priority="1694" operator="equal" dxfId="10" stopIfTrue="1">
      <formula>"SR"</formula>
    </cfRule>
    <cfRule type="cellIs" priority="1695" operator="equal" dxfId="9" stopIfTrue="1">
      <formula>"SG"</formula>
    </cfRule>
    <cfRule type="expression" priority="1696" dxfId="8" stopIfTrue="1">
      <formula>NOT(ISERROR(SEARCH("AL",AL9)))</formula>
    </cfRule>
  </conditionalFormatting>
  <conditionalFormatting sqref="AL20">
    <cfRule type="containsText" priority="4" operator="containsText" dxfId="74" text="G">
      <formula>NOT(ISERROR(SEARCH("G",AL20)))</formula>
    </cfRule>
  </conditionalFormatting>
  <conditionalFormatting sqref="AL23">
    <cfRule type="cellIs" priority="1484" operator="equal" dxfId="11">
      <formula>"GS"</formula>
    </cfRule>
    <cfRule type="cellIs" priority="1485" operator="equal" dxfId="10" stopIfTrue="1">
      <formula>"SR"</formula>
    </cfRule>
    <cfRule type="cellIs" priority="1486" operator="equal" dxfId="9" stopIfTrue="1">
      <formula>"SG"</formula>
    </cfRule>
    <cfRule type="expression" priority="1487" dxfId="8" stopIfTrue="1">
      <formula>NOT(ISERROR(SEARCH("AL",AL23)))</formula>
    </cfRule>
    <cfRule type="cellIs" priority="1488" operator="equal" dxfId="11">
      <formula>"SEC"</formula>
    </cfRule>
    <cfRule type="cellIs" priority="1489" operator="equal" dxfId="10" stopIfTrue="1">
      <formula>"SR"</formula>
    </cfRule>
    <cfRule type="cellIs" priority="1490" operator="equal" dxfId="9" stopIfTrue="1">
      <formula>"SG"</formula>
    </cfRule>
    <cfRule type="expression" priority="1491" dxfId="8" stopIfTrue="1">
      <formula>NOT(ISERROR(SEARCH("AL",AL23)))</formula>
    </cfRule>
    <cfRule type="expression" priority="1492" dxfId="2" stopIfTrue="1">
      <formula>NOT(ISERROR(SEARCH("SEC",AL23)))</formula>
    </cfRule>
    <cfRule type="cellIs" priority="1493" operator="equal" dxfId="11">
      <formula>"GS"</formula>
    </cfRule>
    <cfRule type="expression" priority="1494" dxfId="6" stopIfTrue="1">
      <formula>NOT(ISERROR(SEARCH("SL",AL23)))</formula>
    </cfRule>
    <cfRule type="expression" priority="1495" dxfId="2" stopIfTrue="1">
      <formula>NOT(ISERROR(SEARCH("NP",AL23)))</formula>
    </cfRule>
    <cfRule type="expression" priority="1496" dxfId="4" stopIfTrue="1">
      <formula>NOT(ISERROR(SEARCH("SH",AL23)))</formula>
    </cfRule>
  </conditionalFormatting>
  <conditionalFormatting sqref="AL26">
    <cfRule type="cellIs" priority="1337" operator="equal" dxfId="11">
      <formula>"GS"</formula>
    </cfRule>
    <cfRule type="cellIs" priority="1338" operator="equal" dxfId="10" stopIfTrue="1">
      <formula>"SR"</formula>
    </cfRule>
    <cfRule type="cellIs" priority="1339" operator="equal" dxfId="9" stopIfTrue="1">
      <formula>"SG"</formula>
    </cfRule>
    <cfRule type="expression" priority="1340" dxfId="8" stopIfTrue="1">
      <formula>NOT(ISERROR(SEARCH("AL",AL26)))</formula>
    </cfRule>
    <cfRule type="cellIs" priority="1341" operator="equal" dxfId="11">
      <formula>"SEC"</formula>
    </cfRule>
    <cfRule type="cellIs" priority="1342" operator="equal" dxfId="10" stopIfTrue="1">
      <formula>"SR"</formula>
    </cfRule>
    <cfRule type="cellIs" priority="1343" operator="equal" dxfId="9" stopIfTrue="1">
      <formula>"SG"</formula>
    </cfRule>
    <cfRule type="expression" priority="1344" dxfId="8" stopIfTrue="1">
      <formula>NOT(ISERROR(SEARCH("AL",AL26)))</formula>
    </cfRule>
    <cfRule type="expression" priority="1345" dxfId="2" stopIfTrue="1">
      <formula>NOT(ISERROR(SEARCH("SEC",AL26)))</formula>
    </cfRule>
    <cfRule type="cellIs" priority="1346" operator="equal" dxfId="11">
      <formula>"GS"</formula>
    </cfRule>
    <cfRule type="expression" priority="1347" dxfId="6" stopIfTrue="1">
      <formula>NOT(ISERROR(SEARCH("SL",AL26)))</formula>
    </cfRule>
    <cfRule type="expression" priority="1348" dxfId="2" stopIfTrue="1">
      <formula>NOT(ISERROR(SEARCH("NP",AL26)))</formula>
    </cfRule>
    <cfRule type="expression" priority="1349" dxfId="4" stopIfTrue="1">
      <formula>NOT(ISERROR(SEARCH("SH",AL26)))</formula>
    </cfRule>
    <cfRule type="expression" priority="1350" dxfId="2" stopIfTrue="1">
      <formula>NOT(ISERROR(SEARCH("WTT",AL26)))</formula>
    </cfRule>
  </conditionalFormatting>
  <conditionalFormatting sqref="AL35">
    <cfRule type="cellIs" priority="819" operator="equal" dxfId="11">
      <formula>"GS"</formula>
    </cfRule>
    <cfRule type="cellIs" priority="820" operator="equal" dxfId="10" stopIfTrue="1">
      <formula>"SR"</formula>
    </cfRule>
    <cfRule type="cellIs" priority="821" operator="equal" dxfId="9" stopIfTrue="1">
      <formula>"SG"</formula>
    </cfRule>
    <cfRule type="expression" priority="822" dxfId="8" stopIfTrue="1">
      <formula>NOT(ISERROR(SEARCH("AL",AL35)))</formula>
    </cfRule>
    <cfRule type="cellIs" priority="823" operator="equal" dxfId="11">
      <formula>"SEC"</formula>
    </cfRule>
    <cfRule type="cellIs" priority="824" operator="equal" dxfId="10" stopIfTrue="1">
      <formula>"SR"</formula>
    </cfRule>
    <cfRule type="cellIs" priority="825" operator="equal" dxfId="9" stopIfTrue="1">
      <formula>"SG"</formula>
    </cfRule>
    <cfRule type="expression" priority="826" dxfId="8" stopIfTrue="1">
      <formula>NOT(ISERROR(SEARCH("AL",AL35)))</formula>
    </cfRule>
    <cfRule type="expression" priority="827" dxfId="2" stopIfTrue="1">
      <formula>NOT(ISERROR(SEARCH("SEC",AL35)))</formula>
    </cfRule>
    <cfRule type="cellIs" priority="828" operator="equal" dxfId="11">
      <formula>"GS"</formula>
    </cfRule>
    <cfRule type="expression" priority="829" dxfId="6" stopIfTrue="1">
      <formula>NOT(ISERROR(SEARCH("SL",AL35)))</formula>
    </cfRule>
    <cfRule type="expression" priority="830" dxfId="2" stopIfTrue="1">
      <formula>NOT(ISERROR(SEARCH("NP",AL35)))</formula>
    </cfRule>
    <cfRule type="expression" priority="831" dxfId="4" stopIfTrue="1">
      <formula>NOT(ISERROR(SEARCH("SH",AL35)))</formula>
    </cfRule>
    <cfRule type="expression" priority="832" dxfId="2" stopIfTrue="1">
      <formula>NOT(ISERROR(SEARCH("WTT",AL35)))</formula>
    </cfRule>
    <cfRule type="expression" priority="833" dxfId="2" stopIfTrue="1">
      <formula>NOT(ISERROR(SEARCH("FH",AL35)))</formula>
    </cfRule>
  </conditionalFormatting>
  <conditionalFormatting sqref="AL45">
    <cfRule type="cellIs" priority="233" operator="equal" dxfId="11">
      <formula>"GS"</formula>
    </cfRule>
    <cfRule type="cellIs" priority="234" operator="equal" dxfId="10" stopIfTrue="1">
      <formula>"SR"</formula>
    </cfRule>
    <cfRule type="cellIs" priority="235" operator="equal" dxfId="9" stopIfTrue="1">
      <formula>"SG"</formula>
    </cfRule>
    <cfRule type="expression" priority="236" dxfId="8" stopIfTrue="1">
      <formula>NOT(ISERROR(SEARCH("AL",AL45)))</formula>
    </cfRule>
    <cfRule type="cellIs" priority="237" operator="equal" dxfId="11">
      <formula>"SEC"</formula>
    </cfRule>
    <cfRule type="cellIs" priority="238" operator="equal" dxfId="10" stopIfTrue="1">
      <formula>"SR"</formula>
    </cfRule>
    <cfRule type="cellIs" priority="239" operator="equal" dxfId="9" stopIfTrue="1">
      <formula>"SG"</formula>
    </cfRule>
    <cfRule type="expression" priority="240" dxfId="8" stopIfTrue="1">
      <formula>NOT(ISERROR(SEARCH("AL",AL45)))</formula>
    </cfRule>
    <cfRule type="expression" priority="241" dxfId="2" stopIfTrue="1">
      <formula>NOT(ISERROR(SEARCH("SEC",AL45)))</formula>
    </cfRule>
    <cfRule type="cellIs" priority="242" operator="equal" dxfId="11">
      <formula>"GS"</formula>
    </cfRule>
    <cfRule type="expression" priority="243" dxfId="6" stopIfTrue="1">
      <formula>NOT(ISERROR(SEARCH("SL",AL45)))</formula>
    </cfRule>
    <cfRule type="expression" priority="244" dxfId="2" stopIfTrue="1">
      <formula>NOT(ISERROR(SEARCH("NP",AL45)))</formula>
    </cfRule>
    <cfRule type="expression" priority="245" dxfId="4" stopIfTrue="1">
      <formula>NOT(ISERROR(SEARCH("SH",AL45)))</formula>
    </cfRule>
    <cfRule type="expression" priority="246" dxfId="2" stopIfTrue="1">
      <formula>NOT(ISERROR(SEARCH("WTT",AL45)))</formula>
    </cfRule>
    <cfRule type="expression" priority="247" dxfId="2" stopIfTrue="1">
      <formula>NOT(ISERROR(SEARCH("FH",AL45)))</formula>
    </cfRule>
  </conditionalFormatting>
  <conditionalFormatting sqref="AM10">
    <cfRule type="containsText" priority="15" operator="containsText" dxfId="74" text="G">
      <formula>NOT(ISERROR(SEARCH("G",AM10)))</formula>
    </cfRule>
  </conditionalFormatting>
  <conditionalFormatting sqref="AM36">
    <cfRule type="cellIs" priority="760" operator="equal" dxfId="10" stopIfTrue="1">
      <formula>"SR"</formula>
    </cfRule>
    <cfRule type="cellIs" priority="761" operator="equal" dxfId="9" stopIfTrue="1">
      <formula>"SG"</formula>
    </cfRule>
    <cfRule type="expression" priority="762" dxfId="8" stopIfTrue="1">
      <formula>NOT(ISERROR(SEARCH("AL",AM36)))</formula>
    </cfRule>
    <cfRule type="cellIs" priority="763" operator="equal" dxfId="11">
      <formula>"SEC"</formula>
    </cfRule>
    <cfRule type="cellIs" priority="764" operator="equal" dxfId="10" stopIfTrue="1">
      <formula>"SR"</formula>
    </cfRule>
    <cfRule type="cellIs" priority="765" operator="equal" dxfId="9" stopIfTrue="1">
      <formula>"SG"</formula>
    </cfRule>
    <cfRule type="expression" priority="766" dxfId="8" stopIfTrue="1">
      <formula>NOT(ISERROR(SEARCH("AL",AM36)))</formula>
    </cfRule>
    <cfRule type="expression" priority="767" dxfId="2" stopIfTrue="1">
      <formula>NOT(ISERROR(SEARCH("SEC",AM36)))</formula>
    </cfRule>
    <cfRule type="cellIs" priority="768" operator="equal" dxfId="11">
      <formula>"GS"</formula>
    </cfRule>
    <cfRule type="expression" priority="769" dxfId="6" stopIfTrue="1">
      <formula>NOT(ISERROR(SEARCH("SL",AM36)))</formula>
    </cfRule>
    <cfRule type="expression" priority="770" dxfId="2" stopIfTrue="1">
      <formula>NOT(ISERROR(SEARCH("NP",AM36)))</formula>
    </cfRule>
    <cfRule type="expression" priority="771" dxfId="4" stopIfTrue="1">
      <formula>NOT(ISERROR(SEARCH("SH",AM36)))</formula>
    </cfRule>
    <cfRule type="expression" priority="772" dxfId="2" stopIfTrue="1">
      <formula>NOT(ISERROR(SEARCH("WTT",AM36)))</formula>
    </cfRule>
    <cfRule type="expression" priority="773" dxfId="2" stopIfTrue="1">
      <formula>NOT(ISERROR(SEARCH("FH",AM36)))</formula>
    </cfRule>
  </conditionalFormatting>
  <conditionalFormatting sqref="AM36:AM37">
    <cfRule type="cellIs" priority="708" operator="equal" dxfId="11">
      <formula>"GS"</formula>
    </cfRule>
  </conditionalFormatting>
  <conditionalFormatting sqref="AM37">
    <cfRule type="cellIs" priority="700" operator="equal" dxfId="10" stopIfTrue="1">
      <formula>"SR"</formula>
    </cfRule>
    <cfRule type="cellIs" priority="701" operator="equal" dxfId="9" stopIfTrue="1">
      <formula>"SG"</formula>
    </cfRule>
    <cfRule type="expression" priority="702" dxfId="8" stopIfTrue="1">
      <formula>NOT(ISERROR(SEARCH("AL",AM37)))</formula>
    </cfRule>
    <cfRule type="cellIs" priority="703" operator="equal" dxfId="11">
      <formula>"SEC"</formula>
    </cfRule>
    <cfRule type="cellIs" priority="704" operator="equal" dxfId="10" stopIfTrue="1">
      <formula>"SR"</formula>
    </cfRule>
    <cfRule type="cellIs" priority="705" operator="equal" dxfId="9" stopIfTrue="1">
      <formula>"SG"</formula>
    </cfRule>
    <cfRule type="expression" priority="706" dxfId="8" stopIfTrue="1">
      <formula>NOT(ISERROR(SEARCH("AL",AM37)))</formula>
    </cfRule>
    <cfRule type="expression" priority="707" dxfId="2" stopIfTrue="1">
      <formula>NOT(ISERROR(SEARCH("SEC",AM37)))</formula>
    </cfRule>
    <cfRule type="expression" priority="709" dxfId="6" stopIfTrue="1">
      <formula>NOT(ISERROR(SEARCH("SL",AM37)))</formula>
    </cfRule>
    <cfRule type="expression" priority="710" dxfId="2" stopIfTrue="1">
      <formula>NOT(ISERROR(SEARCH("NP",AM37)))</formula>
    </cfRule>
    <cfRule type="expression" priority="711" dxfId="4" stopIfTrue="1">
      <formula>NOT(ISERROR(SEARCH("SH",AM37)))</formula>
    </cfRule>
    <cfRule type="expression" priority="712" dxfId="2" stopIfTrue="1">
      <formula>NOT(ISERROR(SEARCH("WTT",AM37)))</formula>
    </cfRule>
    <cfRule type="expression" priority="713" dxfId="2" stopIfTrue="1">
      <formula>NOT(ISERROR(SEARCH("FH",AM37)))</formula>
    </cfRule>
  </conditionalFormatting>
  <conditionalFormatting sqref="AM37:AM38">
    <cfRule type="cellIs" priority="648" operator="equal" dxfId="11">
      <formula>"GS"</formula>
    </cfRule>
  </conditionalFormatting>
  <conditionalFormatting sqref="AM38">
    <cfRule type="cellIs" priority="639" operator="equal" dxfId="11">
      <formula>"GS"</formula>
    </cfRule>
    <cfRule type="cellIs" priority="640" operator="equal" dxfId="10" stopIfTrue="1">
      <formula>"SR"</formula>
    </cfRule>
    <cfRule type="cellIs" priority="641" operator="equal" dxfId="9" stopIfTrue="1">
      <formula>"SG"</formula>
    </cfRule>
    <cfRule type="expression" priority="642" dxfId="8" stopIfTrue="1">
      <formula>NOT(ISERROR(SEARCH("AL",AM38)))</formula>
    </cfRule>
    <cfRule type="cellIs" priority="643" operator="equal" dxfId="11">
      <formula>"SEC"</formula>
    </cfRule>
    <cfRule type="cellIs" priority="644" operator="equal" dxfId="10" stopIfTrue="1">
      <formula>"SR"</formula>
    </cfRule>
    <cfRule type="cellIs" priority="645" operator="equal" dxfId="9" stopIfTrue="1">
      <formula>"SG"</formula>
    </cfRule>
    <cfRule type="expression" priority="646" dxfId="8" stopIfTrue="1">
      <formula>NOT(ISERROR(SEARCH("AL",AM38)))</formula>
    </cfRule>
    <cfRule type="expression" priority="647" dxfId="2" stopIfTrue="1">
      <formula>NOT(ISERROR(SEARCH("SEC",AM38)))</formula>
    </cfRule>
    <cfRule type="expression" priority="649" dxfId="6" stopIfTrue="1">
      <formula>NOT(ISERROR(SEARCH("SL",AM38)))</formula>
    </cfRule>
    <cfRule type="expression" priority="650" dxfId="2" stopIfTrue="1">
      <formula>NOT(ISERROR(SEARCH("NP",AM38)))</formula>
    </cfRule>
    <cfRule type="expression" priority="651" dxfId="4" stopIfTrue="1">
      <formula>NOT(ISERROR(SEARCH("SH",AM38)))</formula>
    </cfRule>
    <cfRule type="expression" priority="652" dxfId="2" stopIfTrue="1">
      <formula>NOT(ISERROR(SEARCH("WTT",AM38)))</formula>
    </cfRule>
    <cfRule type="expression" priority="653" dxfId="2" stopIfTrue="1">
      <formula>NOT(ISERROR(SEARCH("FH",AM38)))</formula>
    </cfRule>
  </conditionalFormatting>
  <conditionalFormatting sqref="AM41">
    <cfRule type="cellIs" priority="459" operator="equal" dxfId="10" stopIfTrue="1">
      <formula>"SR"</formula>
    </cfRule>
    <cfRule type="cellIs" priority="460" operator="equal" dxfId="9" stopIfTrue="1">
      <formula>"SG"</formula>
    </cfRule>
    <cfRule type="expression" priority="461" dxfId="8" stopIfTrue="1">
      <formula>NOT(ISERROR(SEARCH("AL",AM41)))</formula>
    </cfRule>
    <cfRule type="cellIs" priority="462" operator="equal" dxfId="11">
      <formula>"SEC"</formula>
    </cfRule>
    <cfRule type="cellIs" priority="463" operator="equal" dxfId="10" stopIfTrue="1">
      <formula>"SR"</formula>
    </cfRule>
    <cfRule type="cellIs" priority="464" operator="equal" dxfId="9" stopIfTrue="1">
      <formula>"SG"</formula>
    </cfRule>
    <cfRule type="expression" priority="465" dxfId="8" stopIfTrue="1">
      <formula>NOT(ISERROR(SEARCH("AL",AM41)))</formula>
    </cfRule>
    <cfRule type="expression" priority="466" dxfId="2" stopIfTrue="1">
      <formula>NOT(ISERROR(SEARCH("SEC",AM41)))</formula>
    </cfRule>
    <cfRule type="cellIs" priority="467" operator="equal" dxfId="11">
      <formula>"GS"</formula>
    </cfRule>
    <cfRule type="expression" priority="468" dxfId="6" stopIfTrue="1">
      <formula>NOT(ISERROR(SEARCH("SL",AM41)))</formula>
    </cfRule>
    <cfRule type="expression" priority="469" dxfId="2" stopIfTrue="1">
      <formula>NOT(ISERROR(SEARCH("NP",AM41)))</formula>
    </cfRule>
    <cfRule type="expression" priority="470" dxfId="4" stopIfTrue="1">
      <formula>NOT(ISERROR(SEARCH("SH",AM41)))</formula>
    </cfRule>
    <cfRule type="expression" priority="471" dxfId="2" stopIfTrue="1">
      <formula>NOT(ISERROR(SEARCH("WTT",AM41)))</formula>
    </cfRule>
    <cfRule type="expression" priority="472" dxfId="2" stopIfTrue="1">
      <formula>NOT(ISERROR(SEARCH("FH",AM41)))</formula>
    </cfRule>
  </conditionalFormatting>
  <conditionalFormatting sqref="AM41:AM42">
    <cfRule type="cellIs" priority="392" operator="equal" dxfId="11">
      <formula>"GS"</formula>
    </cfRule>
  </conditionalFormatting>
  <conditionalFormatting sqref="AM42">
    <cfRule type="cellIs" priority="383" operator="equal" dxfId="11">
      <formula>"GS"</formula>
    </cfRule>
    <cfRule type="cellIs" priority="384" operator="equal" dxfId="10" stopIfTrue="1">
      <formula>"SR"</formula>
    </cfRule>
    <cfRule type="cellIs" priority="385" operator="equal" dxfId="9" stopIfTrue="1">
      <formula>"SG"</formula>
    </cfRule>
    <cfRule type="expression" priority="386" dxfId="8" stopIfTrue="1">
      <formula>NOT(ISERROR(SEARCH("AL",AM42)))</formula>
    </cfRule>
    <cfRule type="cellIs" priority="387" operator="equal" dxfId="11">
      <formula>"SEC"</formula>
    </cfRule>
    <cfRule type="cellIs" priority="388" operator="equal" dxfId="10" stopIfTrue="1">
      <formula>"SR"</formula>
    </cfRule>
    <cfRule type="cellIs" priority="389" operator="equal" dxfId="9" stopIfTrue="1">
      <formula>"SG"</formula>
    </cfRule>
    <cfRule type="expression" priority="390" dxfId="8" stopIfTrue="1">
      <formula>NOT(ISERROR(SEARCH("AL",AM42)))</formula>
    </cfRule>
    <cfRule type="expression" priority="391" dxfId="2" stopIfTrue="1">
      <formula>NOT(ISERROR(SEARCH("SEC",AM42)))</formula>
    </cfRule>
    <cfRule type="expression" priority="393" dxfId="6" stopIfTrue="1">
      <formula>NOT(ISERROR(SEARCH("SL",AM42)))</formula>
    </cfRule>
    <cfRule type="expression" priority="394" dxfId="2" stopIfTrue="1">
      <formula>NOT(ISERROR(SEARCH("NP",AM42)))</formula>
    </cfRule>
    <cfRule type="expression" priority="395" dxfId="4" stopIfTrue="1">
      <formula>NOT(ISERROR(SEARCH("SH",AM42)))</formula>
    </cfRule>
    <cfRule type="expression" priority="396" dxfId="2" stopIfTrue="1">
      <formula>NOT(ISERROR(SEARCH("WTT",AM42)))</formula>
    </cfRule>
    <cfRule type="expression" priority="397" dxfId="2" stopIfTrue="1">
      <formula>NOT(ISERROR(SEARCH("FH",AM42)))</formula>
    </cfRule>
  </conditionalFormatting>
  <conditionalFormatting sqref="AV20:BB48">
    <cfRule type="cellIs" priority="1772" operator="equal" dxfId="0" stopIfTrue="1">
      <formula>0</formula>
    </cfRule>
  </conditionalFormatting>
  <conditionalFormatting sqref="AV6:BC11 AV18:BC19 AV49:BC49">
    <cfRule type="cellIs" priority="1773" operator="equal" dxfId="0" stopIfTrue="1">
      <formula>0</formula>
    </cfRule>
  </conditionalFormatting>
  <printOptions horizontalCentered="1"/>
  <pageMargins left="0.25" right="0.25" top="0.75" bottom="0.75" header="0.3" footer="0.3"/>
  <pageSetup orientation="landscape" paperSize="9" scale="56" fitToHeight="0"/>
  <rowBreaks count="1" manualBreakCount="1">
    <brk id="34" min="1" max="40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Olivia Hui Ying</dc:creator>
  <dcterms:created xmlns:dcterms="http://purl.org/dc/terms/" xmlns:xsi="http://www.w3.org/2001/XMLSchema-instance" xsi:type="dcterms:W3CDTF">2024-11-15T04:23:00Z</dcterms:created>
  <dcterms:modified xmlns:dcterms="http://purl.org/dc/terms/" xmlns:xsi="http://www.w3.org/2001/XMLSchema-instance" xsi:type="dcterms:W3CDTF">2026-06-05T10:54:49Z</dcterms:modified>
  <cp:lastModifiedBy>Qing</cp:lastModifiedBy>
  <cp:lastPrinted>2026-05-07T07:25:37Z</cp:lastPrinted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0x010100B2FD50A70C29AB4E8E0538F10AFDE37E</vt:lpwstr>
  </property>
  <property name="KSOProductBuildVer" fmtid="{D5CDD505-2E9C-101B-9397-08002B2CF9AE}" pid="4">
    <vt:lpwstr xmlns:vt="http://schemas.openxmlformats.org/officeDocument/2006/docPropsVTypes">2052-9.1.0.5119</vt:lpwstr>
  </property>
</Properties>
</file>