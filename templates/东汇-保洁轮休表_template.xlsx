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claude_hk\ref_doc\东汇邨文件样本\保洁文件\"/>
    </mc:Choice>
  </mc:AlternateContent>
  <xr:revisionPtr revIDLastSave="0" documentId="13_ncr:1_{E036D448-71E4-4FA9-A701-A51091BA97B8}" xr6:coauthVersionLast="47" xr6:coauthVersionMax="47" xr10:uidLastSave="{00000000-0000-0000-0000-000000000000}"/>
  <bookViews>
    <workbookView xWindow="-120" yWindow="-120" windowWidth="29040" windowHeight="15840" xr2:uid="{271157FD-C53B-4BEB-987A-8AD1A7C1F5A0}"/>
  </bookViews>
  <sheets>
    <sheet name="Roster-FEB2026" sheetId="16" r:id="rId1"/>
  </sheets>
  <definedNames>
    <definedName name="_xlnm._FilterDatabase" localSheetId="0" hidden="1">'Roster-FEB2026'!$C$9:$C$45</definedName>
    <definedName name="_xlnm.Print_Area" localSheetId="0">'Roster-FEB2026'!$B$1:$AN$51</definedName>
    <definedName name="_xlnm.Print_Titles" localSheetId="0">'Roster-FEB2026'!$1:$9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2" i="16" l="1"/>
  <c r="AH35" i="16"/>
  <c r="AH44" i="16"/>
  <c r="AG12" i="16"/>
  <c r="AG35" i="16"/>
  <c r="AG44" i="16"/>
  <c r="AF12" i="16"/>
  <c r="AF35" i="16"/>
  <c r="AF36" i="16" s="1"/>
  <c r="AF44" i="16"/>
  <c r="AM10" i="16"/>
  <c r="AM11" i="16"/>
  <c r="AM18" i="16"/>
  <c r="AM19" i="16"/>
  <c r="AM20" i="16"/>
  <c r="AM21" i="16"/>
  <c r="AM22" i="16"/>
  <c r="AM23" i="16"/>
  <c r="AM24" i="16"/>
  <c r="AM25" i="16"/>
  <c r="AM26" i="16"/>
  <c r="AM27" i="16"/>
  <c r="AM28" i="16"/>
  <c r="AM29" i="16"/>
  <c r="AM30" i="16"/>
  <c r="AM31" i="16"/>
  <c r="AM32" i="16"/>
  <c r="AM33" i="16"/>
  <c r="AM34" i="16"/>
  <c r="AM41" i="16"/>
  <c r="AM42" i="16"/>
  <c r="AM43" i="16"/>
  <c r="AL43" i="16"/>
  <c r="AK43" i="16"/>
  <c r="AJ43" i="16"/>
  <c r="AI43" i="16"/>
  <c r="AL42" i="16"/>
  <c r="AK42" i="16"/>
  <c r="AJ42" i="16"/>
  <c r="AI42" i="16"/>
  <c r="AL41" i="16"/>
  <c r="AK41" i="16"/>
  <c r="AJ41" i="16"/>
  <c r="AI41" i="16"/>
  <c r="AL34" i="16"/>
  <c r="AK34" i="16"/>
  <c r="AJ34" i="16"/>
  <c r="AI34" i="16"/>
  <c r="AL33" i="16"/>
  <c r="AK33" i="16"/>
  <c r="AJ33" i="16"/>
  <c r="AI33" i="16"/>
  <c r="AL32" i="16"/>
  <c r="AK32" i="16"/>
  <c r="AJ32" i="16"/>
  <c r="AI32" i="16"/>
  <c r="AL31" i="16"/>
  <c r="AK31" i="16"/>
  <c r="AJ31" i="16"/>
  <c r="AI31" i="16"/>
  <c r="AL30" i="16"/>
  <c r="AK30" i="16"/>
  <c r="AJ30" i="16"/>
  <c r="AI30" i="16"/>
  <c r="AL29" i="16"/>
  <c r="AK29" i="16"/>
  <c r="AJ29" i="16"/>
  <c r="AI29" i="16"/>
  <c r="AL28" i="16"/>
  <c r="AK28" i="16"/>
  <c r="AJ28" i="16"/>
  <c r="AI28" i="16"/>
  <c r="AL27" i="16"/>
  <c r="AK27" i="16"/>
  <c r="AJ27" i="16"/>
  <c r="AI27" i="16"/>
  <c r="AL26" i="16"/>
  <c r="AK26" i="16"/>
  <c r="AJ26" i="16"/>
  <c r="AI26" i="16"/>
  <c r="AL25" i="16"/>
  <c r="AK25" i="16"/>
  <c r="AJ25" i="16"/>
  <c r="AI25" i="16"/>
  <c r="AL24" i="16"/>
  <c r="AK24" i="16"/>
  <c r="AJ24" i="16"/>
  <c r="AI24" i="16"/>
  <c r="AL23" i="16"/>
  <c r="AK23" i="16"/>
  <c r="AJ23" i="16"/>
  <c r="AI23" i="16"/>
  <c r="AL22" i="16"/>
  <c r="AK22" i="16"/>
  <c r="AJ22" i="16"/>
  <c r="AI22" i="16"/>
  <c r="AL21" i="16"/>
  <c r="AK21" i="16"/>
  <c r="AJ21" i="16"/>
  <c r="AI21" i="16"/>
  <c r="AL20" i="16"/>
  <c r="AK20" i="16"/>
  <c r="AJ20" i="16"/>
  <c r="AI20" i="16"/>
  <c r="AL19" i="16"/>
  <c r="AK19" i="16"/>
  <c r="AJ19" i="16"/>
  <c r="AI19" i="16"/>
  <c r="AL18" i="16"/>
  <c r="AK18" i="16"/>
  <c r="AJ18" i="16"/>
  <c r="AI18" i="16"/>
  <c r="AL11" i="16"/>
  <c r="AK11" i="16"/>
  <c r="AL10" i="16"/>
  <c r="AK10" i="16"/>
  <c r="AF13" i="16" l="1"/>
  <c r="AF45" i="16"/>
  <c r="AM12" i="16"/>
  <c r="AM44" i="16"/>
  <c r="Y46" i="16" l="1"/>
  <c r="AF46" i="16" s="1"/>
  <c r="AF47" i="16" s="1"/>
  <c r="R46" i="16"/>
  <c r="K46" i="16"/>
  <c r="D46" i="16"/>
  <c r="Y37" i="16"/>
  <c r="AF37" i="16" s="1"/>
  <c r="AF38" i="16" s="1"/>
  <c r="R37" i="16"/>
  <c r="K37" i="16"/>
  <c r="D37" i="16"/>
  <c r="AQ41" i="16"/>
  <c r="Y14" i="16"/>
  <c r="AF14" i="16" s="1"/>
  <c r="AF15" i="16" s="1"/>
  <c r="R14" i="16"/>
  <c r="K14" i="16"/>
  <c r="D14" i="16"/>
  <c r="AI14" i="16" l="1"/>
  <c r="AI46" i="16"/>
  <c r="AI37" i="16" l="1"/>
  <c r="AZ33" i="16"/>
  <c r="AY33" i="16"/>
  <c r="AX33" i="16"/>
  <c r="AW33" i="16"/>
  <c r="AV33" i="16"/>
  <c r="AU33" i="16"/>
  <c r="AT33" i="16"/>
  <c r="AR33" i="16"/>
  <c r="AQ33" i="16"/>
  <c r="AO33" i="16"/>
  <c r="AN33" i="16" l="1"/>
  <c r="AN18" i="16"/>
  <c r="AS33" i="16"/>
  <c r="AZ43" i="16"/>
  <c r="AY43" i="16"/>
  <c r="AX43" i="16"/>
  <c r="AW43" i="16"/>
  <c r="AV43" i="16"/>
  <c r="AU43" i="16"/>
  <c r="AT43" i="16"/>
  <c r="AR43" i="16"/>
  <c r="AQ43" i="16"/>
  <c r="AO43" i="16"/>
  <c r="AZ42" i="16"/>
  <c r="AY42" i="16"/>
  <c r="AX42" i="16"/>
  <c r="AW42" i="16"/>
  <c r="AV42" i="16"/>
  <c r="AU42" i="16"/>
  <c r="AT42" i="16"/>
  <c r="AR42" i="16"/>
  <c r="AQ42" i="16"/>
  <c r="AO42" i="16"/>
  <c r="AZ41" i="16"/>
  <c r="AY41" i="16"/>
  <c r="AX41" i="16"/>
  <c r="AW41" i="16"/>
  <c r="AV41" i="16"/>
  <c r="AU41" i="16"/>
  <c r="AT41" i="16"/>
  <c r="AR41" i="16"/>
  <c r="AO41" i="16"/>
  <c r="AZ34" i="16"/>
  <c r="AY34" i="16"/>
  <c r="AX34" i="16"/>
  <c r="AW34" i="16"/>
  <c r="AV34" i="16"/>
  <c r="AU34" i="16"/>
  <c r="AT34" i="16"/>
  <c r="AR34" i="16"/>
  <c r="AQ34" i="16"/>
  <c r="AO34" i="16"/>
  <c r="AZ32" i="16"/>
  <c r="AY32" i="16"/>
  <c r="AX32" i="16"/>
  <c r="AW32" i="16"/>
  <c r="AV32" i="16"/>
  <c r="AU32" i="16"/>
  <c r="AT32" i="16"/>
  <c r="AR32" i="16"/>
  <c r="AQ32" i="16"/>
  <c r="AO32" i="16"/>
  <c r="AZ31" i="16"/>
  <c r="AY31" i="16"/>
  <c r="AX31" i="16"/>
  <c r="AW31" i="16"/>
  <c r="AV31" i="16"/>
  <c r="AU31" i="16"/>
  <c r="AT31" i="16"/>
  <c r="AR31" i="16"/>
  <c r="AQ31" i="16"/>
  <c r="AO31" i="16"/>
  <c r="AZ30" i="16"/>
  <c r="AY30" i="16"/>
  <c r="AX30" i="16"/>
  <c r="AW30" i="16"/>
  <c r="AV30" i="16"/>
  <c r="AU30" i="16"/>
  <c r="AT30" i="16"/>
  <c r="AR30" i="16"/>
  <c r="AQ30" i="16"/>
  <c r="AO30" i="16"/>
  <c r="AZ29" i="16"/>
  <c r="AY29" i="16"/>
  <c r="AX29" i="16"/>
  <c r="AW29" i="16"/>
  <c r="AV29" i="16"/>
  <c r="AU29" i="16"/>
  <c r="AT29" i="16"/>
  <c r="AR29" i="16"/>
  <c r="AQ29" i="16"/>
  <c r="AO29" i="16"/>
  <c r="AZ28" i="16"/>
  <c r="AY28" i="16"/>
  <c r="AX28" i="16"/>
  <c r="AW28" i="16"/>
  <c r="AV28" i="16"/>
  <c r="AU28" i="16"/>
  <c r="AT28" i="16"/>
  <c r="AR28" i="16"/>
  <c r="AQ28" i="16"/>
  <c r="AO28" i="16"/>
  <c r="AZ27" i="16"/>
  <c r="AY27" i="16"/>
  <c r="AX27" i="16"/>
  <c r="AW27" i="16"/>
  <c r="AV27" i="16"/>
  <c r="AU27" i="16"/>
  <c r="AT27" i="16"/>
  <c r="AR27" i="16"/>
  <c r="AQ27" i="16"/>
  <c r="AO27" i="16"/>
  <c r="AZ26" i="16"/>
  <c r="AY26" i="16"/>
  <c r="AX26" i="16"/>
  <c r="AW26" i="16"/>
  <c r="AV26" i="16"/>
  <c r="AU26" i="16"/>
  <c r="AT26" i="16"/>
  <c r="AR26" i="16"/>
  <c r="AQ26" i="16"/>
  <c r="AO26" i="16"/>
  <c r="AZ25" i="16"/>
  <c r="AY25" i="16"/>
  <c r="AX25" i="16"/>
  <c r="AW25" i="16"/>
  <c r="AV25" i="16"/>
  <c r="AU25" i="16"/>
  <c r="AT25" i="16"/>
  <c r="AR25" i="16"/>
  <c r="AQ25" i="16"/>
  <c r="AO25" i="16"/>
  <c r="AZ24" i="16"/>
  <c r="AY24" i="16"/>
  <c r="AX24" i="16"/>
  <c r="AW24" i="16"/>
  <c r="AV24" i="16"/>
  <c r="AU24" i="16"/>
  <c r="AT24" i="16"/>
  <c r="AR24" i="16"/>
  <c r="AQ24" i="16"/>
  <c r="AO24" i="16"/>
  <c r="AZ23" i="16"/>
  <c r="AY23" i="16"/>
  <c r="AX23" i="16"/>
  <c r="AW23" i="16"/>
  <c r="AV23" i="16"/>
  <c r="AU23" i="16"/>
  <c r="AT23" i="16"/>
  <c r="AR23" i="16"/>
  <c r="AQ23" i="16"/>
  <c r="AO23" i="16"/>
  <c r="AZ22" i="16"/>
  <c r="AY22" i="16"/>
  <c r="AX22" i="16"/>
  <c r="AW22" i="16"/>
  <c r="AV22" i="16"/>
  <c r="AU22" i="16"/>
  <c r="AT22" i="16"/>
  <c r="AR22" i="16"/>
  <c r="AQ22" i="16"/>
  <c r="AO22" i="16"/>
  <c r="AZ21" i="16"/>
  <c r="AY21" i="16"/>
  <c r="AX21" i="16"/>
  <c r="AW21" i="16"/>
  <c r="AV21" i="16"/>
  <c r="AU21" i="16"/>
  <c r="AT21" i="16"/>
  <c r="AR21" i="16"/>
  <c r="AQ21" i="16"/>
  <c r="AO21" i="16"/>
  <c r="AZ20" i="16"/>
  <c r="AY20" i="16"/>
  <c r="AX20" i="16"/>
  <c r="AW20" i="16"/>
  <c r="AV20" i="16"/>
  <c r="AU20" i="16"/>
  <c r="AT20" i="16"/>
  <c r="AR20" i="16"/>
  <c r="AQ20" i="16"/>
  <c r="AO20" i="16"/>
  <c r="AZ19" i="16"/>
  <c r="AY19" i="16"/>
  <c r="AX19" i="16"/>
  <c r="AW19" i="16"/>
  <c r="AV19" i="16"/>
  <c r="AU19" i="16"/>
  <c r="AT19" i="16"/>
  <c r="AR19" i="16"/>
  <c r="AQ19" i="16"/>
  <c r="AO19" i="16"/>
  <c r="AZ18" i="16"/>
  <c r="AY18" i="16"/>
  <c r="AX18" i="16"/>
  <c r="AW18" i="16"/>
  <c r="AV18" i="16"/>
  <c r="AU18" i="16"/>
  <c r="AT18" i="16"/>
  <c r="AR18" i="16"/>
  <c r="AQ18" i="16"/>
  <c r="AO18" i="16"/>
  <c r="AZ11" i="16"/>
  <c r="AY11" i="16"/>
  <c r="AX11" i="16"/>
  <c r="AW11" i="16"/>
  <c r="AV11" i="16"/>
  <c r="AU11" i="16"/>
  <c r="AT11" i="16"/>
  <c r="AR11" i="16"/>
  <c r="AQ11" i="16"/>
  <c r="AO11" i="16"/>
  <c r="AQ10" i="16"/>
  <c r="AZ10" i="16"/>
  <c r="AY10" i="16"/>
  <c r="AX10" i="16"/>
  <c r="AW10" i="16"/>
  <c r="AV10" i="16"/>
  <c r="AU10" i="16"/>
  <c r="AT10" i="16"/>
  <c r="AR10" i="16"/>
  <c r="AO10" i="16"/>
  <c r="D9" i="16"/>
  <c r="E7" i="16"/>
  <c r="F7" i="16" s="1"/>
  <c r="AS10" i="16" l="1"/>
  <c r="AS22" i="16"/>
  <c r="AS43" i="16"/>
  <c r="AS11" i="16"/>
  <c r="AS34" i="16"/>
  <c r="AS29" i="16"/>
  <c r="AS21" i="16"/>
  <c r="AS30" i="16"/>
  <c r="AS28" i="16"/>
  <c r="AS31" i="16"/>
  <c r="AS18" i="16"/>
  <c r="AS25" i="16"/>
  <c r="AS20" i="16"/>
  <c r="AS23" i="16"/>
  <c r="AS27" i="16"/>
  <c r="AS41" i="16"/>
  <c r="AS42" i="16"/>
  <c r="AS19" i="16"/>
  <c r="AS26" i="16"/>
  <c r="AS24" i="16"/>
  <c r="AS32" i="16"/>
  <c r="F9" i="16"/>
  <c r="G7" i="16"/>
  <c r="E9" i="16"/>
  <c r="G9" i="16" l="1"/>
  <c r="H7" i="16"/>
  <c r="H9" i="16" l="1"/>
  <c r="I7" i="16"/>
  <c r="I9" i="16" l="1"/>
  <c r="J7" i="16"/>
  <c r="K7" i="16" l="1"/>
  <c r="J9" i="16"/>
  <c r="K9" i="16" l="1"/>
  <c r="L7" i="16"/>
  <c r="L9" i="16" l="1"/>
  <c r="M7" i="16"/>
  <c r="N7" i="16" l="1"/>
  <c r="M9" i="16"/>
  <c r="N9" i="16" l="1"/>
  <c r="O7" i="16"/>
  <c r="O9" i="16" l="1"/>
  <c r="P7" i="16"/>
  <c r="Q7" i="16" l="1"/>
  <c r="P9" i="16"/>
  <c r="R7" i="16" l="1"/>
  <c r="Q9" i="16"/>
  <c r="S7" i="16" l="1"/>
  <c r="R9" i="16"/>
  <c r="T7" i="16" l="1"/>
  <c r="S9" i="16"/>
  <c r="T9" i="16" l="1"/>
  <c r="U7" i="16"/>
  <c r="U9" i="16" l="1"/>
  <c r="V7" i="16"/>
  <c r="V9" i="16" l="1"/>
  <c r="W7" i="16"/>
  <c r="W9" i="16" l="1"/>
  <c r="X7" i="16"/>
  <c r="X9" i="16" l="1"/>
  <c r="Y7" i="16"/>
  <c r="Z7" i="16" l="1"/>
  <c r="Y9" i="16"/>
  <c r="AA7" i="16" l="1"/>
  <c r="Z9" i="16"/>
  <c r="AA9" i="16" l="1"/>
  <c r="AB7" i="16"/>
  <c r="AC7" i="16" l="1"/>
  <c r="AB9" i="16"/>
  <c r="AC9" i="16" l="1"/>
  <c r="AD7" i="16"/>
  <c r="AD9" i="16" l="1"/>
  <c r="AE7" i="16"/>
  <c r="AF7" i="16" s="1"/>
  <c r="AF9" i="16" l="1"/>
  <c r="AG7" i="16"/>
  <c r="AH7" i="16" s="1"/>
  <c r="AH9" i="16" s="1"/>
  <c r="AE9" i="16"/>
  <c r="AG9" i="16" l="1"/>
  <c r="AN42" i="16"/>
  <c r="AN41" i="16"/>
  <c r="D44" i="16" l="1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K44" i="16" l="1"/>
  <c r="AL44" i="16"/>
  <c r="AI44" i="16"/>
  <c r="AJ44" i="16"/>
  <c r="D45" i="16"/>
  <c r="D47" i="16" s="1"/>
  <c r="AN43" i="16"/>
  <c r="AN44" i="16" l="1"/>
  <c r="D4" i="16" l="1"/>
  <c r="E35" i="16" l="1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M35" i="16" l="1"/>
  <c r="AK35" i="16"/>
  <c r="AL35" i="16"/>
  <c r="AJ35" i="16"/>
  <c r="R36" i="16"/>
  <c r="R38" i="16" s="1"/>
  <c r="Y36" i="16"/>
  <c r="Y38" i="16" s="1"/>
  <c r="D35" i="16"/>
  <c r="AN35" i="16" s="1"/>
  <c r="D36" i="16" l="1"/>
  <c r="AI35" i="16"/>
  <c r="D38" i="16" l="1"/>
  <c r="D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AJ11" i="16"/>
  <c r="AI11" i="16"/>
  <c r="AJ10" i="16"/>
  <c r="AI10" i="16"/>
  <c r="AL12" i="16" l="1"/>
  <c r="AK12" i="16"/>
  <c r="D13" i="16"/>
  <c r="AN11" i="16"/>
  <c r="AN10" i="16"/>
  <c r="K45" i="16"/>
  <c r="K47" i="16" s="1"/>
  <c r="Y45" i="16"/>
  <c r="AM45" i="16" s="1"/>
  <c r="R45" i="16"/>
  <c r="R47" i="16" s="1"/>
  <c r="R13" i="16"/>
  <c r="R15" i="16" s="1"/>
  <c r="AN34" i="16"/>
  <c r="AN28" i="16"/>
  <c r="AN19" i="16"/>
  <c r="AN21" i="16"/>
  <c r="AN30" i="16"/>
  <c r="AN32" i="16"/>
  <c r="AN20" i="16"/>
  <c r="AI12" i="16"/>
  <c r="AN22" i="16"/>
  <c r="K13" i="16"/>
  <c r="K15" i="16" s="1"/>
  <c r="AN23" i="16"/>
  <c r="AN31" i="16"/>
  <c r="Y13" i="16"/>
  <c r="Y15" i="16" s="1"/>
  <c r="AN25" i="16"/>
  <c r="AN27" i="16"/>
  <c r="AN26" i="16"/>
  <c r="AN24" i="16"/>
  <c r="AN29" i="16"/>
  <c r="K36" i="16"/>
  <c r="AJ12" i="16"/>
  <c r="Y47" i="16" l="1"/>
  <c r="D15" i="16"/>
  <c r="AI15" i="16" s="1"/>
  <c r="AI13" i="16"/>
  <c r="K38" i="16"/>
  <c r="AI38" i="16" s="1"/>
  <c r="AI36" i="16"/>
  <c r="AL45" i="16"/>
  <c r="AJ45" i="16"/>
  <c r="AI45" i="16"/>
  <c r="AI47" i="16" s="1"/>
  <c r="AN12" i="16"/>
  <c r="AC49" i="16" l="1"/>
  <c r="D5" i="16" s="1"/>
</calcChain>
</file>

<file path=xl/sharedStrings.xml><?xml version="1.0" encoding="utf-8"?>
<sst xmlns="http://schemas.openxmlformats.org/spreadsheetml/2006/main" count="275" uniqueCount="98">
  <si>
    <t>泓 建 物 業 管 理 有 限 公 司</t>
    <phoneticPr fontId="3" type="noConversion"/>
  </si>
  <si>
    <t>Pacific Extend Properties Management Limited</t>
    <phoneticPr fontId="3" type="noConversion"/>
  </si>
  <si>
    <t>東匯邨</t>
    <phoneticPr fontId="2" type="noConversion"/>
  </si>
  <si>
    <t>(C - 352108)</t>
  </si>
  <si>
    <t>總工作時數: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</si>
  <si>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</si>
  <si>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1. 清潔科文出勤時數 (要求出勤日數 : 星期一至日;每天工作8小時)</t>
    <phoneticPr fontId="3" type="noConversion"/>
  </si>
  <si>
    <t>排位</t>
    <phoneticPr fontId="3" type="noConversion"/>
  </si>
  <si>
    <t xml:space="preserve">  姓名</t>
    <phoneticPr fontId="3" type="noConversion"/>
  </si>
  <si>
    <t>1-7號
時數</t>
    <phoneticPr fontId="2" type="noConversion"/>
  </si>
  <si>
    <t>8-14號
時數</t>
    <phoneticPr fontId="2" type="noConversion"/>
  </si>
  <si>
    <t>15-21號
時數</t>
    <phoneticPr fontId="2" type="noConversion"/>
  </si>
  <si>
    <t>22-28號
時數</t>
    <phoneticPr fontId="2" type="noConversion"/>
  </si>
  <si>
    <t>每月
工作
時數</t>
    <phoneticPr fontId="3" type="noConversion"/>
  </si>
  <si>
    <t>R
已放</t>
    <phoneticPr fontId="3" type="noConversion"/>
  </si>
  <si>
    <t>OT</t>
    <phoneticPr fontId="3" type="noConversion"/>
  </si>
  <si>
    <t>AL
年假</t>
    <phoneticPr fontId="2" type="noConversion"/>
  </si>
  <si>
    <t>NP
無薪假</t>
    <phoneticPr fontId="3" type="noConversion"/>
  </si>
  <si>
    <r>
      <rPr>
        <b/>
        <sz val="11"/>
        <rFont val="Microsoft YaHei"/>
        <family val="2"/>
        <charset val="134"/>
      </rPr>
      <t>SL</t>
    </r>
    <r>
      <rPr>
        <b/>
        <sz val="11"/>
        <rFont val="Microsoft JhengHei UI"/>
        <family val="2"/>
        <charset val="136"/>
      </rPr>
      <t xml:space="preserve">
病假</t>
    </r>
    <phoneticPr fontId="3" type="noConversion"/>
  </si>
  <si>
    <t>NS
無薪病假</t>
    <phoneticPr fontId="3" type="noConversion"/>
  </si>
  <si>
    <t>SH
有薪/無薪法定假期</t>
    <phoneticPr fontId="3" type="noConversion"/>
  </si>
  <si>
    <t>NSH
有薪/無薪法定假期</t>
    <phoneticPr fontId="3" type="noConversion"/>
  </si>
  <si>
    <t>NC
非合約期</t>
    <phoneticPr fontId="3" type="noConversion"/>
  </si>
  <si>
    <t>中文 / 英文</t>
    <phoneticPr fontId="3" type="noConversion"/>
  </si>
  <si>
    <t>A1</t>
    <phoneticPr fontId="8" type="noConversion"/>
  </si>
  <si>
    <t>陳美珠</t>
  </si>
  <si>
    <t>張紅蘭</t>
  </si>
  <si>
    <t>清潔科文(實際) 每天工作總時數</t>
    <phoneticPr fontId="3" type="noConversion"/>
  </si>
  <si>
    <t xml:space="preserve"> </t>
    <phoneticPr fontId="2" type="noConversion"/>
  </si>
  <si>
    <t>2. 清潔工人出勤時數 (要求出勤日數 : 星期一至日;每天工作8小時)</t>
    <phoneticPr fontId="3" type="noConversion"/>
  </si>
  <si>
    <t>A2</t>
    <phoneticPr fontId="2" type="noConversion"/>
  </si>
  <si>
    <t>陳學秀</t>
  </si>
  <si>
    <t>A3</t>
    <phoneticPr fontId="2" type="noConversion"/>
  </si>
  <si>
    <t>陳偉春</t>
  </si>
  <si>
    <t>A4</t>
    <phoneticPr fontId="2" type="noConversion"/>
  </si>
  <si>
    <t>鄭綠深</t>
  </si>
  <si>
    <t>A5</t>
    <phoneticPr fontId="2" type="noConversion"/>
  </si>
  <si>
    <t>鄭優儒</t>
  </si>
  <si>
    <t>A6</t>
    <phoneticPr fontId="2" type="noConversion"/>
  </si>
  <si>
    <t>A7</t>
    <phoneticPr fontId="2" type="noConversion"/>
  </si>
  <si>
    <t>鍾愛蓮</t>
  </si>
  <si>
    <t>A8</t>
    <phoneticPr fontId="2" type="noConversion"/>
  </si>
  <si>
    <t>何少琼</t>
  </si>
  <si>
    <t>A9</t>
    <phoneticPr fontId="2" type="noConversion"/>
  </si>
  <si>
    <t>梁月英</t>
  </si>
  <si>
    <t>A10</t>
    <phoneticPr fontId="2" type="noConversion"/>
  </si>
  <si>
    <t>李華章</t>
  </si>
  <si>
    <r>
      <t>A</t>
    </r>
    <r>
      <rPr>
        <sz val="11"/>
        <rFont val="Microsoft YaHei"/>
        <family val="2"/>
        <charset val="134"/>
      </rPr>
      <t>1</t>
    </r>
    <r>
      <rPr>
        <sz val="11"/>
        <rFont val="Microsoft JhengHei UI"/>
        <family val="2"/>
        <charset val="136"/>
      </rPr>
      <t>1</t>
    </r>
    <phoneticPr fontId="2" type="noConversion"/>
  </si>
  <si>
    <t>連素嬌</t>
  </si>
  <si>
    <r>
      <t>A</t>
    </r>
    <r>
      <rPr>
        <sz val="11"/>
        <rFont val="Microsoft YaHei"/>
        <family val="2"/>
        <charset val="134"/>
      </rPr>
      <t>1</t>
    </r>
    <r>
      <rPr>
        <sz val="11"/>
        <rFont val="Microsoft JhengHei UI"/>
        <family val="2"/>
        <charset val="136"/>
      </rPr>
      <t>2</t>
    </r>
    <phoneticPr fontId="2" type="noConversion"/>
  </si>
  <si>
    <t>莫玉英</t>
  </si>
  <si>
    <r>
      <t>A</t>
    </r>
    <r>
      <rPr>
        <sz val="11"/>
        <rFont val="Microsoft YaHei"/>
        <family val="2"/>
        <charset val="134"/>
      </rPr>
      <t>1</t>
    </r>
    <r>
      <rPr>
        <sz val="11"/>
        <rFont val="Microsoft JhengHei UI"/>
        <family val="2"/>
        <charset val="136"/>
      </rPr>
      <t>3</t>
    </r>
    <phoneticPr fontId="2" type="noConversion"/>
  </si>
  <si>
    <t>施清梅</t>
  </si>
  <si>
    <r>
      <t>A</t>
    </r>
    <r>
      <rPr>
        <sz val="11"/>
        <rFont val="Microsoft YaHei"/>
        <family val="2"/>
        <charset val="134"/>
      </rPr>
      <t>1</t>
    </r>
    <r>
      <rPr>
        <sz val="11"/>
        <rFont val="Microsoft JhengHei UI"/>
        <family val="2"/>
        <charset val="136"/>
      </rPr>
      <t>4</t>
    </r>
    <phoneticPr fontId="2" type="noConversion"/>
  </si>
  <si>
    <t>湯玉蘭</t>
  </si>
  <si>
    <r>
      <t>A</t>
    </r>
    <r>
      <rPr>
        <sz val="11"/>
        <rFont val="Microsoft YaHei"/>
        <family val="2"/>
        <charset val="134"/>
      </rPr>
      <t>1</t>
    </r>
    <r>
      <rPr>
        <sz val="11"/>
        <rFont val="Microsoft JhengHei UI"/>
        <family val="2"/>
        <charset val="136"/>
      </rPr>
      <t>5</t>
    </r>
    <phoneticPr fontId="2" type="noConversion"/>
  </si>
  <si>
    <t>葉月雲</t>
  </si>
  <si>
    <t>A16</t>
    <phoneticPr fontId="2" type="noConversion"/>
  </si>
  <si>
    <t>叶心枝</t>
  </si>
  <si>
    <t>A17</t>
    <phoneticPr fontId="2" type="noConversion"/>
  </si>
  <si>
    <t>A18</t>
    <phoneticPr fontId="2" type="noConversion"/>
  </si>
  <si>
    <t>張宗富</t>
  </si>
  <si>
    <t>清潔工人(實際)每天工作總時數</t>
    <phoneticPr fontId="3" type="noConversion"/>
  </si>
  <si>
    <t>欠/多 清潔工人時數</t>
    <phoneticPr fontId="2" type="noConversion"/>
  </si>
  <si>
    <t>本月清潔員工(實際)工作總時數:</t>
    <phoneticPr fontId="3" type="noConversion"/>
  </si>
  <si>
    <t>備註：</t>
    <phoneticPr fontId="2" type="noConversion"/>
  </si>
  <si>
    <t>RD</t>
  </si>
  <si>
    <t>SL</t>
    <phoneticPr fontId="3" type="noConversion"/>
  </si>
  <si>
    <t>AL</t>
    <phoneticPr fontId="3" type="noConversion"/>
  </si>
  <si>
    <t>EC</t>
    <phoneticPr fontId="3" type="noConversion"/>
  </si>
  <si>
    <t>NC</t>
    <phoneticPr fontId="2" type="noConversion"/>
  </si>
  <si>
    <t>CF</t>
  </si>
  <si>
    <t>CW</t>
    <phoneticPr fontId="2" type="noConversion"/>
  </si>
  <si>
    <t>張菊仙</t>
    <phoneticPr fontId="2" type="noConversion"/>
  </si>
  <si>
    <t>H</t>
    <phoneticPr fontId="2" type="noConversion"/>
  </si>
  <si>
    <r>
      <rPr>
        <b/>
        <sz val="14"/>
        <rFont val="Microsoft JhengHei UI"/>
        <family val="2"/>
        <charset val="136"/>
      </rPr>
      <t>工作
日數</t>
    </r>
    <phoneticPr fontId="3" type="noConversion"/>
  </si>
  <si>
    <r>
      <rPr>
        <b/>
        <sz val="14"/>
        <rFont val="Microsoft JhengHei UI"/>
        <family val="2"/>
        <charset val="136"/>
      </rPr>
      <t>已放
年假</t>
    </r>
    <phoneticPr fontId="2" type="noConversion"/>
  </si>
  <si>
    <t>RD</t>
    <phoneticPr fontId="3" type="noConversion"/>
  </si>
  <si>
    <t>享有</t>
    <phoneticPr fontId="3" type="noConversion"/>
  </si>
  <si>
    <t>RD</t>
    <phoneticPr fontId="2" type="noConversion"/>
  </si>
  <si>
    <t>NP</t>
    <phoneticPr fontId="2" type="noConversion"/>
  </si>
  <si>
    <t>SH/NSH</t>
    <phoneticPr fontId="2" type="noConversion"/>
  </si>
  <si>
    <t>NSH</t>
  </si>
  <si>
    <t>A19</t>
    <phoneticPr fontId="2" type="noConversion"/>
  </si>
  <si>
    <t>戴月珍</t>
    <phoneticPr fontId="2" type="noConversion"/>
  </si>
  <si>
    <t>S</t>
  </si>
  <si>
    <t>S</t>
    <phoneticPr fontId="2" type="noConversion"/>
  </si>
  <si>
    <t>【AL=年假】【NSH=無薪法定假】【NP=無薪假期】【RD=例假】【SL=病假】【NC=非合約期】【ND=休班】【S=借調Secondment】</t>
    <phoneticPr fontId="2" type="noConversion"/>
  </si>
  <si>
    <t>清潔科文(實際) 每週工作總時數</t>
  </si>
  <si>
    <t>清潔科文每週所需工作總時數</t>
  </si>
  <si>
    <t>清潔工人(實際)每週工作總時數</t>
  </si>
  <si>
    <t>清潔工人每週所需工作總時數</t>
  </si>
  <si>
    <t>欠/多 清潔科文時數</t>
  </si>
  <si>
    <r>
      <t>3. VO清潔工人出勤時數 (要求出勤日數 : 星期一至日;每天工作5</t>
    </r>
    <r>
      <rPr>
        <b/>
        <sz val="11"/>
        <rFont val="Microsoft JhengHei UI"/>
        <family val="2"/>
      </rPr>
      <t>.25</t>
    </r>
    <r>
      <rPr>
        <b/>
        <sz val="11"/>
        <rFont val="Microsoft JhengHei UI"/>
        <family val="2"/>
        <charset val="136"/>
      </rPr>
      <t>小時)</t>
    </r>
  </si>
  <si>
    <t>VO清潔工人(實際) 每天工作總時數</t>
  </si>
  <si>
    <t>VO清潔工人(實際) 每週工作總時數</t>
  </si>
  <si>
    <t>VO清潔工人每週所需工作總時數</t>
  </si>
  <si>
    <r>
      <t>2</t>
    </r>
    <r>
      <rPr>
        <b/>
        <sz val="11"/>
        <rFont val="微软雅黑"/>
        <family val="2"/>
        <charset val="134"/>
      </rPr>
      <t>9</t>
    </r>
    <r>
      <rPr>
        <b/>
        <sz val="11"/>
        <rFont val="Microsoft JhengHei UI"/>
        <family val="2"/>
        <charset val="136"/>
      </rPr>
      <t>-</t>
    </r>
    <r>
      <rPr>
        <b/>
        <sz val="11"/>
        <rFont val="微软雅黑"/>
        <family val="2"/>
        <charset val="134"/>
      </rPr>
      <t>31</t>
    </r>
    <r>
      <rPr>
        <b/>
        <sz val="11"/>
        <rFont val="Microsoft JhengHei UI"/>
        <family val="2"/>
        <charset val="136"/>
      </rPr>
      <t>號
時數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</si>
</sst>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0_);[Red]\(0\)"/>
    <numFmt numFmtId="178" formatCode="0_);\(0\)"/>
    <numFmt numFmtId="179" formatCode="d"/>
    <numFmt numFmtId="180" formatCode="0.00_);\(0.00\)"/>
    <numFmt numFmtId="181" formatCode="0.00_);[Red]\(0.00\)"/>
    <numFmt numFmtId="182" formatCode="0.0_);\(0.0\)"/>
  </numFmts>
  <fonts count="39">
    <font>
      <sz val="12"/>
      <color theme="1"/>
      <name val="等线"/>
      <family val="2"/>
      <charset val="136"/>
      <scheme val="minor"/>
    </font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等线"/>
      <family val="1"/>
      <scheme val="minor"/>
    </font>
    <font>
      <sz val="12"/>
      <color rgb="FF006100"/>
      <name val="等线"/>
      <family val="2"/>
      <charset val="136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11"/>
      <name val="Microsoft JhengHei UI"/>
      <family val="2"/>
      <charset val="136"/>
    </font>
    <font>
      <b/>
      <sz val="11"/>
      <name val="Microsoft JhengHei UI"/>
      <family val="2"/>
      <charset val="136"/>
    </font>
    <font>
      <sz val="11"/>
      <color rgb="FFFF0000"/>
      <name val="Microsoft JhengHei UI"/>
      <family val="2"/>
      <charset val="136"/>
    </font>
    <font>
      <b/>
      <sz val="11"/>
      <color theme="1"/>
      <name val="Microsoft JhengHei UI"/>
      <family val="2"/>
      <charset val="136"/>
    </font>
    <font>
      <sz val="11"/>
      <color rgb="FF000000"/>
      <name val="Microsoft JhengHei UI"/>
      <family val="2"/>
      <charset val="136"/>
    </font>
    <font>
      <sz val="11"/>
      <color theme="1"/>
      <name val="Microsoft JhengHei UI"/>
      <family val="2"/>
      <charset val="136"/>
    </font>
    <font>
      <sz val="11"/>
      <color indexed="14"/>
      <name val="Microsoft JhengHei UI"/>
      <family val="2"/>
      <charset val="136"/>
    </font>
    <font>
      <b/>
      <sz val="11"/>
      <color rgb="FFFF0000"/>
      <name val="Microsoft JhengHei UI"/>
      <family val="2"/>
      <charset val="136"/>
    </font>
    <font>
      <b/>
      <sz val="11"/>
      <color indexed="14"/>
      <name val="Microsoft JhengHei UI"/>
      <family val="2"/>
      <charset val="136"/>
    </font>
    <font>
      <b/>
      <sz val="18"/>
      <name val="Microsoft JhengHei UI"/>
      <family val="2"/>
      <charset val="136"/>
    </font>
    <font>
      <b/>
      <sz val="18"/>
      <color rgb="FF333333"/>
      <name val="Microsoft JhengHei UI"/>
      <family val="2"/>
      <charset val="136"/>
    </font>
    <font>
      <sz val="11"/>
      <color rgb="FFFF0000"/>
      <name val="Microsoft JhengHei UI"/>
      <family val="2"/>
      <charset val="134"/>
    </font>
    <font>
      <sz val="11"/>
      <name val="Microsoft YaHei"/>
      <family val="2"/>
      <charset val="134"/>
    </font>
    <font>
      <sz val="12"/>
      <color rgb="FFFF0000"/>
      <name val="Microsoft YaHei"/>
      <family val="2"/>
      <charset val="134"/>
    </font>
    <font>
      <sz val="12"/>
      <color rgb="FFFF0000"/>
      <name val="Microsoft JhengHei UI"/>
      <family val="2"/>
      <charset val="134"/>
    </font>
    <font>
      <sz val="11"/>
      <color rgb="FFFF0000"/>
      <name val="Microsoft YaHei"/>
      <family val="2"/>
      <charset val="134"/>
    </font>
    <font>
      <b/>
      <sz val="11"/>
      <name val="Microsoft YaHei"/>
      <family val="2"/>
      <charset val="134"/>
    </font>
    <font>
      <b/>
      <sz val="11"/>
      <name val="Microsoft JhengHei UI"/>
      <family val="2"/>
      <charset val="134"/>
    </font>
    <font>
      <sz val="12"/>
      <name val="Malgun Gothic Semilight"/>
      <family val="2"/>
      <charset val="136"/>
    </font>
    <font>
      <sz val="12"/>
      <name val="微軟正黑體"/>
      <family val="2"/>
      <charset val="136"/>
    </font>
    <font>
      <b/>
      <sz val="11"/>
      <name val="Microsoft JhengHei UI"/>
      <family val="2"/>
    </font>
    <font>
      <b/>
      <sz val="11"/>
      <color theme="1"/>
      <name val="微軟正黑體"/>
      <family val="2"/>
      <charset val="136"/>
    </font>
    <font>
      <b/>
      <sz val="11"/>
      <color theme="1"/>
      <name val="Microsoft YaHei"/>
      <family val="2"/>
      <charset val="134"/>
    </font>
    <font>
      <b/>
      <sz val="14"/>
      <name val="Calibri"/>
      <family val="2"/>
    </font>
    <font>
      <b/>
      <sz val="14"/>
      <name val="Microsoft JhengHei UI"/>
      <family val="2"/>
      <charset val="136"/>
    </font>
    <font>
      <sz val="12"/>
      <name val="Microsoft JhengHei UI"/>
      <family val="2"/>
      <charset val="136"/>
    </font>
    <font>
      <sz val="14"/>
      <name val="Arial Narrow"/>
      <family val="2"/>
    </font>
    <font>
      <sz val="10"/>
      <name val="Microsoft JhengHei UI"/>
      <family val="2"/>
      <charset val="136"/>
    </font>
    <font>
      <sz val="14"/>
      <name val="Calibri"/>
      <family val="2"/>
    </font>
    <font>
      <b/>
      <sz val="11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4" fillId="0" borderId="0">
      <alignment vertical="center"/>
    </xf>
    <xf numFmtId="0" fontId="4" fillId="0" borderId="0"/>
    <xf numFmtId="0" fontId="4" fillId="0" borderId="0"/>
  </cellStyleXfs>
  <cellXfs count="243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/>
    <xf numFmtId="0" fontId="10" fillId="0" borderId="22" xfId="0" applyFont="1" applyBorder="1" applyAlignment="1" applyProtection="1">
      <alignment horizontal="center" vertical="center"/>
      <protection locked="0"/>
    </xf>
    <xf numFmtId="0" fontId="10" fillId="2" borderId="43" xfId="0" applyFont="1" applyFill="1" applyBorder="1" applyAlignment="1">
      <alignment horizontal="center" vertical="center"/>
    </xf>
    <xf numFmtId="179" fontId="12" fillId="2" borderId="16" xfId="0" applyNumberFormat="1" applyFont="1" applyFill="1" applyBorder="1" applyAlignment="1">
      <alignment horizontal="center" vertical="center"/>
    </xf>
    <xf numFmtId="179" fontId="12" fillId="2" borderId="17" xfId="0" applyNumberFormat="1" applyFont="1" applyFill="1" applyBorder="1" applyAlignment="1">
      <alignment horizontal="center" vertical="center"/>
    </xf>
    <xf numFmtId="179" fontId="12" fillId="2" borderId="18" xfId="0" applyNumberFormat="1" applyFont="1" applyFill="1" applyBorder="1" applyAlignment="1">
      <alignment horizontal="center" vertical="center"/>
    </xf>
    <xf numFmtId="2" fontId="13" fillId="0" borderId="26" xfId="8" applyNumberFormat="1" applyFont="1" applyBorder="1" applyAlignment="1">
      <alignment horizontal="center" vertical="center" wrapText="1"/>
    </xf>
    <xf numFmtId="0" fontId="14" fillId="0" borderId="0" xfId="0" applyFont="1">
      <alignment vertical="center"/>
    </xf>
    <xf numFmtId="2" fontId="13" fillId="0" borderId="25" xfId="8" applyNumberFormat="1" applyFont="1" applyBorder="1" applyAlignment="1">
      <alignment horizontal="center" vertical="center" wrapText="1"/>
    </xf>
    <xf numFmtId="178" fontId="9" fillId="0" borderId="38" xfId="0" quotePrefix="1" applyNumberFormat="1" applyFont="1" applyBorder="1" applyAlignment="1">
      <alignment horizontal="center" vertical="center"/>
    </xf>
    <xf numFmtId="178" fontId="9" fillId="0" borderId="3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78" fontId="15" fillId="0" borderId="0" xfId="0" applyNumberFormat="1" applyFont="1" applyAlignment="1">
      <alignment horizontal="center" vertical="center"/>
    </xf>
    <xf numFmtId="178" fontId="10" fillId="0" borderId="0" xfId="0" applyNumberFormat="1" applyFont="1">
      <alignment vertical="center"/>
    </xf>
    <xf numFmtId="178" fontId="9" fillId="0" borderId="23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8" fontId="10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1" fillId="2" borderId="0" xfId="0" applyFont="1" applyFill="1">
      <alignment vertical="center"/>
    </xf>
    <xf numFmtId="0" fontId="11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9" fillId="2" borderId="0" xfId="0" applyFont="1" applyFill="1">
      <alignment vertical="center"/>
    </xf>
    <xf numFmtId="176" fontId="9" fillId="0" borderId="0" xfId="1" applyFont="1" applyAlignment="1">
      <alignment vertical="center"/>
    </xf>
    <xf numFmtId="39" fontId="14" fillId="0" borderId="0" xfId="0" applyNumberFormat="1" applyFont="1">
      <alignment vertical="center"/>
    </xf>
    <xf numFmtId="176" fontId="9" fillId="2" borderId="0" xfId="1" applyFont="1" applyFill="1" applyAlignment="1">
      <alignment vertical="center"/>
    </xf>
    <xf numFmtId="0" fontId="9" fillId="0" borderId="28" xfId="0" applyFont="1" applyBorder="1">
      <alignment vertical="center"/>
    </xf>
    <xf numFmtId="178" fontId="9" fillId="0" borderId="0" xfId="0" applyNumberFormat="1" applyFont="1">
      <alignment vertical="center"/>
    </xf>
    <xf numFmtId="177" fontId="1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left"/>
    </xf>
    <xf numFmtId="0" fontId="9" fillId="0" borderId="5" xfId="0" applyFont="1" applyBorder="1">
      <alignment vertical="center"/>
    </xf>
    <xf numFmtId="178" fontId="9" fillId="2" borderId="26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0" fillId="2" borderId="0" xfId="0" applyFont="1" applyFill="1" applyAlignment="1"/>
    <xf numFmtId="2" fontId="13" fillId="0" borderId="35" xfId="8" applyNumberFormat="1" applyFont="1" applyBorder="1" applyAlignment="1">
      <alignment horizontal="center" vertical="center" wrapText="1"/>
    </xf>
    <xf numFmtId="178" fontId="9" fillId="0" borderId="36" xfId="0" quotePrefix="1" applyNumberFormat="1" applyFont="1" applyBorder="1" applyAlignment="1">
      <alignment horizontal="center" vertical="center"/>
    </xf>
    <xf numFmtId="178" fontId="9" fillId="0" borderId="37" xfId="0" quotePrefix="1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1" fontId="9" fillId="0" borderId="31" xfId="0" applyNumberFormat="1" applyFont="1" applyBorder="1" applyAlignment="1">
      <alignment horizontal="center" vertical="center"/>
    </xf>
    <xf numFmtId="179" fontId="12" fillId="2" borderId="19" xfId="0" applyNumberFormat="1" applyFont="1" applyFill="1" applyBorder="1" applyAlignment="1">
      <alignment horizontal="center" vertical="center"/>
    </xf>
    <xf numFmtId="178" fontId="9" fillId="0" borderId="45" xfId="0" quotePrefix="1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right"/>
    </xf>
    <xf numFmtId="0" fontId="23" fillId="2" borderId="0" xfId="0" applyFont="1" applyFill="1" applyAlignment="1"/>
    <xf numFmtId="0" fontId="24" fillId="2" borderId="0" xfId="0" applyFont="1" applyFill="1" applyAlignment="1">
      <alignment horizontal="right"/>
    </xf>
    <xf numFmtId="0" fontId="11" fillId="2" borderId="0" xfId="0" applyFont="1" applyFill="1" applyAlignment="1"/>
    <xf numFmtId="179" fontId="12" fillId="2" borderId="11" xfId="0" applyNumberFormat="1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2" fontId="13" fillId="6" borderId="35" xfId="8" applyNumberFormat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8" fontId="9" fillId="2" borderId="23" xfId="0" applyNumberFormat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78" fontId="9" fillId="2" borderId="21" xfId="0" applyNumberFormat="1" applyFont="1" applyFill="1" applyBorder="1" applyAlignment="1">
      <alignment horizontal="center" vertical="center"/>
    </xf>
    <xf numFmtId="2" fontId="13" fillId="0" borderId="22" xfId="8" applyNumberFormat="1" applyFont="1" applyBorder="1" applyAlignment="1">
      <alignment horizontal="center" vertical="center" wrapText="1"/>
    </xf>
    <xf numFmtId="0" fontId="9" fillId="7" borderId="4" xfId="11" applyFont="1" applyFill="1" applyBorder="1" applyAlignment="1">
      <alignment horizontal="center" vertical="center"/>
    </xf>
    <xf numFmtId="0" fontId="9" fillId="8" borderId="4" xfId="11" applyFont="1" applyFill="1" applyBorder="1" applyAlignment="1">
      <alignment horizontal="center" vertical="center" wrapText="1"/>
    </xf>
    <xf numFmtId="2" fontId="9" fillId="9" borderId="4" xfId="0" applyNumberFormat="1" applyFont="1" applyFill="1" applyBorder="1" applyAlignment="1">
      <alignment horizontal="center" vertical="center" wrapText="1"/>
    </xf>
    <xf numFmtId="2" fontId="9" fillId="10" borderId="4" xfId="0" applyNumberFormat="1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8" fontId="9" fillId="0" borderId="39" xfId="0" quotePrefix="1" applyNumberFormat="1" applyFont="1" applyBorder="1" applyAlignment="1">
      <alignment horizontal="center" vertical="center"/>
    </xf>
    <xf numFmtId="178" fontId="9" fillId="0" borderId="40" xfId="0" quotePrefix="1" applyNumberFormat="1" applyFont="1" applyBorder="1" applyAlignment="1">
      <alignment horizontal="center" vertical="center"/>
    </xf>
    <xf numFmtId="178" fontId="9" fillId="0" borderId="41" xfId="0" quotePrefix="1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80" fontId="9" fillId="0" borderId="36" xfId="0" applyNumberFormat="1" applyFont="1" applyBorder="1" applyAlignment="1">
      <alignment horizontal="center" vertical="center"/>
    </xf>
    <xf numFmtId="180" fontId="9" fillId="0" borderId="37" xfId="0" applyNumberFormat="1" applyFont="1" applyBorder="1" applyAlignment="1">
      <alignment horizontal="center" vertical="center"/>
    </xf>
    <xf numFmtId="180" fontId="9" fillId="0" borderId="38" xfId="0" applyNumberFormat="1" applyFont="1" applyBorder="1" applyAlignment="1">
      <alignment horizontal="center" vertical="center"/>
    </xf>
    <xf numFmtId="180" fontId="9" fillId="0" borderId="45" xfId="0" applyNumberFormat="1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0" fillId="0" borderId="46" xfId="0" applyFont="1" applyBorder="1" applyAlignment="1" applyProtection="1">
      <alignment horizontal="center" vertical="center"/>
      <protection locked="0"/>
    </xf>
    <xf numFmtId="0" fontId="27" fillId="0" borderId="48" xfId="0" applyFont="1" applyBorder="1" applyAlignment="1">
      <alignment horizontal="center" vertical="center"/>
    </xf>
    <xf numFmtId="2" fontId="13" fillId="6" borderId="22" xfId="8" applyNumberFormat="1" applyFont="1" applyFill="1" applyBorder="1" applyAlignment="1">
      <alignment horizontal="center" vertical="center" wrapText="1"/>
    </xf>
    <xf numFmtId="179" fontId="12" fillId="2" borderId="10" xfId="0" applyNumberFormat="1" applyFont="1" applyFill="1" applyBorder="1" applyAlignment="1">
      <alignment horizontal="center" vertical="center" wrapText="1"/>
    </xf>
    <xf numFmtId="179" fontId="12" fillId="2" borderId="12" xfId="0" applyNumberFormat="1" applyFont="1" applyFill="1" applyBorder="1" applyAlignment="1">
      <alignment horizontal="center" vertical="center" wrapText="1"/>
    </xf>
    <xf numFmtId="179" fontId="30" fillId="2" borderId="31" xfId="0" applyNumberFormat="1" applyFont="1" applyFill="1" applyBorder="1" applyAlignment="1">
      <alignment horizontal="center" vertical="center" wrapText="1"/>
    </xf>
    <xf numFmtId="179" fontId="31" fillId="2" borderId="4" xfId="0" applyNumberFormat="1" applyFont="1" applyFill="1" applyBorder="1" applyAlignment="1">
      <alignment horizontal="center" vertical="center" wrapText="1"/>
    </xf>
    <xf numFmtId="179" fontId="30" fillId="2" borderId="4" xfId="0" applyNumberFormat="1" applyFont="1" applyFill="1" applyBorder="1" applyAlignment="1">
      <alignment horizontal="center" vertical="center" wrapText="1"/>
    </xf>
    <xf numFmtId="179" fontId="31" fillId="2" borderId="32" xfId="0" applyNumberFormat="1" applyFont="1" applyFill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2" fontId="13" fillId="6" borderId="43" xfId="8" applyNumberFormat="1" applyFont="1" applyFill="1" applyBorder="1" applyAlignment="1">
      <alignment horizontal="center" vertical="center" wrapText="1"/>
    </xf>
    <xf numFmtId="179" fontId="12" fillId="2" borderId="13" xfId="0" applyNumberFormat="1" applyFont="1" applyFill="1" applyBorder="1" applyAlignment="1">
      <alignment horizontal="center" vertical="center" wrapText="1"/>
    </xf>
    <xf numFmtId="179" fontId="31" fillId="2" borderId="3" xfId="0" applyNumberFormat="1" applyFont="1" applyFill="1" applyBorder="1" applyAlignment="1">
      <alignment horizontal="center" vertical="center" wrapText="1"/>
    </xf>
    <xf numFmtId="179" fontId="31" fillId="2" borderId="31" xfId="0" applyNumberFormat="1" applyFont="1" applyFill="1" applyBorder="1" applyAlignment="1">
      <alignment horizontal="center" vertical="center" wrapText="1"/>
    </xf>
    <xf numFmtId="2" fontId="13" fillId="6" borderId="24" xfId="8" applyNumberFormat="1" applyFont="1" applyFill="1" applyBorder="1" applyAlignment="1">
      <alignment horizontal="center" vertical="center" wrapText="1"/>
    </xf>
    <xf numFmtId="2" fontId="13" fillId="6" borderId="34" xfId="8" applyNumberFormat="1" applyFont="1" applyFill="1" applyBorder="1" applyAlignment="1">
      <alignment horizontal="center" vertical="center" wrapText="1"/>
    </xf>
    <xf numFmtId="2" fontId="13" fillId="6" borderId="42" xfId="8" applyNumberFormat="1" applyFont="1" applyFill="1" applyBorder="1" applyAlignment="1">
      <alignment horizontal="center" vertical="center" wrapText="1"/>
    </xf>
    <xf numFmtId="180" fontId="9" fillId="0" borderId="45" xfId="0" quotePrefix="1" applyNumberFormat="1" applyFont="1" applyBorder="1" applyAlignment="1">
      <alignment horizontal="center" vertical="center"/>
    </xf>
    <xf numFmtId="180" fontId="9" fillId="0" borderId="37" xfId="0" quotePrefix="1" applyNumberFormat="1" applyFont="1" applyBorder="1" applyAlignment="1">
      <alignment horizontal="center" vertical="center"/>
    </xf>
    <xf numFmtId="180" fontId="9" fillId="0" borderId="38" xfId="0" quotePrefix="1" applyNumberFormat="1" applyFont="1" applyBorder="1" applyAlignment="1">
      <alignment horizontal="center" vertical="center"/>
    </xf>
    <xf numFmtId="178" fontId="9" fillId="0" borderId="27" xfId="0" applyNumberFormat="1" applyFont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78" fontId="14" fillId="0" borderId="27" xfId="0" applyNumberFormat="1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5" fillId="6" borderId="4" xfId="0" applyFont="1" applyFill="1" applyBorder="1" applyAlignment="1">
      <alignment horizontal="center" wrapText="1"/>
    </xf>
    <xf numFmtId="0" fontId="36" fillId="0" borderId="17" xfId="0" applyFont="1" applyBorder="1" applyAlignment="1">
      <alignment horizontal="center" vertical="center"/>
    </xf>
    <xf numFmtId="178" fontId="37" fillId="0" borderId="44" xfId="0" applyNumberFormat="1" applyFont="1" applyBorder="1" applyAlignment="1">
      <alignment horizontal="center" vertical="center" wrapText="1"/>
    </xf>
    <xf numFmtId="38" fontId="32" fillId="6" borderId="2" xfId="0" applyNumberFormat="1" applyFont="1" applyFill="1" applyBorder="1" applyAlignment="1">
      <alignment horizontal="center" vertical="center"/>
    </xf>
    <xf numFmtId="178" fontId="9" fillId="2" borderId="2" xfId="0" applyNumberFormat="1" applyFont="1" applyFill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 wrapText="1"/>
    </xf>
    <xf numFmtId="178" fontId="9" fillId="2" borderId="2" xfId="0" applyNumberFormat="1" applyFont="1" applyFill="1" applyBorder="1" applyAlignment="1">
      <alignment horizontal="center" vertical="center" wrapText="1"/>
    </xf>
    <xf numFmtId="178" fontId="9" fillId="0" borderId="30" xfId="0" applyNumberFormat="1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178" fontId="37" fillId="0" borderId="10" xfId="0" applyNumberFormat="1" applyFont="1" applyBorder="1" applyAlignment="1">
      <alignment horizontal="center" vertical="center" wrapText="1"/>
    </xf>
    <xf numFmtId="38" fontId="32" fillId="6" borderId="11" xfId="0" applyNumberFormat="1" applyFont="1" applyFill="1" applyBorder="1" applyAlignment="1">
      <alignment horizontal="center" vertical="center"/>
    </xf>
    <xf numFmtId="178" fontId="9" fillId="2" borderId="11" xfId="0" applyNumberFormat="1" applyFont="1" applyFill="1" applyBorder="1" applyAlignment="1">
      <alignment horizontal="center" vertical="center"/>
    </xf>
    <xf numFmtId="178" fontId="9" fillId="0" borderId="11" xfId="0" applyNumberFormat="1" applyFont="1" applyBorder="1" applyAlignment="1">
      <alignment horizontal="center" vertical="center" wrapText="1"/>
    </xf>
    <xf numFmtId="178" fontId="9" fillId="2" borderId="11" xfId="0" applyNumberFormat="1" applyFont="1" applyFill="1" applyBorder="1" applyAlignment="1">
      <alignment horizontal="center" vertical="center" wrapText="1"/>
    </xf>
    <xf numFmtId="178" fontId="9" fillId="0" borderId="12" xfId="0" applyNumberFormat="1" applyFont="1" applyBorder="1" applyAlignment="1">
      <alignment horizontal="center" vertical="center" wrapText="1"/>
    </xf>
    <xf numFmtId="178" fontId="37" fillId="0" borderId="36" xfId="0" applyNumberFormat="1" applyFont="1" applyBorder="1" applyAlignment="1">
      <alignment horizontal="center" vertical="center" wrapText="1"/>
    </xf>
    <xf numFmtId="38" fontId="32" fillId="6" borderId="37" xfId="0" applyNumberFormat="1" applyFont="1" applyFill="1" applyBorder="1" applyAlignment="1">
      <alignment horizontal="center" vertical="center"/>
    </xf>
    <xf numFmtId="178" fontId="9" fillId="2" borderId="37" xfId="0" applyNumberFormat="1" applyFont="1" applyFill="1" applyBorder="1" applyAlignment="1">
      <alignment horizontal="center" vertical="center"/>
    </xf>
    <xf numFmtId="178" fontId="9" fillId="0" borderId="37" xfId="0" applyNumberFormat="1" applyFont="1" applyBorder="1" applyAlignment="1">
      <alignment horizontal="center" vertical="center" wrapText="1"/>
    </xf>
    <xf numFmtId="178" fontId="9" fillId="2" borderId="37" xfId="0" applyNumberFormat="1" applyFont="1" applyFill="1" applyBorder="1" applyAlignment="1">
      <alignment horizontal="center" vertical="center" wrapText="1"/>
    </xf>
    <xf numFmtId="178" fontId="9" fillId="0" borderId="38" xfId="0" applyNumberFormat="1" applyFont="1" applyBorder="1" applyAlignment="1">
      <alignment horizontal="center" vertical="center" wrapText="1"/>
    </xf>
    <xf numFmtId="180" fontId="9" fillId="2" borderId="23" xfId="0" applyNumberFormat="1" applyFont="1" applyFill="1" applyBorder="1" applyAlignment="1">
      <alignment horizontal="center" vertical="center"/>
    </xf>
    <xf numFmtId="180" fontId="9" fillId="2" borderId="26" xfId="0" applyNumberFormat="1" applyFont="1" applyFill="1" applyBorder="1" applyAlignment="1">
      <alignment horizontal="center" vertical="center"/>
    </xf>
    <xf numFmtId="2" fontId="9" fillId="2" borderId="31" xfId="0" applyNumberFormat="1" applyFont="1" applyFill="1" applyBorder="1" applyAlignment="1">
      <alignment horizontal="center" vertical="center"/>
    </xf>
    <xf numFmtId="180" fontId="14" fillId="0" borderId="25" xfId="0" applyNumberFormat="1" applyFont="1" applyBorder="1" applyAlignment="1">
      <alignment horizontal="center" vertical="center" wrapText="1"/>
    </xf>
    <xf numFmtId="180" fontId="14" fillId="0" borderId="27" xfId="0" applyNumberFormat="1" applyFont="1" applyBorder="1" applyAlignment="1">
      <alignment horizontal="center" vertical="center" wrapText="1"/>
    </xf>
    <xf numFmtId="180" fontId="9" fillId="0" borderId="33" xfId="0" applyNumberFormat="1" applyFont="1" applyBorder="1" applyAlignment="1">
      <alignment horizontal="center" vertical="center" wrapText="1"/>
    </xf>
    <xf numFmtId="0" fontId="9" fillId="13" borderId="4" xfId="1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2" fontId="9" fillId="0" borderId="14" xfId="8" applyNumberFormat="1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/>
    </xf>
    <xf numFmtId="2" fontId="9" fillId="0" borderId="35" xfId="8" applyNumberFormat="1" applyFont="1" applyBorder="1" applyAlignment="1">
      <alignment horizontal="center" vertical="center" wrapText="1"/>
    </xf>
    <xf numFmtId="0" fontId="9" fillId="14" borderId="36" xfId="0" applyFont="1" applyFill="1" applyBorder="1" applyAlignment="1">
      <alignment horizontal="center" vertical="center"/>
    </xf>
    <xf numFmtId="0" fontId="9" fillId="14" borderId="37" xfId="0" applyFont="1" applyFill="1" applyBorder="1" applyAlignment="1">
      <alignment horizontal="center" vertical="center"/>
    </xf>
    <xf numFmtId="0" fontId="27" fillId="14" borderId="37" xfId="0" applyFont="1" applyFill="1" applyBorder="1" applyAlignment="1">
      <alignment horizontal="center" vertical="center"/>
    </xf>
    <xf numFmtId="0" fontId="27" fillId="14" borderId="38" xfId="0" applyFont="1" applyFill="1" applyBorder="1" applyAlignment="1">
      <alignment horizontal="center" vertical="center"/>
    </xf>
    <xf numFmtId="0" fontId="27" fillId="14" borderId="45" xfId="0" applyFont="1" applyFill="1" applyBorder="1" applyAlignment="1">
      <alignment horizontal="center" vertical="center"/>
    </xf>
    <xf numFmtId="0" fontId="28" fillId="14" borderId="37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180" fontId="10" fillId="0" borderId="21" xfId="0" applyNumberFormat="1" applyFont="1" applyBorder="1" applyAlignment="1">
      <alignment horizontal="center" vertical="center"/>
    </xf>
    <xf numFmtId="178" fontId="10" fillId="0" borderId="33" xfId="0" applyNumberFormat="1" applyFont="1" applyBorder="1" applyAlignment="1">
      <alignment horizontal="center" vertical="center" wrapText="1"/>
    </xf>
    <xf numFmtId="180" fontId="10" fillId="0" borderId="3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178" fontId="10" fillId="2" borderId="46" xfId="0" applyNumberFormat="1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182" fontId="16" fillId="15" borderId="6" xfId="0" applyNumberFormat="1" applyFont="1" applyFill="1" applyBorder="1" applyAlignment="1">
      <alignment horizontal="center" vertical="center"/>
    </xf>
    <xf numFmtId="182" fontId="16" fillId="15" borderId="8" xfId="0" applyNumberFormat="1" applyFont="1" applyFill="1" applyBorder="1" applyAlignment="1">
      <alignment horizontal="center" vertical="center"/>
    </xf>
    <xf numFmtId="180" fontId="10" fillId="5" borderId="6" xfId="0" applyNumberFormat="1" applyFont="1" applyFill="1" applyBorder="1" applyAlignment="1">
      <alignment horizontal="center" vertical="center"/>
    </xf>
    <xf numFmtId="180" fontId="10" fillId="5" borderId="8" xfId="0" applyNumberFormat="1" applyFont="1" applyFill="1" applyBorder="1" applyAlignment="1">
      <alignment horizontal="center" vertical="center"/>
    </xf>
    <xf numFmtId="180" fontId="10" fillId="4" borderId="6" xfId="0" applyNumberFormat="1" applyFont="1" applyFill="1" applyBorder="1" applyAlignment="1">
      <alignment horizontal="center" vertical="center"/>
    </xf>
    <xf numFmtId="180" fontId="10" fillId="4" borderId="8" xfId="0" applyNumberFormat="1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182" fontId="16" fillId="15" borderId="7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80" fontId="10" fillId="5" borderId="7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180" fontId="10" fillId="4" borderId="7" xfId="0" applyNumberFormat="1" applyFont="1" applyFill="1" applyBorder="1" applyAlignment="1">
      <alignment horizontal="center" vertical="center"/>
    </xf>
    <xf numFmtId="180" fontId="10" fillId="5" borderId="14" xfId="0" applyNumberFormat="1" applyFont="1" applyFill="1" applyBorder="1" applyAlignment="1">
      <alignment horizontal="center" vertical="center"/>
    </xf>
    <xf numFmtId="180" fontId="10" fillId="5" borderId="29" xfId="0" applyNumberFormat="1" applyFont="1" applyFill="1" applyBorder="1" applyAlignment="1">
      <alignment horizontal="center" vertical="center"/>
    </xf>
    <xf numFmtId="180" fontId="10" fillId="5" borderId="20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7" fontId="10" fillId="0" borderId="11" xfId="7" applyNumberFormat="1" applyFont="1" applyFill="1" applyBorder="1" applyAlignment="1" applyProtection="1">
      <alignment horizontal="center" vertical="center" wrapText="1"/>
      <protection locked="0"/>
    </xf>
    <xf numFmtId="177" fontId="10" fillId="0" borderId="4" xfId="7" applyNumberFormat="1" applyFont="1" applyFill="1" applyBorder="1" applyAlignment="1" applyProtection="1">
      <alignment horizontal="center" vertical="center" wrapText="1"/>
      <protection locked="0"/>
    </xf>
    <xf numFmtId="0" fontId="10" fillId="0" borderId="17" xfId="0" applyFont="1" applyBorder="1" applyAlignment="1">
      <alignment horizontal="center" vertical="center"/>
    </xf>
    <xf numFmtId="177" fontId="10" fillId="0" borderId="12" xfId="7" applyNumberFormat="1" applyFont="1" applyFill="1" applyBorder="1" applyAlignment="1" applyProtection="1">
      <alignment horizontal="center" vertical="center" wrapText="1"/>
      <protection locked="0"/>
    </xf>
    <xf numFmtId="177" fontId="10" fillId="0" borderId="32" xfId="7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Font="1" applyBorder="1" applyAlignment="1">
      <alignment horizontal="center" vertical="center"/>
    </xf>
    <xf numFmtId="177" fontId="10" fillId="0" borderId="17" xfId="7" applyNumberFormat="1" applyFont="1" applyFill="1" applyBorder="1" applyAlignment="1" applyProtection="1">
      <alignment horizontal="center" vertical="center" wrapText="1"/>
      <protection locked="0"/>
    </xf>
    <xf numFmtId="177" fontId="26" fillId="0" borderId="11" xfId="7" applyNumberFormat="1" applyFont="1" applyFill="1" applyBorder="1" applyAlignment="1" applyProtection="1">
      <alignment horizontal="center" vertical="center" wrapText="1"/>
      <protection locked="0"/>
    </xf>
    <xf numFmtId="177" fontId="26" fillId="0" borderId="4" xfId="7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2" fillId="2" borderId="10" xfId="0" applyFont="1" applyFill="1" applyBorder="1" applyAlignment="1">
      <alignment horizontal="center" vertical="center" wrapText="1"/>
    </xf>
    <xf numFmtId="0" fontId="32" fillId="2" borderId="31" xfId="0" applyFont="1" applyFill="1" applyBorder="1" applyAlignment="1">
      <alignment horizontal="center" vertical="center" wrapText="1"/>
    </xf>
    <xf numFmtId="0" fontId="32" fillId="2" borderId="1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182" fontId="10" fillId="5" borderId="14" xfId="0" applyNumberFormat="1" applyFont="1" applyFill="1" applyBorder="1" applyAlignment="1">
      <alignment horizontal="center" vertical="center"/>
    </xf>
    <xf numFmtId="182" fontId="10" fillId="5" borderId="29" xfId="0" applyNumberFormat="1" applyFont="1" applyFill="1" applyBorder="1" applyAlignment="1">
      <alignment horizontal="center" vertical="center"/>
    </xf>
    <xf numFmtId="182" fontId="10" fillId="5" borderId="20" xfId="0" applyNumberFormat="1" applyFont="1" applyFill="1" applyBorder="1" applyAlignment="1">
      <alignment horizontal="center" vertical="center"/>
    </xf>
    <xf numFmtId="182" fontId="10" fillId="4" borderId="6" xfId="0" applyNumberFormat="1" applyFont="1" applyFill="1" applyBorder="1" applyAlignment="1">
      <alignment horizontal="center" vertical="center"/>
    </xf>
    <xf numFmtId="182" fontId="10" fillId="4" borderId="7" xfId="0" applyNumberFormat="1" applyFont="1" applyFill="1" applyBorder="1" applyAlignment="1">
      <alignment horizontal="center" vertical="center"/>
    </xf>
    <xf numFmtId="182" fontId="10" fillId="4" borderId="8" xfId="0" applyNumberFormat="1" applyFont="1" applyFill="1" applyBorder="1" applyAlignment="1">
      <alignment horizontal="center" vertical="center"/>
    </xf>
    <xf numFmtId="182" fontId="10" fillId="5" borderId="6" xfId="0" applyNumberFormat="1" applyFont="1" applyFill="1" applyBorder="1" applyAlignment="1">
      <alignment horizontal="center" vertical="center"/>
    </xf>
    <xf numFmtId="181" fontId="16" fillId="2" borderId="7" xfId="0" applyNumberFormat="1" applyFont="1" applyFill="1" applyBorder="1" applyAlignment="1">
      <alignment horizontal="center" vertical="center"/>
    </xf>
    <xf numFmtId="181" fontId="16" fillId="2" borderId="8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82" fontId="10" fillId="5" borderId="8" xfId="0" applyNumberFormat="1" applyFont="1" applyFill="1" applyBorder="1" applyAlignment="1">
      <alignment horizontal="center" vertical="center"/>
    </xf>
    <xf numFmtId="177" fontId="10" fillId="2" borderId="11" xfId="7" applyNumberFormat="1" applyFont="1" applyFill="1" applyBorder="1" applyAlignment="1" applyProtection="1">
      <alignment horizontal="center" vertical="center" wrapText="1"/>
      <protection locked="0"/>
    </xf>
    <xf numFmtId="177" fontId="10" fillId="2" borderId="4" xfId="7" applyNumberFormat="1" applyFont="1" applyFill="1" applyBorder="1" applyAlignment="1" applyProtection="1">
      <alignment horizontal="center" vertical="center" wrapText="1"/>
      <protection locked="0"/>
    </xf>
    <xf numFmtId="177" fontId="10" fillId="2" borderId="17" xfId="7" applyNumberFormat="1" applyFont="1" applyFill="1" applyBorder="1" applyAlignment="1" applyProtection="1">
      <alignment horizontal="center" vertical="center" wrapText="1"/>
      <protection locked="0"/>
    </xf>
    <xf numFmtId="177" fontId="11" fillId="0" borderId="0" xfId="0" applyNumberFormat="1" applyFont="1" applyAlignment="1">
      <alignment horizontal="left" vertical="center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38" fontId="32" fillId="6" borderId="11" xfId="7" applyNumberFormat="1" applyFont="1" applyFill="1" applyBorder="1" applyAlignment="1" applyProtection="1">
      <alignment horizontal="center" vertical="center" wrapText="1"/>
      <protection locked="0"/>
    </xf>
    <xf numFmtId="38" fontId="32" fillId="6" borderId="4" xfId="7" applyNumberFormat="1" applyFont="1" applyFill="1" applyBorder="1" applyAlignment="1" applyProtection="1">
      <alignment horizontal="center" vertical="center" wrapText="1"/>
      <protection locked="0"/>
    </xf>
    <xf numFmtId="38" fontId="32" fillId="6" borderId="17" xfId="7" applyNumberFormat="1" applyFont="1" applyFill="1" applyBorder="1" applyAlignment="1" applyProtection="1">
      <alignment horizontal="center" vertical="center" wrapText="1"/>
      <protection locked="0"/>
    </xf>
    <xf numFmtId="182" fontId="10" fillId="5" borderId="7" xfId="0" applyNumberFormat="1" applyFont="1" applyFill="1" applyBorder="1" applyAlignment="1">
      <alignment horizontal="center" vertical="center"/>
    </xf>
  </cellXfs>
  <cellStyles count="12">
    <cellStyle name="Normal 2" xfId="2" xr:uid="{C847BA39-DBD0-41CB-9B1B-F99EB391D175}"/>
    <cellStyle name="Normal 2 2" xfId="11" xr:uid="{6D8E18CC-4320-4C54-9B60-79AFCE5EC5FD}"/>
    <cellStyle name="常规" xfId="0" builtinId="0"/>
    <cellStyle name="好" xfId="7" builtinId="26"/>
    <cellStyle name="千位分隔" xfId="1" builtinId="3"/>
    <cellStyle name="一般 10" xfId="10" xr:uid="{59E6E72F-0D21-4A21-A94D-6450CEE530F5}"/>
    <cellStyle name="一般 10 10" xfId="9" xr:uid="{147180C3-3275-47CE-8DBC-276B0E8DF72A}"/>
    <cellStyle name="一般 2" xfId="8" xr:uid="{F1AC7B0D-8822-41CA-AFBD-3819127B4FCA}"/>
    <cellStyle name="一般 2 2" xfId="6" xr:uid="{32A9985B-1792-4AF8-B331-EDB58E5BFB66}"/>
    <cellStyle name="一般 4" xfId="3" xr:uid="{96AC2D1F-82CD-458C-A675-014CD09AE1B8}"/>
    <cellStyle name="一般 5" xfId="5" xr:uid="{567AB27C-1D35-4D44-9F36-83DEB2703392}"/>
    <cellStyle name="一般 6" xfId="4" xr:uid="{3B3DF9B6-7CF4-48F5-90C6-53C3223188D5}"/>
  </cellStyles>
  <dxfs count="3461"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rgb="FFA3B2C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3" tint="0.79998168889431442"/>
        </patternFill>
      </fill>
    </dxf>
    <dxf>
      <fill>
        <patternFill>
          <bgColor rgb="FFA3B2C5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ill>
        <patternFill>
          <bgColor theme="4" tint="0.79998168889431442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rgb="FFA3B2C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3" tint="0.79998168889431442"/>
        </patternFill>
      </fill>
    </dxf>
    <dxf>
      <fill>
        <patternFill>
          <bgColor rgb="FFA3B2C5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rgb="FFA3B2C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  <dxf>
      <fill>
        <patternFill>
          <bgColor rgb="FFCCCCFF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FFCCFF"/>
      <color rgb="FFFFC7CE"/>
      <color rgb="FFFF99FF"/>
      <color rgb="FFFF00FF"/>
      <color rgb="FFA7A3A3"/>
      <color rgb="FFE6B8B7"/>
      <color rgb="FFFFEB9C"/>
      <color rgb="FFAD5BFF"/>
      <color rgb="FF00FFFF"/>
      <color rgb="FFCCD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1440000</xdr:colOff>
      <xdr:row>2</xdr:row>
      <xdr:rowOff>148107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417C95D-9BF2-0625-C02A-7BF5B3727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545" y="0"/>
          <a:ext cx="1440000" cy="745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B7D6-D5EE-4876-BC05-FCBD5167AD69}">
  <sheetPr>
    <tabColor theme="5" tint="0.59999389629810485"/>
    <pageSetUpPr fitToPage="1"/>
  </sheetPr>
  <dimension ref="A1:CR105"/>
  <sheetViews>
    <sheetView tabSelected="1" view="pageBreakPreview" zoomScale="60" zoomScaleNormal="60" workbookViewId="0">
      <pane xSplit="3" ySplit="9" topLeftCell="D28" activePane="bottomRight" state="frozen"/>
      <selection pane="topRight" activeCell="C1" sqref="C1"/>
      <selection pane="bottomLeft" activeCell="A11" sqref="A11"/>
      <selection pane="bottomRight" activeCell="AG49" sqref="AG49"/>
    </sheetView>
  </sheetViews>
  <sheetFormatPr defaultColWidth="8.75" defaultRowHeight="15"/>
  <cols>
    <col min="1" max="1" width="2.625" style="13" customWidth="1"/>
    <col min="2" max="2" width="9" style="13" customWidth="1"/>
    <col min="3" max="3" width="24.625" style="13" customWidth="1"/>
    <col min="4" max="34" width="8.625" style="13" customWidth="1"/>
    <col min="35" max="39" width="9.625" style="13" customWidth="1"/>
    <col min="40" max="40" width="11.125" style="13" customWidth="1"/>
    <col min="41" max="41" width="7.875" style="13" customWidth="1"/>
    <col min="42" max="59" width="9" style="13" customWidth="1"/>
    <col min="60" max="16384" width="8.75" style="13"/>
  </cols>
  <sheetData>
    <row r="1" spans="2:96" s="1" customFormat="1" ht="24" customHeight="1">
      <c r="B1" s="48"/>
      <c r="C1" s="48"/>
      <c r="D1" s="213" t="s">
        <v>0</v>
      </c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175"/>
      <c r="AG1" s="175"/>
      <c r="AH1" s="175"/>
      <c r="AI1" s="48"/>
      <c r="AJ1" s="48"/>
      <c r="AK1" s="48"/>
      <c r="AL1" s="48"/>
      <c r="AM1" s="48"/>
      <c r="AN1" s="48"/>
    </row>
    <row r="2" spans="2:96" s="1" customFormat="1" ht="24" customHeight="1">
      <c r="B2" s="48"/>
      <c r="C2" s="48"/>
      <c r="D2" s="213" t="s">
        <v>1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175"/>
      <c r="AG2" s="175"/>
      <c r="AH2" s="175"/>
      <c r="AI2" s="48"/>
      <c r="AJ2" s="48"/>
      <c r="AK2" s="48"/>
      <c r="AL2" s="48"/>
      <c r="AM2" s="48"/>
      <c r="AN2" s="48"/>
    </row>
    <row r="3" spans="2:96" s="1" customFormat="1" ht="24" customHeight="1">
      <c r="B3" s="100"/>
      <c r="C3" s="100"/>
      <c r="D3" s="214" t="s">
        <v>2</v>
      </c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176"/>
      <c r="AG3" s="176"/>
      <c r="AH3" s="176"/>
      <c r="AI3" s="100"/>
      <c r="AJ3" s="100"/>
      <c r="AK3" s="100"/>
      <c r="AL3" s="100"/>
      <c r="AM3" s="100"/>
      <c r="AN3" s="100"/>
    </row>
    <row r="4" spans="2:96" s="1" customFormat="1" ht="24" customHeight="1">
      <c r="C4" s="3" t="s">
        <v>3</v>
      </c>
      <c r="D4" s="213" t="str">
        <f>YEAR(E7)&amp;"年"&amp;MONTH(E7)&amp;"月清潔出勤及休假記錄 "</f>
        <v xml:space="preserve">2026年3月清潔出勤及休假記錄 </v>
      </c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175"/>
      <c r="AG4" s="175"/>
      <c r="AH4" s="175"/>
      <c r="AI4" s="48"/>
      <c r="AJ4" s="48"/>
      <c r="AK4" s="48"/>
      <c r="AL4" s="48"/>
      <c r="AM4" s="48"/>
      <c r="AN4" s="48"/>
    </row>
    <row r="5" spans="2:96" s="1" customFormat="1" ht="21.75" customHeight="1">
      <c r="C5" s="17" t="s">
        <v>4</v>
      </c>
      <c r="D5" s="235">
        <f>AC49</f>
        <v>3333.25</v>
      </c>
      <c r="E5" s="235"/>
      <c r="F5" s="235"/>
      <c r="Y5" s="43" t="s">
        <v>5</v>
      </c>
    </row>
    <row r="6" spans="2:96" s="1" customFormat="1" ht="27.95" customHeight="1" thickBot="1">
      <c r="B6" s="3" t="s">
        <v>6</v>
      </c>
      <c r="C6" s="3"/>
    </row>
    <row r="7" spans="2:96" s="1" customFormat="1" ht="27.95" customHeight="1">
      <c r="B7" s="236" t="s">
        <v>7</v>
      </c>
      <c r="C7" s="7" t="s">
        <v>8</v>
      </c>
      <c r="D7" s="104">
        <v>46082</v>
      </c>
      <c r="E7" s="56">
        <f>D7+1</f>
        <v>46083</v>
      </c>
      <c r="F7" s="56">
        <f t="shared" ref="F7:AE7" si="0">E7+1</f>
        <v>46084</v>
      </c>
      <c r="G7" s="56">
        <f t="shared" si="0"/>
        <v>46085</v>
      </c>
      <c r="H7" s="56">
        <f t="shared" si="0"/>
        <v>46086</v>
      </c>
      <c r="I7" s="56">
        <f t="shared" si="0"/>
        <v>46087</v>
      </c>
      <c r="J7" s="105">
        <f t="shared" si="0"/>
        <v>46088</v>
      </c>
      <c r="K7" s="117">
        <f t="shared" si="0"/>
        <v>46089</v>
      </c>
      <c r="L7" s="56">
        <f t="shared" si="0"/>
        <v>46090</v>
      </c>
      <c r="M7" s="56">
        <f t="shared" si="0"/>
        <v>46091</v>
      </c>
      <c r="N7" s="56">
        <f t="shared" si="0"/>
        <v>46092</v>
      </c>
      <c r="O7" s="56">
        <f t="shared" si="0"/>
        <v>46093</v>
      </c>
      <c r="P7" s="56">
        <f t="shared" si="0"/>
        <v>46094</v>
      </c>
      <c r="Q7" s="105">
        <f t="shared" si="0"/>
        <v>46095</v>
      </c>
      <c r="R7" s="117">
        <f t="shared" si="0"/>
        <v>46096</v>
      </c>
      <c r="S7" s="56">
        <f>R7+1</f>
        <v>46097</v>
      </c>
      <c r="T7" s="56">
        <f t="shared" si="0"/>
        <v>46098</v>
      </c>
      <c r="U7" s="56">
        <f t="shared" si="0"/>
        <v>46099</v>
      </c>
      <c r="V7" s="56">
        <f t="shared" si="0"/>
        <v>46100</v>
      </c>
      <c r="W7" s="56">
        <f t="shared" si="0"/>
        <v>46101</v>
      </c>
      <c r="X7" s="105">
        <f>W7+1</f>
        <v>46102</v>
      </c>
      <c r="Y7" s="104">
        <f t="shared" si="0"/>
        <v>46103</v>
      </c>
      <c r="Z7" s="56">
        <f t="shared" si="0"/>
        <v>46104</v>
      </c>
      <c r="AA7" s="56">
        <f t="shared" si="0"/>
        <v>46105</v>
      </c>
      <c r="AB7" s="56">
        <f t="shared" si="0"/>
        <v>46106</v>
      </c>
      <c r="AC7" s="56">
        <f t="shared" si="0"/>
        <v>46107</v>
      </c>
      <c r="AD7" s="56">
        <f>AC7+1</f>
        <v>46108</v>
      </c>
      <c r="AE7" s="105">
        <f t="shared" si="0"/>
        <v>46109</v>
      </c>
      <c r="AF7" s="56">
        <f t="shared" ref="AF7" si="1">AE7+1</f>
        <v>46110</v>
      </c>
      <c r="AG7" s="56">
        <f>AF7+1</f>
        <v>46111</v>
      </c>
      <c r="AH7" s="105">
        <f t="shared" ref="AH7" si="2">AG7+1</f>
        <v>46112</v>
      </c>
      <c r="AI7" s="218" t="s">
        <v>9</v>
      </c>
      <c r="AJ7" s="218" t="s">
        <v>10</v>
      </c>
      <c r="AK7" s="218" t="s">
        <v>11</v>
      </c>
      <c r="AL7" s="218" t="s">
        <v>12</v>
      </c>
      <c r="AM7" s="218" t="s">
        <v>97</v>
      </c>
      <c r="AN7" s="218" t="s">
        <v>13</v>
      </c>
      <c r="AO7" s="215" t="s">
        <v>75</v>
      </c>
      <c r="AP7" s="239" t="s">
        <v>76</v>
      </c>
      <c r="AQ7" s="130" t="s">
        <v>77</v>
      </c>
      <c r="AR7" s="204" t="s">
        <v>14</v>
      </c>
      <c r="AS7" s="232" t="s">
        <v>15</v>
      </c>
      <c r="AT7" s="204" t="s">
        <v>16</v>
      </c>
      <c r="AU7" s="204" t="s">
        <v>17</v>
      </c>
      <c r="AV7" s="211" t="s">
        <v>18</v>
      </c>
      <c r="AW7" s="204" t="s">
        <v>19</v>
      </c>
      <c r="AX7" s="204" t="s">
        <v>20</v>
      </c>
      <c r="AY7" s="204" t="s">
        <v>21</v>
      </c>
      <c r="AZ7" s="207" t="s">
        <v>22</v>
      </c>
    </row>
    <row r="8" spans="2:96" s="1" customFormat="1" ht="27.95" hidden="1" customHeight="1">
      <c r="B8" s="237"/>
      <c r="C8" s="101"/>
      <c r="D8" s="106"/>
      <c r="E8" s="107"/>
      <c r="F8" s="107"/>
      <c r="G8" s="107"/>
      <c r="H8" s="107"/>
      <c r="I8" s="107"/>
      <c r="J8" s="109"/>
      <c r="K8" s="118"/>
      <c r="L8" s="107"/>
      <c r="M8" s="107"/>
      <c r="N8" s="107"/>
      <c r="O8" s="107"/>
      <c r="P8" s="107"/>
      <c r="Q8" s="109"/>
      <c r="R8" s="118"/>
      <c r="S8" s="107"/>
      <c r="T8" s="108" t="s">
        <v>74</v>
      </c>
      <c r="U8" s="108" t="s">
        <v>74</v>
      </c>
      <c r="V8" s="108" t="s">
        <v>74</v>
      </c>
      <c r="W8" s="107"/>
      <c r="X8" s="109"/>
      <c r="Y8" s="119"/>
      <c r="Z8" s="107"/>
      <c r="AA8" s="107"/>
      <c r="AB8" s="107"/>
      <c r="AC8" s="107"/>
      <c r="AD8" s="107"/>
      <c r="AE8" s="109"/>
      <c r="AF8" s="107"/>
      <c r="AG8" s="107"/>
      <c r="AH8" s="109"/>
      <c r="AI8" s="219"/>
      <c r="AJ8" s="219"/>
      <c r="AK8" s="219"/>
      <c r="AL8" s="219"/>
      <c r="AM8" s="219"/>
      <c r="AN8" s="219"/>
      <c r="AO8" s="216"/>
      <c r="AP8" s="240"/>
      <c r="AQ8" s="131">
        <v>4</v>
      </c>
      <c r="AR8" s="205"/>
      <c r="AS8" s="233"/>
      <c r="AT8" s="205"/>
      <c r="AU8" s="205"/>
      <c r="AV8" s="212"/>
      <c r="AW8" s="205"/>
      <c r="AX8" s="205"/>
      <c r="AY8" s="205"/>
      <c r="AZ8" s="208"/>
    </row>
    <row r="9" spans="2:96" s="1" customFormat="1" ht="27.95" customHeight="1" thickBot="1">
      <c r="B9" s="238"/>
      <c r="C9" s="8" t="s">
        <v>23</v>
      </c>
      <c r="D9" s="9" t="str">
        <f t="shared" ref="D9:AD9" si="3">SUBSTITUTE(TEXT(D7,"aaa"),"週","")</f>
        <v>日</v>
      </c>
      <c r="E9" s="10" t="str">
        <f t="shared" si="3"/>
        <v>一</v>
      </c>
      <c r="F9" s="10" t="str">
        <f t="shared" si="3"/>
        <v>二</v>
      </c>
      <c r="G9" s="10" t="str">
        <f t="shared" si="3"/>
        <v>三</v>
      </c>
      <c r="H9" s="10" t="str">
        <f t="shared" si="3"/>
        <v>四</v>
      </c>
      <c r="I9" s="10" t="str">
        <f t="shared" si="3"/>
        <v>五</v>
      </c>
      <c r="J9" s="11" t="str">
        <f t="shared" si="3"/>
        <v>六</v>
      </c>
      <c r="K9" s="50" t="str">
        <f t="shared" si="3"/>
        <v>日</v>
      </c>
      <c r="L9" s="10" t="str">
        <f t="shared" si="3"/>
        <v>一</v>
      </c>
      <c r="M9" s="10" t="str">
        <f t="shared" si="3"/>
        <v>二</v>
      </c>
      <c r="N9" s="10" t="str">
        <f t="shared" si="3"/>
        <v>三</v>
      </c>
      <c r="O9" s="10" t="str">
        <f t="shared" si="3"/>
        <v>四</v>
      </c>
      <c r="P9" s="10" t="str">
        <f t="shared" si="3"/>
        <v>五</v>
      </c>
      <c r="Q9" s="11" t="str">
        <f t="shared" si="3"/>
        <v>六</v>
      </c>
      <c r="R9" s="50" t="str">
        <f t="shared" si="3"/>
        <v>日</v>
      </c>
      <c r="S9" s="10" t="str">
        <f t="shared" si="3"/>
        <v>一</v>
      </c>
      <c r="T9" s="10" t="str">
        <f t="shared" si="3"/>
        <v>二</v>
      </c>
      <c r="U9" s="10" t="str">
        <f t="shared" si="3"/>
        <v>三</v>
      </c>
      <c r="V9" s="10" t="str">
        <f t="shared" si="3"/>
        <v>四</v>
      </c>
      <c r="W9" s="10" t="str">
        <f t="shared" si="3"/>
        <v>五</v>
      </c>
      <c r="X9" s="11" t="str">
        <f t="shared" si="3"/>
        <v>六</v>
      </c>
      <c r="Y9" s="9" t="str">
        <f t="shared" si="3"/>
        <v>日</v>
      </c>
      <c r="Z9" s="10" t="str">
        <f t="shared" si="3"/>
        <v>一</v>
      </c>
      <c r="AA9" s="10" t="str">
        <f t="shared" si="3"/>
        <v>二</v>
      </c>
      <c r="AB9" s="10" t="str">
        <f t="shared" si="3"/>
        <v>三</v>
      </c>
      <c r="AC9" s="10" t="str">
        <f t="shared" si="3"/>
        <v>四</v>
      </c>
      <c r="AD9" s="10" t="str">
        <f t="shared" si="3"/>
        <v>五</v>
      </c>
      <c r="AE9" s="11" t="str">
        <f>SUBSTITUTE(TEXT(AE7,"aaa"),"週","")</f>
        <v>六</v>
      </c>
      <c r="AF9" s="10" t="str">
        <f t="shared" ref="AF9:AG9" si="4">SUBSTITUTE(TEXT(AF7,"aaa"),"週","")</f>
        <v>日</v>
      </c>
      <c r="AG9" s="10" t="str">
        <f t="shared" si="4"/>
        <v>一</v>
      </c>
      <c r="AH9" s="11" t="str">
        <f>SUBSTITUTE(TEXT(AH7,"aaa"),"週","")</f>
        <v>二</v>
      </c>
      <c r="AI9" s="220"/>
      <c r="AJ9" s="220"/>
      <c r="AK9" s="220"/>
      <c r="AL9" s="220"/>
      <c r="AM9" s="220"/>
      <c r="AN9" s="220"/>
      <c r="AO9" s="217"/>
      <c r="AP9" s="241"/>
      <c r="AQ9" s="132" t="s">
        <v>78</v>
      </c>
      <c r="AR9" s="210"/>
      <c r="AS9" s="234"/>
      <c r="AT9" s="210"/>
      <c r="AU9" s="206"/>
      <c r="AV9" s="206"/>
      <c r="AW9" s="206"/>
      <c r="AX9" s="206"/>
      <c r="AY9" s="206"/>
      <c r="AZ9" s="209"/>
    </row>
    <row r="10" spans="2:96" s="1" customFormat="1" ht="27" customHeight="1">
      <c r="B10" s="12" t="s">
        <v>24</v>
      </c>
      <c r="C10" s="70" t="s">
        <v>25</v>
      </c>
      <c r="D10" s="110">
        <v>8</v>
      </c>
      <c r="E10" s="111">
        <v>8</v>
      </c>
      <c r="F10" s="111">
        <v>8</v>
      </c>
      <c r="G10" s="111">
        <v>8</v>
      </c>
      <c r="H10" s="111">
        <v>8</v>
      </c>
      <c r="I10" s="111">
        <v>8</v>
      </c>
      <c r="J10" s="112">
        <v>8</v>
      </c>
      <c r="K10" s="113">
        <v>8</v>
      </c>
      <c r="L10" s="111">
        <v>8</v>
      </c>
      <c r="M10" s="111">
        <v>8</v>
      </c>
      <c r="N10" s="111">
        <v>8</v>
      </c>
      <c r="O10" s="111">
        <v>8</v>
      </c>
      <c r="P10" s="111">
        <v>8</v>
      </c>
      <c r="Q10" s="114">
        <v>8</v>
      </c>
      <c r="R10" s="113">
        <v>8</v>
      </c>
      <c r="S10" s="111" t="s">
        <v>82</v>
      </c>
      <c r="T10" s="111">
        <v>8</v>
      </c>
      <c r="U10" s="111">
        <v>8</v>
      </c>
      <c r="V10" s="111">
        <v>8</v>
      </c>
      <c r="W10" s="111">
        <v>8</v>
      </c>
      <c r="X10" s="112">
        <v>8</v>
      </c>
      <c r="Y10" s="110">
        <v>8</v>
      </c>
      <c r="Z10" s="111">
        <v>8</v>
      </c>
      <c r="AA10" s="111">
        <v>8</v>
      </c>
      <c r="AB10" s="111">
        <v>8</v>
      </c>
      <c r="AC10" s="111">
        <v>8</v>
      </c>
      <c r="AD10" s="115">
        <v>8</v>
      </c>
      <c r="AE10" s="112" t="s">
        <v>82</v>
      </c>
      <c r="AF10" s="111">
        <v>8</v>
      </c>
      <c r="AG10" s="115">
        <v>8</v>
      </c>
      <c r="AH10" s="112" t="s">
        <v>82</v>
      </c>
      <c r="AI10" s="20">
        <f>SUM(D10:J10)</f>
        <v>56</v>
      </c>
      <c r="AJ10" s="20">
        <f>SUM(K10:Q10)</f>
        <v>56</v>
      </c>
      <c r="AK10" s="20">
        <f>SUM(R10:X10)</f>
        <v>48</v>
      </c>
      <c r="AL10" s="20">
        <f>SUM(Y10:AE10)</f>
        <v>48</v>
      </c>
      <c r="AM10" s="20">
        <f>SUM(AF10:AH10)</f>
        <v>16</v>
      </c>
      <c r="AN10" s="20">
        <f>SUM(AI10:AM10)</f>
        <v>224</v>
      </c>
      <c r="AO10" s="142">
        <f>COUNTIFS(D10:AE10,"&gt;=4",D10:AE10,"&lt;=10")</f>
        <v>26</v>
      </c>
      <c r="AP10" s="143"/>
      <c r="AQ10" s="144">
        <f>$AQ$8</f>
        <v>4</v>
      </c>
      <c r="AR10" s="145">
        <f>COUNTIF(D10:AE10,"RD")</f>
        <v>0</v>
      </c>
      <c r="AS10" s="146">
        <f>AQ10-AR10</f>
        <v>4</v>
      </c>
      <c r="AT10" s="145">
        <f>COUNTIF(C10:AE10,"AL")</f>
        <v>0</v>
      </c>
      <c r="AU10" s="145">
        <f>COUNTIF(D10:AE10,"NP")</f>
        <v>0</v>
      </c>
      <c r="AV10" s="145">
        <f>COUNTIF(C10:AE10,"SL")</f>
        <v>0</v>
      </c>
      <c r="AW10" s="145">
        <f>COUNTIF(D10:AE10,"NS")</f>
        <v>0</v>
      </c>
      <c r="AX10" s="145">
        <f>COUNTIF(C10:AE10,"SH")</f>
        <v>0</v>
      </c>
      <c r="AY10" s="145">
        <f>COUNTIF(D10:AE10,"NSH")</f>
        <v>2</v>
      </c>
      <c r="AZ10" s="147">
        <f>COUNTIF(D10:AE10,"NC")</f>
        <v>0</v>
      </c>
    </row>
    <row r="11" spans="2:96" s="1" customFormat="1" ht="27.95" customHeight="1" thickBot="1">
      <c r="B11" s="14" t="s">
        <v>34</v>
      </c>
      <c r="C11" s="116" t="s">
        <v>35</v>
      </c>
      <c r="D11" s="99" t="s">
        <v>72</v>
      </c>
      <c r="E11" s="90" t="s">
        <v>72</v>
      </c>
      <c r="F11" s="90" t="s">
        <v>72</v>
      </c>
      <c r="G11" s="90" t="s">
        <v>72</v>
      </c>
      <c r="H11" s="90" t="s">
        <v>72</v>
      </c>
      <c r="I11" s="90" t="s">
        <v>72</v>
      </c>
      <c r="J11" s="62" t="s">
        <v>72</v>
      </c>
      <c r="K11" s="61" t="s">
        <v>72</v>
      </c>
      <c r="L11" s="90" t="s">
        <v>72</v>
      </c>
      <c r="M11" s="90" t="s">
        <v>72</v>
      </c>
      <c r="N11" s="90" t="s">
        <v>72</v>
      </c>
      <c r="O11" s="90" t="s">
        <v>72</v>
      </c>
      <c r="P11" s="90" t="s">
        <v>72</v>
      </c>
      <c r="Q11" s="62" t="s">
        <v>72</v>
      </c>
      <c r="R11" s="61" t="s">
        <v>72</v>
      </c>
      <c r="S11" s="90">
        <v>8</v>
      </c>
      <c r="T11" s="90" t="s">
        <v>72</v>
      </c>
      <c r="U11" s="83" t="s">
        <v>82</v>
      </c>
      <c r="V11" s="90" t="s">
        <v>72</v>
      </c>
      <c r="W11" s="90" t="s">
        <v>72</v>
      </c>
      <c r="X11" s="91" t="s">
        <v>82</v>
      </c>
      <c r="Y11" s="139" t="s">
        <v>72</v>
      </c>
      <c r="Z11" s="102" t="s">
        <v>72</v>
      </c>
      <c r="AA11" s="102" t="s">
        <v>72</v>
      </c>
      <c r="AB11" s="140" t="s">
        <v>82</v>
      </c>
      <c r="AC11" s="102" t="s">
        <v>72</v>
      </c>
      <c r="AD11" s="102" t="s">
        <v>72</v>
      </c>
      <c r="AE11" s="141">
        <v>8</v>
      </c>
      <c r="AF11" s="102" t="s">
        <v>72</v>
      </c>
      <c r="AG11" s="102" t="s">
        <v>72</v>
      </c>
      <c r="AH11" s="141">
        <v>8</v>
      </c>
      <c r="AI11" s="126">
        <f>SUM(D11:J11)</f>
        <v>0</v>
      </c>
      <c r="AJ11" s="126">
        <f>SUM(K11:Q11)</f>
        <v>0</v>
      </c>
      <c r="AK11" s="126">
        <f>SUM(R11:X11)</f>
        <v>8</v>
      </c>
      <c r="AL11" s="126">
        <f>SUM(Y11:AE11)</f>
        <v>8</v>
      </c>
      <c r="AM11" s="126">
        <f>SUM(AF11:AH11)</f>
        <v>8</v>
      </c>
      <c r="AN11" s="126">
        <f>SUM(AI11:AM11)</f>
        <v>24</v>
      </c>
      <c r="AO11" s="148">
        <f>COUNTIFS(D11:AE11,"&gt;=4",D11:AE11,"&lt;=10")</f>
        <v>2</v>
      </c>
      <c r="AP11" s="149"/>
      <c r="AQ11" s="150">
        <f t="shared" ref="AQ11" si="5">$AQ$8</f>
        <v>4</v>
      </c>
      <c r="AR11" s="151">
        <f>COUNTIF(D11:AE11,"RD")</f>
        <v>0</v>
      </c>
      <c r="AS11" s="152">
        <f t="shared" ref="AS11" si="6">AQ11-AR11</f>
        <v>4</v>
      </c>
      <c r="AT11" s="151">
        <f>COUNTIF(C11:AE11,"AL")</f>
        <v>0</v>
      </c>
      <c r="AU11" s="151">
        <f>COUNTIF(D11:AE11,"NP")</f>
        <v>0</v>
      </c>
      <c r="AV11" s="151">
        <f>COUNTIF(C11:AE11,"SL")</f>
        <v>0</v>
      </c>
      <c r="AW11" s="151">
        <f>COUNTIF(D11:AE11,"NS")</f>
        <v>0</v>
      </c>
      <c r="AX11" s="151">
        <f>COUNTIF(C11:AE11,"SH")</f>
        <v>0</v>
      </c>
      <c r="AY11" s="151">
        <f>COUNTIF(D11:AE11,"NSH")</f>
        <v>3</v>
      </c>
      <c r="AZ11" s="153">
        <f>COUNTIF(D11:AE11,"NC")</f>
        <v>0</v>
      </c>
    </row>
    <row r="12" spans="2:96" s="1" customFormat="1" ht="27.95" customHeight="1" thickBot="1">
      <c r="B12" s="202" t="s">
        <v>27</v>
      </c>
      <c r="C12" s="203"/>
      <c r="D12" s="46">
        <f t="shared" ref="D12:AE12" si="7">SUM(D10:D11)</f>
        <v>8</v>
      </c>
      <c r="E12" s="47">
        <f t="shared" si="7"/>
        <v>8</v>
      </c>
      <c r="F12" s="47">
        <f t="shared" si="7"/>
        <v>8</v>
      </c>
      <c r="G12" s="47">
        <f t="shared" si="7"/>
        <v>8</v>
      </c>
      <c r="H12" s="47">
        <f t="shared" si="7"/>
        <v>8</v>
      </c>
      <c r="I12" s="47">
        <f t="shared" si="7"/>
        <v>8</v>
      </c>
      <c r="J12" s="15">
        <f t="shared" si="7"/>
        <v>8</v>
      </c>
      <c r="K12" s="51">
        <f t="shared" si="7"/>
        <v>8</v>
      </c>
      <c r="L12" s="47">
        <f t="shared" si="7"/>
        <v>8</v>
      </c>
      <c r="M12" s="47">
        <f t="shared" si="7"/>
        <v>8</v>
      </c>
      <c r="N12" s="47">
        <f t="shared" si="7"/>
        <v>8</v>
      </c>
      <c r="O12" s="47">
        <f t="shared" si="7"/>
        <v>8</v>
      </c>
      <c r="P12" s="47">
        <f t="shared" si="7"/>
        <v>8</v>
      </c>
      <c r="Q12" s="15">
        <f t="shared" si="7"/>
        <v>8</v>
      </c>
      <c r="R12" s="51">
        <f t="shared" si="7"/>
        <v>8</v>
      </c>
      <c r="S12" s="47">
        <f t="shared" si="7"/>
        <v>8</v>
      </c>
      <c r="T12" s="47">
        <f t="shared" si="7"/>
        <v>8</v>
      </c>
      <c r="U12" s="47">
        <f t="shared" si="7"/>
        <v>8</v>
      </c>
      <c r="V12" s="47">
        <f t="shared" si="7"/>
        <v>8</v>
      </c>
      <c r="W12" s="47">
        <f t="shared" si="7"/>
        <v>8</v>
      </c>
      <c r="X12" s="15">
        <f t="shared" si="7"/>
        <v>8</v>
      </c>
      <c r="Y12" s="84">
        <f t="shared" si="7"/>
        <v>8</v>
      </c>
      <c r="Z12" s="85">
        <f t="shared" si="7"/>
        <v>8</v>
      </c>
      <c r="AA12" s="85">
        <f t="shared" si="7"/>
        <v>8</v>
      </c>
      <c r="AB12" s="85">
        <f t="shared" si="7"/>
        <v>8</v>
      </c>
      <c r="AC12" s="85">
        <f t="shared" si="7"/>
        <v>8</v>
      </c>
      <c r="AD12" s="85">
        <f t="shared" si="7"/>
        <v>8</v>
      </c>
      <c r="AE12" s="86">
        <f t="shared" si="7"/>
        <v>8</v>
      </c>
      <c r="AF12" s="85">
        <f t="shared" ref="AF12:AH12" si="8">SUM(AF10:AF11)</f>
        <v>8</v>
      </c>
      <c r="AG12" s="85">
        <f t="shared" si="8"/>
        <v>8</v>
      </c>
      <c r="AH12" s="86">
        <f t="shared" si="8"/>
        <v>8</v>
      </c>
      <c r="AI12" s="16">
        <f>SUM(D12:J12)</f>
        <v>56</v>
      </c>
      <c r="AJ12" s="16">
        <f>SUM(K12:Q12)</f>
        <v>56</v>
      </c>
      <c r="AK12" s="16">
        <f>SUM(R12:X12)</f>
        <v>56</v>
      </c>
      <c r="AL12" s="16">
        <f>SUM(Y12:AE12)</f>
        <v>56</v>
      </c>
      <c r="AM12" s="16">
        <f>SUM(AF12:AH12)</f>
        <v>24</v>
      </c>
      <c r="AN12" s="173">
        <f>SUM(AI12:AM12)</f>
        <v>248</v>
      </c>
      <c r="AR12" s="32"/>
    </row>
    <row r="13" spans="2:96" s="1" customFormat="1" ht="30" customHeight="1" thickBot="1">
      <c r="B13" s="191" t="s">
        <v>88</v>
      </c>
      <c r="C13" s="192"/>
      <c r="D13" s="221">
        <f>SUM(D12:J12)</f>
        <v>56</v>
      </c>
      <c r="E13" s="222"/>
      <c r="F13" s="222"/>
      <c r="G13" s="222"/>
      <c r="H13" s="222"/>
      <c r="I13" s="222"/>
      <c r="J13" s="223"/>
      <c r="K13" s="222">
        <f>SUM(K12:Q12)</f>
        <v>56</v>
      </c>
      <c r="L13" s="222"/>
      <c r="M13" s="222"/>
      <c r="N13" s="222"/>
      <c r="O13" s="222"/>
      <c r="P13" s="222"/>
      <c r="Q13" s="222"/>
      <c r="R13" s="221">
        <f>SUM(R12:X12)</f>
        <v>56</v>
      </c>
      <c r="S13" s="222"/>
      <c r="T13" s="222"/>
      <c r="U13" s="222"/>
      <c r="V13" s="222"/>
      <c r="W13" s="222"/>
      <c r="X13" s="223"/>
      <c r="Y13" s="221">
        <f>SUM(Y12:AE12)</f>
        <v>56</v>
      </c>
      <c r="Z13" s="222"/>
      <c r="AA13" s="222"/>
      <c r="AB13" s="222"/>
      <c r="AC13" s="222"/>
      <c r="AD13" s="222"/>
      <c r="AE13" s="223"/>
      <c r="AF13" s="227">
        <f>SUM(AF12:AH12)</f>
        <v>24</v>
      </c>
      <c r="AG13" s="231"/>
      <c r="AH13" s="231"/>
      <c r="AI13" s="227">
        <f>SUM(D13:AH13)</f>
        <v>248</v>
      </c>
      <c r="AJ13" s="242"/>
      <c r="AK13" s="242"/>
      <c r="AL13" s="242"/>
      <c r="AM13" s="231"/>
      <c r="AN13" s="180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33"/>
      <c r="CG13" s="33"/>
      <c r="CH13" s="13"/>
      <c r="CI13" s="13"/>
      <c r="CJ13" s="13"/>
      <c r="CK13" s="33"/>
      <c r="CL13" s="33"/>
      <c r="CM13" s="13"/>
      <c r="CN13" s="13"/>
      <c r="CO13" s="13"/>
      <c r="CP13" s="13"/>
      <c r="CQ13" s="13"/>
      <c r="CR13" s="13"/>
    </row>
    <row r="14" spans="2:96" s="1" customFormat="1" ht="27.95" customHeight="1" thickBot="1">
      <c r="B14" s="196" t="s">
        <v>89</v>
      </c>
      <c r="C14" s="197"/>
      <c r="D14" s="224">
        <f>8*7</f>
        <v>56</v>
      </c>
      <c r="E14" s="225"/>
      <c r="F14" s="225"/>
      <c r="G14" s="225"/>
      <c r="H14" s="225"/>
      <c r="I14" s="225"/>
      <c r="J14" s="226"/>
      <c r="K14" s="224">
        <f>8*7</f>
        <v>56</v>
      </c>
      <c r="L14" s="225"/>
      <c r="M14" s="225"/>
      <c r="N14" s="225"/>
      <c r="O14" s="225"/>
      <c r="P14" s="225"/>
      <c r="Q14" s="226"/>
      <c r="R14" s="224">
        <f>8*7</f>
        <v>56</v>
      </c>
      <c r="S14" s="225"/>
      <c r="T14" s="225"/>
      <c r="U14" s="225"/>
      <c r="V14" s="225"/>
      <c r="W14" s="225"/>
      <c r="X14" s="226"/>
      <c r="Y14" s="224">
        <f>8*7</f>
        <v>56</v>
      </c>
      <c r="Z14" s="225"/>
      <c r="AA14" s="225"/>
      <c r="AB14" s="225"/>
      <c r="AC14" s="225"/>
      <c r="AD14" s="225"/>
      <c r="AE14" s="226"/>
      <c r="AF14" s="224">
        <f>Y14/7*COUNT(AF12:AH12)</f>
        <v>24</v>
      </c>
      <c r="AG14" s="226"/>
      <c r="AH14" s="226"/>
      <c r="AI14" s="224">
        <f>SUM(D14:AH14)</f>
        <v>248</v>
      </c>
      <c r="AJ14" s="225"/>
      <c r="AK14" s="225"/>
      <c r="AL14" s="225"/>
      <c r="AM14" s="226"/>
      <c r="AN14" s="180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33"/>
      <c r="CG14" s="33"/>
      <c r="CH14" s="13"/>
      <c r="CI14" s="13"/>
      <c r="CJ14" s="13"/>
      <c r="CK14" s="33"/>
      <c r="CL14" s="33"/>
      <c r="CM14" s="13"/>
      <c r="CN14" s="13"/>
      <c r="CO14" s="13"/>
      <c r="CP14" s="13"/>
      <c r="CQ14" s="13"/>
      <c r="CR14" s="13"/>
    </row>
    <row r="15" spans="2:96" s="1" customFormat="1" ht="27.95" customHeight="1" thickBot="1">
      <c r="B15" s="188" t="s">
        <v>92</v>
      </c>
      <c r="C15" s="189"/>
      <c r="D15" s="182">
        <f>D13-D14</f>
        <v>0</v>
      </c>
      <c r="E15" s="190"/>
      <c r="F15" s="190"/>
      <c r="G15" s="190"/>
      <c r="H15" s="190"/>
      <c r="I15" s="190"/>
      <c r="J15" s="183"/>
      <c r="K15" s="182">
        <f>K13-K14</f>
        <v>0</v>
      </c>
      <c r="L15" s="190"/>
      <c r="M15" s="190"/>
      <c r="N15" s="190"/>
      <c r="O15" s="190"/>
      <c r="P15" s="190"/>
      <c r="Q15" s="183"/>
      <c r="R15" s="182">
        <f>R13-R14</f>
        <v>0</v>
      </c>
      <c r="S15" s="190"/>
      <c r="T15" s="190"/>
      <c r="U15" s="190"/>
      <c r="V15" s="190"/>
      <c r="W15" s="190"/>
      <c r="X15" s="183"/>
      <c r="Y15" s="182">
        <f>Y13-Y14</f>
        <v>0</v>
      </c>
      <c r="Z15" s="190"/>
      <c r="AA15" s="190"/>
      <c r="AB15" s="190"/>
      <c r="AC15" s="190"/>
      <c r="AD15" s="190"/>
      <c r="AE15" s="183"/>
      <c r="AF15" s="182">
        <f>AF13-AF14</f>
        <v>0</v>
      </c>
      <c r="AG15" s="183"/>
      <c r="AH15" s="183"/>
      <c r="AI15" s="182">
        <f>SUM(D15:AH15)</f>
        <v>0</v>
      </c>
      <c r="AJ15" s="190"/>
      <c r="AK15" s="190"/>
      <c r="AL15" s="190"/>
      <c r="AM15" s="183"/>
      <c r="AN15" s="180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33"/>
      <c r="CG15" s="33"/>
      <c r="CH15" s="13"/>
      <c r="CI15" s="13"/>
      <c r="CJ15" s="13"/>
      <c r="CK15" s="33"/>
      <c r="CL15" s="33"/>
      <c r="CM15" s="13"/>
      <c r="CN15" s="13"/>
      <c r="CO15" s="13"/>
      <c r="CP15" s="13"/>
      <c r="CQ15" s="13"/>
      <c r="CR15" s="13"/>
    </row>
    <row r="16" spans="2:96" s="1" customFormat="1" ht="14.25" customHeight="1"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9"/>
      <c r="AJ16" s="19"/>
      <c r="AK16" s="19"/>
      <c r="AL16" s="19"/>
      <c r="AM16" s="19"/>
      <c r="AN16" s="36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33"/>
      <c r="CG16" s="33"/>
      <c r="CH16" s="13"/>
      <c r="CI16" s="13"/>
      <c r="CJ16" s="13"/>
      <c r="CK16" s="33"/>
      <c r="CL16" s="33"/>
      <c r="CM16" s="13"/>
      <c r="CN16" s="13"/>
      <c r="CO16" s="13"/>
      <c r="CP16" s="13"/>
      <c r="CQ16" s="13"/>
      <c r="CR16" s="13"/>
    </row>
    <row r="17" spans="1:96" s="1" customFormat="1" ht="27.95" customHeight="1" thickBot="1">
      <c r="B17" s="3" t="s">
        <v>29</v>
      </c>
      <c r="C17" s="3"/>
      <c r="AR17" s="32"/>
    </row>
    <row r="18" spans="1:96" s="1" customFormat="1" ht="27.95" customHeight="1">
      <c r="B18" s="64" t="s">
        <v>30</v>
      </c>
      <c r="C18" s="103" t="s">
        <v>31</v>
      </c>
      <c r="D18" s="65">
        <v>7.75</v>
      </c>
      <c r="E18" s="82">
        <v>7.75</v>
      </c>
      <c r="F18" s="82">
        <v>7.75</v>
      </c>
      <c r="G18" s="82">
        <v>7.75</v>
      </c>
      <c r="H18" s="82">
        <v>7.75</v>
      </c>
      <c r="I18" s="82">
        <v>7.75</v>
      </c>
      <c r="J18" s="94">
        <v>7.75</v>
      </c>
      <c r="K18" s="93">
        <v>7.75</v>
      </c>
      <c r="L18" s="82">
        <v>7.75</v>
      </c>
      <c r="M18" s="82">
        <v>7.75</v>
      </c>
      <c r="N18" s="82">
        <v>7.75</v>
      </c>
      <c r="O18" s="82">
        <v>7.75</v>
      </c>
      <c r="P18" s="82">
        <v>2.75</v>
      </c>
      <c r="Q18" s="94">
        <v>7.75</v>
      </c>
      <c r="R18" s="57" t="s">
        <v>82</v>
      </c>
      <c r="S18" s="60" t="s">
        <v>82</v>
      </c>
      <c r="T18" s="58" t="s">
        <v>82</v>
      </c>
      <c r="U18" s="58" t="s">
        <v>66</v>
      </c>
      <c r="V18" s="58" t="s">
        <v>66</v>
      </c>
      <c r="W18" s="58" t="s">
        <v>66</v>
      </c>
      <c r="X18" s="94">
        <v>7.75</v>
      </c>
      <c r="Y18" s="93">
        <v>7.75</v>
      </c>
      <c r="Z18" s="82">
        <v>7.75</v>
      </c>
      <c r="AA18" s="82">
        <v>2.75</v>
      </c>
      <c r="AB18" s="82">
        <v>7.75</v>
      </c>
      <c r="AC18" s="82">
        <v>7.75</v>
      </c>
      <c r="AD18" s="82">
        <v>2.75</v>
      </c>
      <c r="AE18" s="94">
        <v>7.75</v>
      </c>
      <c r="AF18" s="82">
        <v>7.75</v>
      </c>
      <c r="AG18" s="82">
        <v>2.75</v>
      </c>
      <c r="AH18" s="94">
        <v>7.75</v>
      </c>
      <c r="AI18" s="64">
        <f t="shared" ref="AI18:AI35" si="9">SUM(D18:J18)</f>
        <v>54.25</v>
      </c>
      <c r="AJ18" s="65">
        <f t="shared" ref="AJ18:AJ35" si="10">SUM(K18:Q18)</f>
        <v>49.25</v>
      </c>
      <c r="AK18" s="65">
        <f t="shared" ref="AK18:AK34" si="11">SUM(R18:X18)</f>
        <v>7.75</v>
      </c>
      <c r="AL18" s="65">
        <f t="shared" ref="AL18:AL34" si="12">SUM(Y18:AE18)</f>
        <v>44.25</v>
      </c>
      <c r="AM18" s="64">
        <f t="shared" ref="AM18:AM34" si="13">SUM(AF18:AH18)</f>
        <v>18.25</v>
      </c>
      <c r="AN18" s="154">
        <f t="shared" ref="AN18:AN34" si="14">SUM(AI18:AM18)</f>
        <v>173.75</v>
      </c>
      <c r="AO18" s="142">
        <f t="shared" ref="AO18:AO34" si="15">COUNTIFS(D18:AE18,"&gt;=4",D18:AE18,"&lt;=10")</f>
        <v>19</v>
      </c>
      <c r="AP18" s="143"/>
      <c r="AQ18" s="144">
        <f t="shared" ref="AQ18:AQ34" si="16">$AQ$8</f>
        <v>4</v>
      </c>
      <c r="AR18" s="145">
        <f t="shared" ref="AR18:AR34" si="17">COUNTIF(D18:AE18,"RD")</f>
        <v>3</v>
      </c>
      <c r="AS18" s="146">
        <f t="shared" ref="AS18:AS34" si="18">AQ18-AR18</f>
        <v>1</v>
      </c>
      <c r="AT18" s="145">
        <f t="shared" ref="AT18:AT34" si="19">COUNTIF(C18:AE18,"AL")</f>
        <v>0</v>
      </c>
      <c r="AU18" s="145">
        <f t="shared" ref="AU18:AU34" si="20">COUNTIF(D18:AE18,"NP")</f>
        <v>0</v>
      </c>
      <c r="AV18" s="145">
        <f t="shared" ref="AV18:AV34" si="21">COUNTIF(C18:AE18,"SL")</f>
        <v>0</v>
      </c>
      <c r="AW18" s="145">
        <f t="shared" ref="AW18:AW34" si="22">COUNTIF(D18:AE18,"NS")</f>
        <v>0</v>
      </c>
      <c r="AX18" s="145">
        <f t="shared" ref="AX18:AX34" si="23">COUNTIF(C18:AE18,"SH")</f>
        <v>0</v>
      </c>
      <c r="AY18" s="145">
        <f t="shared" ref="AY18:AY34" si="24">COUNTIF(D18:AE18,"NSH")</f>
        <v>3</v>
      </c>
      <c r="AZ18" s="147">
        <f t="shared" ref="AZ18:AZ34" si="25">COUNTIF(D18:AE18,"NC")</f>
        <v>0</v>
      </c>
    </row>
    <row r="19" spans="1:96" s="31" customFormat="1" ht="27.95" customHeight="1">
      <c r="B19" s="21" t="s">
        <v>32</v>
      </c>
      <c r="C19" s="63" t="s">
        <v>33</v>
      </c>
      <c r="D19" s="22">
        <v>8</v>
      </c>
      <c r="E19" s="77">
        <v>8</v>
      </c>
      <c r="F19" s="77">
        <v>8</v>
      </c>
      <c r="G19" s="77">
        <v>8</v>
      </c>
      <c r="H19" s="77">
        <v>8</v>
      </c>
      <c r="I19" s="77" t="s">
        <v>82</v>
      </c>
      <c r="J19" s="89" t="s">
        <v>82</v>
      </c>
      <c r="K19" s="88">
        <v>8</v>
      </c>
      <c r="L19" s="77">
        <v>8</v>
      </c>
      <c r="M19" s="77">
        <v>8</v>
      </c>
      <c r="N19" s="77">
        <v>8</v>
      </c>
      <c r="O19" s="77">
        <v>8</v>
      </c>
      <c r="P19" s="77">
        <v>8</v>
      </c>
      <c r="Q19" s="89">
        <v>8</v>
      </c>
      <c r="R19" s="88">
        <v>7.75</v>
      </c>
      <c r="S19" s="77">
        <v>7.75</v>
      </c>
      <c r="T19" s="77">
        <v>7.75</v>
      </c>
      <c r="U19" s="77">
        <v>7.75</v>
      </c>
      <c r="V19" s="77">
        <v>7.75</v>
      </c>
      <c r="W19" s="77">
        <v>7.75</v>
      </c>
      <c r="X19" s="89">
        <v>8</v>
      </c>
      <c r="Y19" s="88" t="s">
        <v>82</v>
      </c>
      <c r="Z19" s="77">
        <v>8</v>
      </c>
      <c r="AA19" s="77">
        <v>8</v>
      </c>
      <c r="AB19" s="77">
        <v>8</v>
      </c>
      <c r="AC19" s="77">
        <v>8</v>
      </c>
      <c r="AD19" s="77">
        <v>8</v>
      </c>
      <c r="AE19" s="89">
        <v>8</v>
      </c>
      <c r="AF19" s="77">
        <v>8</v>
      </c>
      <c r="AG19" s="77">
        <v>8</v>
      </c>
      <c r="AH19" s="89">
        <v>8</v>
      </c>
      <c r="AI19" s="177">
        <f t="shared" si="9"/>
        <v>40</v>
      </c>
      <c r="AJ19" s="23">
        <f t="shared" si="10"/>
        <v>56</v>
      </c>
      <c r="AK19" s="156">
        <f t="shared" si="11"/>
        <v>54.5</v>
      </c>
      <c r="AL19" s="156">
        <f t="shared" si="12"/>
        <v>48</v>
      </c>
      <c r="AM19" s="177">
        <f t="shared" si="13"/>
        <v>24</v>
      </c>
      <c r="AN19" s="155">
        <f t="shared" si="14"/>
        <v>222.5</v>
      </c>
      <c r="AO19" s="133">
        <f t="shared" si="15"/>
        <v>25</v>
      </c>
      <c r="AP19" s="134"/>
      <c r="AQ19" s="135">
        <f t="shared" si="16"/>
        <v>4</v>
      </c>
      <c r="AR19" s="136">
        <f t="shared" si="17"/>
        <v>0</v>
      </c>
      <c r="AS19" s="137">
        <f t="shared" si="18"/>
        <v>4</v>
      </c>
      <c r="AT19" s="136">
        <f t="shared" si="19"/>
        <v>0</v>
      </c>
      <c r="AU19" s="136">
        <f t="shared" si="20"/>
        <v>0</v>
      </c>
      <c r="AV19" s="136">
        <f t="shared" si="21"/>
        <v>0</v>
      </c>
      <c r="AW19" s="136">
        <f t="shared" si="22"/>
        <v>0</v>
      </c>
      <c r="AX19" s="136">
        <f t="shared" si="23"/>
        <v>0</v>
      </c>
      <c r="AY19" s="136">
        <f t="shared" si="24"/>
        <v>3</v>
      </c>
      <c r="AZ19" s="138">
        <f t="shared" si="25"/>
        <v>0</v>
      </c>
    </row>
    <row r="20" spans="1:96" s="31" customFormat="1" ht="27.95" customHeight="1">
      <c r="B20" s="21" t="s">
        <v>34</v>
      </c>
      <c r="C20" s="63" t="s">
        <v>35</v>
      </c>
      <c r="D20" s="22">
        <v>8</v>
      </c>
      <c r="E20" s="77">
        <v>8</v>
      </c>
      <c r="F20" s="77">
        <v>8</v>
      </c>
      <c r="G20" s="77">
        <v>8</v>
      </c>
      <c r="H20" s="77">
        <v>8</v>
      </c>
      <c r="I20" s="77">
        <v>8</v>
      </c>
      <c r="J20" s="89">
        <v>8</v>
      </c>
      <c r="K20" s="88">
        <v>8</v>
      </c>
      <c r="L20" s="77">
        <v>8</v>
      </c>
      <c r="M20" s="77">
        <v>8</v>
      </c>
      <c r="N20" s="77">
        <v>8</v>
      </c>
      <c r="O20" s="77">
        <v>8</v>
      </c>
      <c r="P20" s="77">
        <v>8</v>
      </c>
      <c r="Q20" s="89">
        <v>8</v>
      </c>
      <c r="R20" s="88">
        <v>8</v>
      </c>
      <c r="S20" s="77" t="s">
        <v>71</v>
      </c>
      <c r="T20" s="77">
        <v>8</v>
      </c>
      <c r="U20" s="77" t="s">
        <v>82</v>
      </c>
      <c r="V20" s="77">
        <v>8</v>
      </c>
      <c r="W20" s="77">
        <v>8</v>
      </c>
      <c r="X20" s="89" t="s">
        <v>82</v>
      </c>
      <c r="Y20" s="88">
        <v>8</v>
      </c>
      <c r="Z20" s="77">
        <v>8</v>
      </c>
      <c r="AA20" s="77">
        <v>8</v>
      </c>
      <c r="AB20" s="77" t="s">
        <v>82</v>
      </c>
      <c r="AC20" s="77">
        <v>8</v>
      </c>
      <c r="AD20" s="77">
        <v>8</v>
      </c>
      <c r="AE20" s="89" t="s">
        <v>71</v>
      </c>
      <c r="AF20" s="77">
        <v>8</v>
      </c>
      <c r="AG20" s="77">
        <v>8</v>
      </c>
      <c r="AH20" s="89" t="s">
        <v>71</v>
      </c>
      <c r="AI20" s="177">
        <f t="shared" si="9"/>
        <v>56</v>
      </c>
      <c r="AJ20" s="23">
        <f t="shared" si="10"/>
        <v>56</v>
      </c>
      <c r="AK20" s="23">
        <f t="shared" si="11"/>
        <v>32</v>
      </c>
      <c r="AL20" s="23">
        <f t="shared" si="12"/>
        <v>40</v>
      </c>
      <c r="AM20" s="177">
        <f t="shared" si="13"/>
        <v>16</v>
      </c>
      <c r="AN20" s="42">
        <f t="shared" si="14"/>
        <v>200</v>
      </c>
      <c r="AO20" s="133">
        <f t="shared" si="15"/>
        <v>23</v>
      </c>
      <c r="AP20" s="134"/>
      <c r="AQ20" s="135">
        <f t="shared" si="16"/>
        <v>4</v>
      </c>
      <c r="AR20" s="136">
        <f t="shared" si="17"/>
        <v>0</v>
      </c>
      <c r="AS20" s="137">
        <f t="shared" si="18"/>
        <v>4</v>
      </c>
      <c r="AT20" s="136">
        <f t="shared" si="19"/>
        <v>0</v>
      </c>
      <c r="AU20" s="136">
        <f t="shared" si="20"/>
        <v>0</v>
      </c>
      <c r="AV20" s="136">
        <f t="shared" si="21"/>
        <v>0</v>
      </c>
      <c r="AW20" s="136">
        <f t="shared" si="22"/>
        <v>0</v>
      </c>
      <c r="AX20" s="136">
        <f t="shared" si="23"/>
        <v>0</v>
      </c>
      <c r="AY20" s="136">
        <f t="shared" si="24"/>
        <v>3</v>
      </c>
      <c r="AZ20" s="138">
        <f t="shared" si="25"/>
        <v>0</v>
      </c>
    </row>
    <row r="21" spans="1:96" s="31" customFormat="1" ht="27.95" customHeight="1">
      <c r="B21" s="21" t="s">
        <v>38</v>
      </c>
      <c r="C21" s="45" t="s">
        <v>26</v>
      </c>
      <c r="D21" s="80">
        <v>8</v>
      </c>
      <c r="E21" s="77">
        <v>8</v>
      </c>
      <c r="F21" s="78">
        <v>8</v>
      </c>
      <c r="G21" s="78">
        <v>8</v>
      </c>
      <c r="H21" s="78">
        <v>8</v>
      </c>
      <c r="I21" s="78">
        <v>8</v>
      </c>
      <c r="J21" s="79">
        <v>8</v>
      </c>
      <c r="K21" s="87">
        <v>8</v>
      </c>
      <c r="L21" s="78">
        <v>8</v>
      </c>
      <c r="M21" s="78">
        <v>8</v>
      </c>
      <c r="N21" s="78" t="s">
        <v>82</v>
      </c>
      <c r="O21" s="78">
        <v>8</v>
      </c>
      <c r="P21" s="78">
        <v>8</v>
      </c>
      <c r="Q21" s="79">
        <v>8</v>
      </c>
      <c r="R21" s="87">
        <v>8</v>
      </c>
      <c r="S21" s="81">
        <v>8</v>
      </c>
      <c r="T21" s="78" t="s">
        <v>82</v>
      </c>
      <c r="U21" s="78" t="s">
        <v>82</v>
      </c>
      <c r="V21" s="78">
        <v>8</v>
      </c>
      <c r="W21" s="78">
        <v>8</v>
      </c>
      <c r="X21" s="79">
        <v>8</v>
      </c>
      <c r="Y21" s="87">
        <v>8</v>
      </c>
      <c r="Z21" s="78" t="s">
        <v>66</v>
      </c>
      <c r="AA21" s="78" t="s">
        <v>66</v>
      </c>
      <c r="AB21" s="78">
        <v>8</v>
      </c>
      <c r="AC21" s="78">
        <v>8</v>
      </c>
      <c r="AD21" s="78" t="s">
        <v>66</v>
      </c>
      <c r="AE21" s="79">
        <v>8</v>
      </c>
      <c r="AF21" s="78">
        <v>8</v>
      </c>
      <c r="AG21" s="78" t="s">
        <v>66</v>
      </c>
      <c r="AH21" s="79">
        <v>8</v>
      </c>
      <c r="AI21" s="177">
        <f t="shared" si="9"/>
        <v>56</v>
      </c>
      <c r="AJ21" s="23">
        <f t="shared" si="10"/>
        <v>48</v>
      </c>
      <c r="AK21" s="23">
        <f t="shared" si="11"/>
        <v>40</v>
      </c>
      <c r="AL21" s="23">
        <f t="shared" si="12"/>
        <v>32</v>
      </c>
      <c r="AM21" s="177">
        <f t="shared" si="13"/>
        <v>16</v>
      </c>
      <c r="AN21" s="42">
        <f t="shared" si="14"/>
        <v>192</v>
      </c>
      <c r="AO21" s="133">
        <f t="shared" si="15"/>
        <v>22</v>
      </c>
      <c r="AP21" s="134"/>
      <c r="AQ21" s="135">
        <f t="shared" si="16"/>
        <v>4</v>
      </c>
      <c r="AR21" s="136">
        <f t="shared" si="17"/>
        <v>3</v>
      </c>
      <c r="AS21" s="137">
        <f t="shared" si="18"/>
        <v>1</v>
      </c>
      <c r="AT21" s="136">
        <f t="shared" si="19"/>
        <v>0</v>
      </c>
      <c r="AU21" s="136">
        <f t="shared" si="20"/>
        <v>0</v>
      </c>
      <c r="AV21" s="136">
        <f t="shared" si="21"/>
        <v>0</v>
      </c>
      <c r="AW21" s="136">
        <f t="shared" si="22"/>
        <v>0</v>
      </c>
      <c r="AX21" s="136">
        <f t="shared" si="23"/>
        <v>0</v>
      </c>
      <c r="AY21" s="136">
        <f t="shared" si="24"/>
        <v>3</v>
      </c>
      <c r="AZ21" s="138">
        <f t="shared" si="25"/>
        <v>0</v>
      </c>
    </row>
    <row r="22" spans="1:96" s="1" customFormat="1" ht="27.95" customHeight="1">
      <c r="B22" s="21" t="s">
        <v>39</v>
      </c>
      <c r="C22" s="45" t="s">
        <v>40</v>
      </c>
      <c r="D22" s="22" t="s">
        <v>82</v>
      </c>
      <c r="E22" s="77">
        <v>4</v>
      </c>
      <c r="F22" s="78">
        <v>4</v>
      </c>
      <c r="G22" s="78">
        <v>4</v>
      </c>
      <c r="H22" s="78">
        <v>4</v>
      </c>
      <c r="I22" s="78">
        <v>4</v>
      </c>
      <c r="J22" s="79">
        <v>4</v>
      </c>
      <c r="K22" s="87">
        <v>4</v>
      </c>
      <c r="L22" s="78">
        <v>4</v>
      </c>
      <c r="M22" s="78">
        <v>4</v>
      </c>
      <c r="N22" s="78">
        <v>4</v>
      </c>
      <c r="O22" s="78">
        <v>4</v>
      </c>
      <c r="P22" s="78" t="s">
        <v>82</v>
      </c>
      <c r="Q22" s="79">
        <v>4</v>
      </c>
      <c r="R22" s="87">
        <v>4</v>
      </c>
      <c r="S22" s="81">
        <v>4</v>
      </c>
      <c r="T22" s="78" t="s">
        <v>82</v>
      </c>
      <c r="U22" s="78">
        <v>4</v>
      </c>
      <c r="V22" s="78">
        <v>4</v>
      </c>
      <c r="W22" s="78">
        <v>4</v>
      </c>
      <c r="X22" s="79">
        <v>4</v>
      </c>
      <c r="Y22" s="87">
        <v>4</v>
      </c>
      <c r="Z22" s="78">
        <v>4</v>
      </c>
      <c r="AA22" s="78">
        <v>4</v>
      </c>
      <c r="AB22" s="78">
        <v>4</v>
      </c>
      <c r="AC22" s="78">
        <v>4</v>
      </c>
      <c r="AD22" s="78">
        <v>4</v>
      </c>
      <c r="AE22" s="79">
        <v>4</v>
      </c>
      <c r="AF22" s="78">
        <v>4</v>
      </c>
      <c r="AG22" s="78">
        <v>4</v>
      </c>
      <c r="AH22" s="79">
        <v>4</v>
      </c>
      <c r="AI22" s="21">
        <f t="shared" si="9"/>
        <v>24</v>
      </c>
      <c r="AJ22" s="22">
        <f t="shared" si="10"/>
        <v>24</v>
      </c>
      <c r="AK22" s="22">
        <f t="shared" si="11"/>
        <v>24</v>
      </c>
      <c r="AL22" s="22">
        <f t="shared" si="12"/>
        <v>28</v>
      </c>
      <c r="AM22" s="21">
        <f t="shared" si="13"/>
        <v>12</v>
      </c>
      <c r="AN22" s="42">
        <f t="shared" si="14"/>
        <v>112</v>
      </c>
      <c r="AO22" s="133">
        <f t="shared" si="15"/>
        <v>25</v>
      </c>
      <c r="AP22" s="134"/>
      <c r="AQ22" s="135">
        <f t="shared" si="16"/>
        <v>4</v>
      </c>
      <c r="AR22" s="136">
        <f t="shared" si="17"/>
        <v>0</v>
      </c>
      <c r="AS22" s="137">
        <f t="shared" si="18"/>
        <v>4</v>
      </c>
      <c r="AT22" s="136">
        <f t="shared" si="19"/>
        <v>0</v>
      </c>
      <c r="AU22" s="136">
        <f t="shared" si="20"/>
        <v>0</v>
      </c>
      <c r="AV22" s="136">
        <f t="shared" si="21"/>
        <v>0</v>
      </c>
      <c r="AW22" s="136">
        <f t="shared" si="22"/>
        <v>0</v>
      </c>
      <c r="AX22" s="136">
        <f t="shared" si="23"/>
        <v>0</v>
      </c>
      <c r="AY22" s="136">
        <f t="shared" si="24"/>
        <v>3</v>
      </c>
      <c r="AZ22" s="138">
        <f t="shared" si="25"/>
        <v>0</v>
      </c>
    </row>
    <row r="23" spans="1:96" s="1" customFormat="1" ht="27.75" customHeight="1">
      <c r="B23" s="21" t="s">
        <v>41</v>
      </c>
      <c r="C23" s="45" t="s">
        <v>42</v>
      </c>
      <c r="D23" s="22">
        <v>6</v>
      </c>
      <c r="E23" s="77" t="s">
        <v>82</v>
      </c>
      <c r="F23" s="78">
        <v>6</v>
      </c>
      <c r="G23" s="78">
        <v>6</v>
      </c>
      <c r="H23" s="78">
        <v>6</v>
      </c>
      <c r="I23" s="78">
        <v>6</v>
      </c>
      <c r="J23" s="79">
        <v>6</v>
      </c>
      <c r="K23" s="87">
        <v>6</v>
      </c>
      <c r="L23" s="78" t="s">
        <v>82</v>
      </c>
      <c r="M23" s="78" t="s">
        <v>82</v>
      </c>
      <c r="N23" s="78" t="s">
        <v>66</v>
      </c>
      <c r="O23" s="78">
        <v>6</v>
      </c>
      <c r="P23" s="78">
        <v>6</v>
      </c>
      <c r="Q23" s="79">
        <v>6</v>
      </c>
      <c r="R23" s="87">
        <v>6</v>
      </c>
      <c r="S23" s="81" t="s">
        <v>66</v>
      </c>
      <c r="T23" s="78" t="s">
        <v>66</v>
      </c>
      <c r="U23" s="78" t="s">
        <v>66</v>
      </c>
      <c r="V23" s="78">
        <v>6</v>
      </c>
      <c r="W23" s="78">
        <v>6</v>
      </c>
      <c r="X23" s="79">
        <v>6</v>
      </c>
      <c r="Y23" s="87">
        <v>6</v>
      </c>
      <c r="Z23" s="78">
        <v>6</v>
      </c>
      <c r="AA23" s="78">
        <v>6</v>
      </c>
      <c r="AB23" s="78">
        <v>6</v>
      </c>
      <c r="AC23" s="78">
        <v>6</v>
      </c>
      <c r="AD23" s="78">
        <v>6</v>
      </c>
      <c r="AE23" s="79">
        <v>6</v>
      </c>
      <c r="AF23" s="78">
        <v>6</v>
      </c>
      <c r="AG23" s="78">
        <v>6</v>
      </c>
      <c r="AH23" s="79">
        <v>6</v>
      </c>
      <c r="AI23" s="21">
        <f t="shared" si="9"/>
        <v>36</v>
      </c>
      <c r="AJ23" s="22">
        <f t="shared" si="10"/>
        <v>24</v>
      </c>
      <c r="AK23" s="22">
        <f t="shared" si="11"/>
        <v>24</v>
      </c>
      <c r="AL23" s="22">
        <f t="shared" si="12"/>
        <v>42</v>
      </c>
      <c r="AM23" s="21">
        <f t="shared" si="13"/>
        <v>18</v>
      </c>
      <c r="AN23" s="42">
        <f t="shared" si="14"/>
        <v>144</v>
      </c>
      <c r="AO23" s="133">
        <f t="shared" si="15"/>
        <v>21</v>
      </c>
      <c r="AP23" s="134"/>
      <c r="AQ23" s="135">
        <f t="shared" si="16"/>
        <v>4</v>
      </c>
      <c r="AR23" s="136">
        <f t="shared" si="17"/>
        <v>4</v>
      </c>
      <c r="AS23" s="137">
        <f t="shared" si="18"/>
        <v>0</v>
      </c>
      <c r="AT23" s="136">
        <f t="shared" si="19"/>
        <v>0</v>
      </c>
      <c r="AU23" s="136">
        <f t="shared" si="20"/>
        <v>0</v>
      </c>
      <c r="AV23" s="136">
        <f t="shared" si="21"/>
        <v>0</v>
      </c>
      <c r="AW23" s="136">
        <f t="shared" si="22"/>
        <v>0</v>
      </c>
      <c r="AX23" s="136">
        <f t="shared" si="23"/>
        <v>0</v>
      </c>
      <c r="AY23" s="136">
        <f t="shared" si="24"/>
        <v>3</v>
      </c>
      <c r="AZ23" s="138">
        <f t="shared" si="25"/>
        <v>0</v>
      </c>
    </row>
    <row r="24" spans="1:96" s="1" customFormat="1" ht="27.75" customHeight="1">
      <c r="B24" s="21" t="s">
        <v>43</v>
      </c>
      <c r="C24" s="45" t="s">
        <v>44</v>
      </c>
      <c r="D24" s="22">
        <v>8</v>
      </c>
      <c r="E24" s="77">
        <v>8</v>
      </c>
      <c r="F24" s="78">
        <v>8</v>
      </c>
      <c r="G24" s="78">
        <v>8</v>
      </c>
      <c r="H24" s="78">
        <v>8</v>
      </c>
      <c r="I24" s="78">
        <v>8</v>
      </c>
      <c r="J24" s="79">
        <v>8</v>
      </c>
      <c r="K24" s="87">
        <v>8</v>
      </c>
      <c r="L24" s="78">
        <v>8</v>
      </c>
      <c r="M24" s="78">
        <v>8</v>
      </c>
      <c r="N24" s="78">
        <v>8</v>
      </c>
      <c r="O24" s="78">
        <v>8</v>
      </c>
      <c r="P24" s="78">
        <v>8</v>
      </c>
      <c r="Q24" s="79">
        <v>8</v>
      </c>
      <c r="R24" s="87">
        <v>8</v>
      </c>
      <c r="S24" s="81" t="s">
        <v>82</v>
      </c>
      <c r="T24" s="78" t="s">
        <v>82</v>
      </c>
      <c r="U24" s="78" t="s">
        <v>82</v>
      </c>
      <c r="V24" s="78" t="s">
        <v>66</v>
      </c>
      <c r="W24" s="78" t="s">
        <v>66</v>
      </c>
      <c r="X24" s="79" t="s">
        <v>66</v>
      </c>
      <c r="Y24" s="87">
        <v>8</v>
      </c>
      <c r="Z24" s="78">
        <v>8</v>
      </c>
      <c r="AA24" s="78">
        <v>8</v>
      </c>
      <c r="AB24" s="78">
        <v>8</v>
      </c>
      <c r="AC24" s="78">
        <v>8</v>
      </c>
      <c r="AD24" s="78">
        <v>8</v>
      </c>
      <c r="AE24" s="79">
        <v>8</v>
      </c>
      <c r="AF24" s="78">
        <v>8</v>
      </c>
      <c r="AG24" s="78">
        <v>8</v>
      </c>
      <c r="AH24" s="79">
        <v>8</v>
      </c>
      <c r="AI24" s="21">
        <f t="shared" si="9"/>
        <v>56</v>
      </c>
      <c r="AJ24" s="22">
        <f t="shared" si="10"/>
        <v>56</v>
      </c>
      <c r="AK24" s="22">
        <f t="shared" si="11"/>
        <v>8</v>
      </c>
      <c r="AL24" s="22">
        <f t="shared" si="12"/>
        <v>56</v>
      </c>
      <c r="AM24" s="21">
        <f t="shared" si="13"/>
        <v>24</v>
      </c>
      <c r="AN24" s="42">
        <f t="shared" si="14"/>
        <v>200</v>
      </c>
      <c r="AO24" s="133">
        <f t="shared" si="15"/>
        <v>22</v>
      </c>
      <c r="AP24" s="134"/>
      <c r="AQ24" s="135">
        <f t="shared" si="16"/>
        <v>4</v>
      </c>
      <c r="AR24" s="136">
        <f t="shared" si="17"/>
        <v>3</v>
      </c>
      <c r="AS24" s="137">
        <f t="shared" si="18"/>
        <v>1</v>
      </c>
      <c r="AT24" s="136">
        <f t="shared" si="19"/>
        <v>0</v>
      </c>
      <c r="AU24" s="136">
        <f t="shared" si="20"/>
        <v>0</v>
      </c>
      <c r="AV24" s="136">
        <f t="shared" si="21"/>
        <v>0</v>
      </c>
      <c r="AW24" s="136">
        <f t="shared" si="22"/>
        <v>0</v>
      </c>
      <c r="AX24" s="136">
        <f t="shared" si="23"/>
        <v>0</v>
      </c>
      <c r="AY24" s="136">
        <f t="shared" si="24"/>
        <v>3</v>
      </c>
      <c r="AZ24" s="138">
        <f t="shared" si="25"/>
        <v>0</v>
      </c>
    </row>
    <row r="25" spans="1:96" s="1" customFormat="1" ht="27.75" customHeight="1">
      <c r="B25" s="21" t="s">
        <v>45</v>
      </c>
      <c r="C25" s="45" t="s">
        <v>46</v>
      </c>
      <c r="D25" s="22" t="s">
        <v>82</v>
      </c>
      <c r="E25" s="77">
        <v>5</v>
      </c>
      <c r="F25" s="78">
        <v>5</v>
      </c>
      <c r="G25" s="78">
        <v>5</v>
      </c>
      <c r="H25" s="78">
        <v>5</v>
      </c>
      <c r="I25" s="78">
        <v>5</v>
      </c>
      <c r="J25" s="79">
        <v>5</v>
      </c>
      <c r="K25" s="87" t="s">
        <v>82</v>
      </c>
      <c r="L25" s="78">
        <v>5</v>
      </c>
      <c r="M25" s="78">
        <v>5</v>
      </c>
      <c r="N25" s="78">
        <v>5</v>
      </c>
      <c r="O25" s="78">
        <v>5</v>
      </c>
      <c r="P25" s="78" t="s">
        <v>82</v>
      </c>
      <c r="Q25" s="79">
        <v>5</v>
      </c>
      <c r="R25" s="87">
        <v>5</v>
      </c>
      <c r="S25" s="81">
        <v>5</v>
      </c>
      <c r="T25" s="78">
        <v>5</v>
      </c>
      <c r="U25" s="78">
        <v>5</v>
      </c>
      <c r="V25" s="78">
        <v>5</v>
      </c>
      <c r="W25" s="78">
        <v>5</v>
      </c>
      <c r="X25" s="79">
        <v>5</v>
      </c>
      <c r="Y25" s="87">
        <v>5</v>
      </c>
      <c r="Z25" s="78">
        <v>5</v>
      </c>
      <c r="AA25" s="78">
        <v>5</v>
      </c>
      <c r="AB25" s="78">
        <v>5</v>
      </c>
      <c r="AC25" s="78">
        <v>5</v>
      </c>
      <c r="AD25" s="78">
        <v>5</v>
      </c>
      <c r="AE25" s="79">
        <v>5</v>
      </c>
      <c r="AF25" s="78">
        <v>5</v>
      </c>
      <c r="AG25" s="78">
        <v>5</v>
      </c>
      <c r="AH25" s="79">
        <v>5</v>
      </c>
      <c r="AI25" s="21">
        <f t="shared" si="9"/>
        <v>30</v>
      </c>
      <c r="AJ25" s="22">
        <f t="shared" si="10"/>
        <v>25</v>
      </c>
      <c r="AK25" s="22">
        <f t="shared" si="11"/>
        <v>35</v>
      </c>
      <c r="AL25" s="22">
        <f t="shared" si="12"/>
        <v>35</v>
      </c>
      <c r="AM25" s="21">
        <f t="shared" si="13"/>
        <v>15</v>
      </c>
      <c r="AN25" s="42">
        <f t="shared" si="14"/>
        <v>140</v>
      </c>
      <c r="AO25" s="133">
        <f t="shared" si="15"/>
        <v>25</v>
      </c>
      <c r="AP25" s="134"/>
      <c r="AQ25" s="135">
        <f t="shared" si="16"/>
        <v>4</v>
      </c>
      <c r="AR25" s="136">
        <f t="shared" si="17"/>
        <v>0</v>
      </c>
      <c r="AS25" s="137">
        <f t="shared" si="18"/>
        <v>4</v>
      </c>
      <c r="AT25" s="136">
        <f t="shared" si="19"/>
        <v>0</v>
      </c>
      <c r="AU25" s="136">
        <f t="shared" si="20"/>
        <v>0</v>
      </c>
      <c r="AV25" s="136">
        <f t="shared" si="21"/>
        <v>0</v>
      </c>
      <c r="AW25" s="136">
        <f t="shared" si="22"/>
        <v>0</v>
      </c>
      <c r="AX25" s="136">
        <f t="shared" si="23"/>
        <v>0</v>
      </c>
      <c r="AY25" s="136">
        <f t="shared" si="24"/>
        <v>3</v>
      </c>
      <c r="AZ25" s="138">
        <f t="shared" si="25"/>
        <v>0</v>
      </c>
    </row>
    <row r="26" spans="1:96" s="1" customFormat="1" ht="27.75" customHeight="1">
      <c r="B26" s="21" t="s">
        <v>47</v>
      </c>
      <c r="C26" s="45" t="s">
        <v>48</v>
      </c>
      <c r="D26" s="22">
        <v>8</v>
      </c>
      <c r="E26" s="77">
        <v>8</v>
      </c>
      <c r="F26" s="78">
        <v>8</v>
      </c>
      <c r="G26" s="78" t="s">
        <v>82</v>
      </c>
      <c r="H26" s="78" t="s">
        <v>82</v>
      </c>
      <c r="I26" s="78">
        <v>8</v>
      </c>
      <c r="J26" s="79">
        <v>8</v>
      </c>
      <c r="K26" s="87">
        <v>8</v>
      </c>
      <c r="L26" s="78">
        <v>8</v>
      </c>
      <c r="M26" s="78">
        <v>8</v>
      </c>
      <c r="N26" s="78">
        <v>8</v>
      </c>
      <c r="O26" s="78">
        <v>8</v>
      </c>
      <c r="P26" s="78">
        <v>8</v>
      </c>
      <c r="Q26" s="79">
        <v>8</v>
      </c>
      <c r="R26" s="87">
        <v>8</v>
      </c>
      <c r="S26" s="81">
        <v>8</v>
      </c>
      <c r="T26" s="78">
        <v>8</v>
      </c>
      <c r="U26" s="78">
        <v>8</v>
      </c>
      <c r="V26" s="78">
        <v>8</v>
      </c>
      <c r="W26" s="78">
        <v>8</v>
      </c>
      <c r="X26" s="79">
        <v>8</v>
      </c>
      <c r="Y26" s="87">
        <v>8</v>
      </c>
      <c r="Z26" s="78">
        <v>8</v>
      </c>
      <c r="AA26" s="78" t="s">
        <v>82</v>
      </c>
      <c r="AB26" s="78" t="s">
        <v>79</v>
      </c>
      <c r="AC26" s="78">
        <v>8</v>
      </c>
      <c r="AD26" s="78">
        <v>8</v>
      </c>
      <c r="AE26" s="79">
        <v>8</v>
      </c>
      <c r="AF26" s="78">
        <v>8</v>
      </c>
      <c r="AG26" s="78">
        <v>8</v>
      </c>
      <c r="AH26" s="79">
        <v>8</v>
      </c>
      <c r="AI26" s="21">
        <f t="shared" si="9"/>
        <v>40</v>
      </c>
      <c r="AJ26" s="22">
        <f t="shared" si="10"/>
        <v>56</v>
      </c>
      <c r="AK26" s="22">
        <f t="shared" si="11"/>
        <v>56</v>
      </c>
      <c r="AL26" s="22">
        <f t="shared" si="12"/>
        <v>40</v>
      </c>
      <c r="AM26" s="21">
        <f t="shared" si="13"/>
        <v>24</v>
      </c>
      <c r="AN26" s="42">
        <f t="shared" si="14"/>
        <v>216</v>
      </c>
      <c r="AO26" s="133">
        <f t="shared" si="15"/>
        <v>24</v>
      </c>
      <c r="AP26" s="134"/>
      <c r="AQ26" s="135">
        <f t="shared" si="16"/>
        <v>4</v>
      </c>
      <c r="AR26" s="136">
        <f t="shared" si="17"/>
        <v>1</v>
      </c>
      <c r="AS26" s="137">
        <f t="shared" si="18"/>
        <v>3</v>
      </c>
      <c r="AT26" s="136">
        <f t="shared" si="19"/>
        <v>0</v>
      </c>
      <c r="AU26" s="136">
        <f t="shared" si="20"/>
        <v>0</v>
      </c>
      <c r="AV26" s="136">
        <f t="shared" si="21"/>
        <v>0</v>
      </c>
      <c r="AW26" s="136">
        <f t="shared" si="22"/>
        <v>0</v>
      </c>
      <c r="AX26" s="136">
        <f t="shared" si="23"/>
        <v>0</v>
      </c>
      <c r="AY26" s="136">
        <f t="shared" si="24"/>
        <v>3</v>
      </c>
      <c r="AZ26" s="138">
        <f t="shared" si="25"/>
        <v>0</v>
      </c>
    </row>
    <row r="27" spans="1:96" s="35" customFormat="1" ht="27.95" customHeight="1" thickBot="1">
      <c r="A27" s="41"/>
      <c r="B27" s="21" t="s">
        <v>49</v>
      </c>
      <c r="C27" s="45" t="s">
        <v>50</v>
      </c>
      <c r="D27" s="22">
        <v>8</v>
      </c>
      <c r="E27" s="77">
        <v>8</v>
      </c>
      <c r="F27" s="78">
        <v>8</v>
      </c>
      <c r="G27" s="78">
        <v>8</v>
      </c>
      <c r="H27" s="78">
        <v>8</v>
      </c>
      <c r="I27" s="78">
        <v>8</v>
      </c>
      <c r="J27" s="79">
        <v>8</v>
      </c>
      <c r="K27" s="87">
        <v>8</v>
      </c>
      <c r="L27" s="78">
        <v>8</v>
      </c>
      <c r="M27" s="78">
        <v>8</v>
      </c>
      <c r="N27" s="78">
        <v>8</v>
      </c>
      <c r="O27" s="78">
        <v>8</v>
      </c>
      <c r="P27" s="78">
        <v>8</v>
      </c>
      <c r="Q27" s="79">
        <v>8</v>
      </c>
      <c r="R27" s="87">
        <v>8</v>
      </c>
      <c r="S27" s="81">
        <v>8</v>
      </c>
      <c r="T27" s="78">
        <v>8</v>
      </c>
      <c r="U27" s="78">
        <v>8</v>
      </c>
      <c r="V27" s="78">
        <v>8</v>
      </c>
      <c r="W27" s="78">
        <v>8</v>
      </c>
      <c r="X27" s="79" t="s">
        <v>82</v>
      </c>
      <c r="Y27" s="87" t="s">
        <v>82</v>
      </c>
      <c r="Z27" s="78" t="s">
        <v>82</v>
      </c>
      <c r="AA27" s="78" t="s">
        <v>66</v>
      </c>
      <c r="AB27" s="78" t="s">
        <v>66</v>
      </c>
      <c r="AC27" s="78" t="s">
        <v>66</v>
      </c>
      <c r="AD27" s="78">
        <v>8</v>
      </c>
      <c r="AE27" s="79">
        <v>8</v>
      </c>
      <c r="AF27" s="78" t="s">
        <v>66</v>
      </c>
      <c r="AG27" s="78">
        <v>8</v>
      </c>
      <c r="AH27" s="79">
        <v>8</v>
      </c>
      <c r="AI27" s="21">
        <f t="shared" si="9"/>
        <v>56</v>
      </c>
      <c r="AJ27" s="49">
        <f t="shared" si="10"/>
        <v>56</v>
      </c>
      <c r="AK27" s="49">
        <f t="shared" si="11"/>
        <v>48</v>
      </c>
      <c r="AL27" s="49">
        <f t="shared" si="12"/>
        <v>16</v>
      </c>
      <c r="AM27" s="178">
        <f t="shared" si="13"/>
        <v>16</v>
      </c>
      <c r="AN27" s="42">
        <f t="shared" si="14"/>
        <v>192</v>
      </c>
      <c r="AO27" s="133">
        <f t="shared" si="15"/>
        <v>22</v>
      </c>
      <c r="AP27" s="134"/>
      <c r="AQ27" s="135">
        <f t="shared" si="16"/>
        <v>4</v>
      </c>
      <c r="AR27" s="136">
        <f t="shared" si="17"/>
        <v>3</v>
      </c>
      <c r="AS27" s="137">
        <f t="shared" si="18"/>
        <v>1</v>
      </c>
      <c r="AT27" s="136">
        <f t="shared" si="19"/>
        <v>0</v>
      </c>
      <c r="AU27" s="136">
        <f t="shared" si="20"/>
        <v>0</v>
      </c>
      <c r="AV27" s="136">
        <f t="shared" si="21"/>
        <v>0</v>
      </c>
      <c r="AW27" s="136">
        <f t="shared" si="22"/>
        <v>0</v>
      </c>
      <c r="AX27" s="136">
        <f t="shared" si="23"/>
        <v>0</v>
      </c>
      <c r="AY27" s="136">
        <f t="shared" si="24"/>
        <v>3</v>
      </c>
      <c r="AZ27" s="138">
        <f t="shared" si="25"/>
        <v>0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 s="1" customFormat="1" ht="27.95" customHeight="1">
      <c r="B28" s="21" t="s">
        <v>51</v>
      </c>
      <c r="C28" s="45" t="s">
        <v>52</v>
      </c>
      <c r="D28" s="22" t="s">
        <v>82</v>
      </c>
      <c r="E28" s="77">
        <v>5</v>
      </c>
      <c r="F28" s="78">
        <v>5</v>
      </c>
      <c r="G28" s="78">
        <v>5</v>
      </c>
      <c r="H28" s="78">
        <v>5</v>
      </c>
      <c r="I28" s="78">
        <v>5</v>
      </c>
      <c r="J28" s="79" t="s">
        <v>82</v>
      </c>
      <c r="K28" s="87">
        <v>5</v>
      </c>
      <c r="L28" s="78">
        <v>5</v>
      </c>
      <c r="M28" s="78">
        <v>5</v>
      </c>
      <c r="N28" s="78">
        <v>5</v>
      </c>
      <c r="O28" s="78">
        <v>5</v>
      </c>
      <c r="P28" s="78">
        <v>5</v>
      </c>
      <c r="Q28" s="79">
        <v>5</v>
      </c>
      <c r="R28" s="87">
        <v>5</v>
      </c>
      <c r="S28" s="81">
        <v>5</v>
      </c>
      <c r="T28" s="78" t="s">
        <v>82</v>
      </c>
      <c r="U28" s="78">
        <v>5</v>
      </c>
      <c r="V28" s="78">
        <v>5</v>
      </c>
      <c r="W28" s="78" t="s">
        <v>66</v>
      </c>
      <c r="X28" s="79">
        <v>5</v>
      </c>
      <c r="Y28" s="87">
        <v>5</v>
      </c>
      <c r="Z28" s="78">
        <v>5</v>
      </c>
      <c r="AA28" s="78">
        <v>5</v>
      </c>
      <c r="AB28" s="78">
        <v>5</v>
      </c>
      <c r="AC28" s="78">
        <v>5</v>
      </c>
      <c r="AD28" s="78" t="s">
        <v>66</v>
      </c>
      <c r="AE28" s="79">
        <v>5</v>
      </c>
      <c r="AF28" s="78">
        <v>5</v>
      </c>
      <c r="AG28" s="78" t="s">
        <v>66</v>
      </c>
      <c r="AH28" s="79">
        <v>5</v>
      </c>
      <c r="AI28" s="21">
        <f t="shared" si="9"/>
        <v>25</v>
      </c>
      <c r="AJ28" s="22">
        <f t="shared" si="10"/>
        <v>35</v>
      </c>
      <c r="AK28" s="22">
        <f t="shared" si="11"/>
        <v>25</v>
      </c>
      <c r="AL28" s="22">
        <f t="shared" si="12"/>
        <v>30</v>
      </c>
      <c r="AM28" s="21">
        <f t="shared" si="13"/>
        <v>10</v>
      </c>
      <c r="AN28" s="42">
        <f t="shared" si="14"/>
        <v>125</v>
      </c>
      <c r="AO28" s="133">
        <f t="shared" si="15"/>
        <v>23</v>
      </c>
      <c r="AP28" s="134"/>
      <c r="AQ28" s="135">
        <f t="shared" si="16"/>
        <v>4</v>
      </c>
      <c r="AR28" s="136">
        <f t="shared" si="17"/>
        <v>2</v>
      </c>
      <c r="AS28" s="137">
        <f t="shared" si="18"/>
        <v>2</v>
      </c>
      <c r="AT28" s="136">
        <f t="shared" si="19"/>
        <v>0</v>
      </c>
      <c r="AU28" s="136">
        <f t="shared" si="20"/>
        <v>0</v>
      </c>
      <c r="AV28" s="136">
        <f t="shared" si="21"/>
        <v>0</v>
      </c>
      <c r="AW28" s="136">
        <f t="shared" si="22"/>
        <v>0</v>
      </c>
      <c r="AX28" s="136">
        <f t="shared" si="23"/>
        <v>0</v>
      </c>
      <c r="AY28" s="136">
        <f t="shared" si="24"/>
        <v>3</v>
      </c>
      <c r="AZ28" s="138">
        <f t="shared" si="25"/>
        <v>0</v>
      </c>
    </row>
    <row r="29" spans="1:96" s="1" customFormat="1" ht="27.95" customHeight="1">
      <c r="B29" s="21" t="s">
        <v>53</v>
      </c>
      <c r="C29" s="45" t="s">
        <v>54</v>
      </c>
      <c r="D29" s="22">
        <v>8</v>
      </c>
      <c r="E29" s="77">
        <v>8</v>
      </c>
      <c r="F29" s="78">
        <v>8</v>
      </c>
      <c r="G29" s="78">
        <v>8</v>
      </c>
      <c r="H29" s="78">
        <v>8</v>
      </c>
      <c r="I29" s="78">
        <v>8</v>
      </c>
      <c r="J29" s="79">
        <v>8</v>
      </c>
      <c r="K29" s="87">
        <v>8</v>
      </c>
      <c r="L29" s="78">
        <v>8</v>
      </c>
      <c r="M29" s="78">
        <v>8</v>
      </c>
      <c r="N29" s="78">
        <v>8</v>
      </c>
      <c r="O29" s="78">
        <v>8</v>
      </c>
      <c r="P29" s="78" t="s">
        <v>82</v>
      </c>
      <c r="Q29" s="79" t="s">
        <v>82</v>
      </c>
      <c r="R29" s="87" t="s">
        <v>82</v>
      </c>
      <c r="S29" s="81">
        <v>8</v>
      </c>
      <c r="T29" s="78">
        <v>8</v>
      </c>
      <c r="U29" s="78">
        <v>8</v>
      </c>
      <c r="V29" s="78">
        <v>8</v>
      </c>
      <c r="W29" s="78">
        <v>8</v>
      </c>
      <c r="X29" s="79">
        <v>8</v>
      </c>
      <c r="Y29" s="87">
        <v>8</v>
      </c>
      <c r="Z29" s="78">
        <v>8</v>
      </c>
      <c r="AA29" s="78">
        <v>8</v>
      </c>
      <c r="AB29" s="78">
        <v>8</v>
      </c>
      <c r="AC29" s="78">
        <v>8</v>
      </c>
      <c r="AD29" s="78">
        <v>8</v>
      </c>
      <c r="AE29" s="79">
        <v>8</v>
      </c>
      <c r="AF29" s="78">
        <v>8</v>
      </c>
      <c r="AG29" s="78">
        <v>8</v>
      </c>
      <c r="AH29" s="79">
        <v>8</v>
      </c>
      <c r="AI29" s="21">
        <f t="shared" si="9"/>
        <v>56</v>
      </c>
      <c r="AJ29" s="22">
        <f t="shared" si="10"/>
        <v>40</v>
      </c>
      <c r="AK29" s="22">
        <f t="shared" si="11"/>
        <v>48</v>
      </c>
      <c r="AL29" s="22">
        <f t="shared" si="12"/>
        <v>56</v>
      </c>
      <c r="AM29" s="21">
        <f t="shared" si="13"/>
        <v>24</v>
      </c>
      <c r="AN29" s="42">
        <f t="shared" si="14"/>
        <v>224</v>
      </c>
      <c r="AO29" s="133">
        <f t="shared" si="15"/>
        <v>25</v>
      </c>
      <c r="AP29" s="134"/>
      <c r="AQ29" s="135">
        <f t="shared" si="16"/>
        <v>4</v>
      </c>
      <c r="AR29" s="136">
        <f t="shared" si="17"/>
        <v>0</v>
      </c>
      <c r="AS29" s="137">
        <f t="shared" si="18"/>
        <v>4</v>
      </c>
      <c r="AT29" s="136">
        <f t="shared" si="19"/>
        <v>0</v>
      </c>
      <c r="AU29" s="136">
        <f t="shared" si="20"/>
        <v>0</v>
      </c>
      <c r="AV29" s="136">
        <f t="shared" si="21"/>
        <v>0</v>
      </c>
      <c r="AW29" s="136">
        <f t="shared" si="22"/>
        <v>0</v>
      </c>
      <c r="AX29" s="136">
        <f t="shared" si="23"/>
        <v>0</v>
      </c>
      <c r="AY29" s="136">
        <f t="shared" si="24"/>
        <v>3</v>
      </c>
      <c r="AZ29" s="138">
        <f t="shared" si="25"/>
        <v>0</v>
      </c>
    </row>
    <row r="30" spans="1:96" s="1" customFormat="1" ht="27.75" customHeight="1">
      <c r="A30" s="43" t="s">
        <v>28</v>
      </c>
      <c r="B30" s="21" t="s">
        <v>55</v>
      </c>
      <c r="C30" s="45" t="s">
        <v>56</v>
      </c>
      <c r="D30" s="22">
        <v>8</v>
      </c>
      <c r="E30" s="77" t="s">
        <v>82</v>
      </c>
      <c r="F30" s="78" t="s">
        <v>82</v>
      </c>
      <c r="G30" s="78">
        <v>8</v>
      </c>
      <c r="H30" s="78">
        <v>8</v>
      </c>
      <c r="I30" s="78">
        <v>8</v>
      </c>
      <c r="J30" s="79">
        <v>8</v>
      </c>
      <c r="K30" s="87">
        <v>8</v>
      </c>
      <c r="L30" s="78">
        <v>8</v>
      </c>
      <c r="M30" s="78">
        <v>8</v>
      </c>
      <c r="N30" s="78">
        <v>8</v>
      </c>
      <c r="O30" s="78">
        <v>8</v>
      </c>
      <c r="P30" s="78">
        <v>8</v>
      </c>
      <c r="Q30" s="79">
        <v>8</v>
      </c>
      <c r="R30" s="87">
        <v>8</v>
      </c>
      <c r="S30" s="81">
        <v>8</v>
      </c>
      <c r="T30" s="78">
        <v>8</v>
      </c>
      <c r="U30" s="78">
        <v>8</v>
      </c>
      <c r="V30" s="78" t="s">
        <v>82</v>
      </c>
      <c r="W30" s="78">
        <v>8</v>
      </c>
      <c r="X30" s="79">
        <v>8</v>
      </c>
      <c r="Y30" s="87">
        <v>8</v>
      </c>
      <c r="Z30" s="78">
        <v>8</v>
      </c>
      <c r="AA30" s="78">
        <v>8</v>
      </c>
      <c r="AB30" s="78">
        <v>8</v>
      </c>
      <c r="AC30" s="78">
        <v>8</v>
      </c>
      <c r="AD30" s="78">
        <v>8</v>
      </c>
      <c r="AE30" s="79">
        <v>8</v>
      </c>
      <c r="AF30" s="78">
        <v>8</v>
      </c>
      <c r="AG30" s="78">
        <v>8</v>
      </c>
      <c r="AH30" s="79">
        <v>8</v>
      </c>
      <c r="AI30" s="21">
        <f t="shared" si="9"/>
        <v>40</v>
      </c>
      <c r="AJ30" s="22">
        <f t="shared" si="10"/>
        <v>56</v>
      </c>
      <c r="AK30" s="22">
        <f t="shared" si="11"/>
        <v>48</v>
      </c>
      <c r="AL30" s="22">
        <f t="shared" si="12"/>
        <v>56</v>
      </c>
      <c r="AM30" s="21">
        <f t="shared" si="13"/>
        <v>24</v>
      </c>
      <c r="AN30" s="42">
        <f t="shared" si="14"/>
        <v>224</v>
      </c>
      <c r="AO30" s="133">
        <f t="shared" si="15"/>
        <v>25</v>
      </c>
      <c r="AP30" s="134"/>
      <c r="AQ30" s="135">
        <f t="shared" si="16"/>
        <v>4</v>
      </c>
      <c r="AR30" s="136">
        <f t="shared" si="17"/>
        <v>0</v>
      </c>
      <c r="AS30" s="137">
        <f t="shared" si="18"/>
        <v>4</v>
      </c>
      <c r="AT30" s="136">
        <f t="shared" si="19"/>
        <v>0</v>
      </c>
      <c r="AU30" s="136">
        <f t="shared" si="20"/>
        <v>0</v>
      </c>
      <c r="AV30" s="136">
        <f t="shared" si="21"/>
        <v>0</v>
      </c>
      <c r="AW30" s="136">
        <f t="shared" si="22"/>
        <v>0</v>
      </c>
      <c r="AX30" s="136">
        <f t="shared" si="23"/>
        <v>0</v>
      </c>
      <c r="AY30" s="136">
        <f t="shared" si="24"/>
        <v>3</v>
      </c>
      <c r="AZ30" s="138">
        <f t="shared" si="25"/>
        <v>0</v>
      </c>
    </row>
    <row r="31" spans="1:96" s="1" customFormat="1" ht="27.95" customHeight="1">
      <c r="B31" s="21" t="s">
        <v>57</v>
      </c>
      <c r="C31" s="45" t="s">
        <v>58</v>
      </c>
      <c r="D31" s="22">
        <v>5</v>
      </c>
      <c r="E31" s="77">
        <v>5</v>
      </c>
      <c r="F31" s="78">
        <v>5</v>
      </c>
      <c r="G31" s="78">
        <v>5</v>
      </c>
      <c r="H31" s="78">
        <v>5</v>
      </c>
      <c r="I31" s="78">
        <v>5</v>
      </c>
      <c r="J31" s="79">
        <v>5</v>
      </c>
      <c r="K31" s="87">
        <v>5</v>
      </c>
      <c r="L31" s="78">
        <v>5</v>
      </c>
      <c r="M31" s="78">
        <v>5</v>
      </c>
      <c r="N31" s="78" t="s">
        <v>82</v>
      </c>
      <c r="O31" s="78">
        <v>5</v>
      </c>
      <c r="P31" s="78" t="s">
        <v>82</v>
      </c>
      <c r="Q31" s="79">
        <v>5</v>
      </c>
      <c r="R31" s="87">
        <v>5</v>
      </c>
      <c r="S31" s="81" t="s">
        <v>82</v>
      </c>
      <c r="T31" s="78">
        <v>5</v>
      </c>
      <c r="U31" s="78">
        <v>5</v>
      </c>
      <c r="V31" s="78">
        <v>5</v>
      </c>
      <c r="W31" s="78">
        <v>5</v>
      </c>
      <c r="X31" s="79">
        <v>5</v>
      </c>
      <c r="Y31" s="87">
        <v>5</v>
      </c>
      <c r="Z31" s="78">
        <v>5</v>
      </c>
      <c r="AA31" s="78" t="s">
        <v>66</v>
      </c>
      <c r="AB31" s="78">
        <v>5</v>
      </c>
      <c r="AC31" s="78">
        <v>5</v>
      </c>
      <c r="AD31" s="78" t="s">
        <v>66</v>
      </c>
      <c r="AE31" s="79">
        <v>5</v>
      </c>
      <c r="AF31" s="78">
        <v>5</v>
      </c>
      <c r="AG31" s="78" t="s">
        <v>66</v>
      </c>
      <c r="AH31" s="79">
        <v>5</v>
      </c>
      <c r="AI31" s="21">
        <f t="shared" si="9"/>
        <v>35</v>
      </c>
      <c r="AJ31" s="22">
        <f t="shared" si="10"/>
        <v>25</v>
      </c>
      <c r="AK31" s="22">
        <f t="shared" si="11"/>
        <v>30</v>
      </c>
      <c r="AL31" s="22">
        <f t="shared" si="12"/>
        <v>25</v>
      </c>
      <c r="AM31" s="21">
        <f t="shared" si="13"/>
        <v>10</v>
      </c>
      <c r="AN31" s="42">
        <f t="shared" si="14"/>
        <v>125</v>
      </c>
      <c r="AO31" s="133">
        <f t="shared" si="15"/>
        <v>23</v>
      </c>
      <c r="AP31" s="134"/>
      <c r="AQ31" s="135">
        <f t="shared" si="16"/>
        <v>4</v>
      </c>
      <c r="AR31" s="136">
        <f t="shared" si="17"/>
        <v>2</v>
      </c>
      <c r="AS31" s="137">
        <f t="shared" si="18"/>
        <v>2</v>
      </c>
      <c r="AT31" s="136">
        <f t="shared" si="19"/>
        <v>0</v>
      </c>
      <c r="AU31" s="136">
        <f t="shared" si="20"/>
        <v>0</v>
      </c>
      <c r="AV31" s="136">
        <f t="shared" si="21"/>
        <v>0</v>
      </c>
      <c r="AW31" s="136">
        <f t="shared" si="22"/>
        <v>0</v>
      </c>
      <c r="AX31" s="136">
        <f t="shared" si="23"/>
        <v>0</v>
      </c>
      <c r="AY31" s="136">
        <f t="shared" si="24"/>
        <v>3</v>
      </c>
      <c r="AZ31" s="138">
        <f t="shared" si="25"/>
        <v>0</v>
      </c>
    </row>
    <row r="32" spans="1:96" s="1" customFormat="1" ht="27.95" customHeight="1">
      <c r="B32" s="21" t="s">
        <v>59</v>
      </c>
      <c r="C32" s="45" t="s">
        <v>73</v>
      </c>
      <c r="D32" s="80">
        <v>8</v>
      </c>
      <c r="E32" s="77">
        <v>8</v>
      </c>
      <c r="F32" s="78">
        <v>8</v>
      </c>
      <c r="G32" s="78">
        <v>8</v>
      </c>
      <c r="H32" s="78">
        <v>8</v>
      </c>
      <c r="I32" s="78">
        <v>8</v>
      </c>
      <c r="J32" s="79">
        <v>8</v>
      </c>
      <c r="K32" s="87">
        <v>8</v>
      </c>
      <c r="L32" s="78">
        <v>8</v>
      </c>
      <c r="M32" s="78">
        <v>8</v>
      </c>
      <c r="N32" s="78">
        <v>8</v>
      </c>
      <c r="O32" s="78">
        <v>8</v>
      </c>
      <c r="P32" s="78">
        <v>8</v>
      </c>
      <c r="Q32" s="79">
        <v>8</v>
      </c>
      <c r="R32" s="87">
        <v>8</v>
      </c>
      <c r="S32" s="81">
        <v>8</v>
      </c>
      <c r="T32" s="78">
        <v>8</v>
      </c>
      <c r="U32" s="78">
        <v>8</v>
      </c>
      <c r="V32" s="78">
        <v>8</v>
      </c>
      <c r="W32" s="78">
        <v>8</v>
      </c>
      <c r="X32" s="79" t="s">
        <v>82</v>
      </c>
      <c r="Y32" s="87" t="s">
        <v>82</v>
      </c>
      <c r="Z32" s="78" t="s">
        <v>82</v>
      </c>
      <c r="AA32" s="78">
        <v>8</v>
      </c>
      <c r="AB32" s="78">
        <v>8</v>
      </c>
      <c r="AC32" s="78">
        <v>8</v>
      </c>
      <c r="AD32" s="78">
        <v>8</v>
      </c>
      <c r="AE32" s="79">
        <v>8</v>
      </c>
      <c r="AF32" s="78">
        <v>8</v>
      </c>
      <c r="AG32" s="78">
        <v>8</v>
      </c>
      <c r="AH32" s="79">
        <v>8</v>
      </c>
      <c r="AI32" s="21">
        <f t="shared" si="9"/>
        <v>56</v>
      </c>
      <c r="AJ32" s="22">
        <f t="shared" si="10"/>
        <v>56</v>
      </c>
      <c r="AK32" s="22">
        <f t="shared" si="11"/>
        <v>48</v>
      </c>
      <c r="AL32" s="22">
        <f t="shared" si="12"/>
        <v>40</v>
      </c>
      <c r="AM32" s="21">
        <f t="shared" si="13"/>
        <v>24</v>
      </c>
      <c r="AN32" s="42">
        <f t="shared" si="14"/>
        <v>224</v>
      </c>
      <c r="AO32" s="133">
        <f t="shared" si="15"/>
        <v>25</v>
      </c>
      <c r="AP32" s="134"/>
      <c r="AQ32" s="135">
        <f t="shared" si="16"/>
        <v>4</v>
      </c>
      <c r="AR32" s="136">
        <f t="shared" si="17"/>
        <v>0</v>
      </c>
      <c r="AS32" s="137">
        <f t="shared" si="18"/>
        <v>4</v>
      </c>
      <c r="AT32" s="136">
        <f t="shared" si="19"/>
        <v>0</v>
      </c>
      <c r="AU32" s="136">
        <f t="shared" si="20"/>
        <v>0</v>
      </c>
      <c r="AV32" s="136">
        <f t="shared" si="21"/>
        <v>0</v>
      </c>
      <c r="AW32" s="136">
        <f t="shared" si="22"/>
        <v>0</v>
      </c>
      <c r="AX32" s="136">
        <f t="shared" si="23"/>
        <v>0</v>
      </c>
      <c r="AY32" s="136">
        <f t="shared" si="24"/>
        <v>3</v>
      </c>
      <c r="AZ32" s="138">
        <f t="shared" si="25"/>
        <v>0</v>
      </c>
    </row>
    <row r="33" spans="2:96" s="1" customFormat="1" ht="27.95" customHeight="1" thickBot="1">
      <c r="B33" s="21" t="s">
        <v>60</v>
      </c>
      <c r="C33" s="164" t="s">
        <v>61</v>
      </c>
      <c r="D33" s="22">
        <v>8</v>
      </c>
      <c r="E33" s="77">
        <v>8</v>
      </c>
      <c r="F33" s="78">
        <v>8</v>
      </c>
      <c r="G33" s="78">
        <v>8</v>
      </c>
      <c r="H33" s="78">
        <v>8</v>
      </c>
      <c r="I33" s="78">
        <v>8</v>
      </c>
      <c r="J33" s="79">
        <v>8</v>
      </c>
      <c r="K33" s="87">
        <v>8</v>
      </c>
      <c r="L33" s="78">
        <v>8</v>
      </c>
      <c r="M33" s="78">
        <v>8</v>
      </c>
      <c r="N33" s="78">
        <v>8</v>
      </c>
      <c r="O33" s="78">
        <v>8</v>
      </c>
      <c r="P33" s="78">
        <v>8</v>
      </c>
      <c r="Q33" s="79">
        <v>8</v>
      </c>
      <c r="R33" s="87">
        <v>8</v>
      </c>
      <c r="S33" s="81" t="s">
        <v>82</v>
      </c>
      <c r="T33" s="78" t="s">
        <v>82</v>
      </c>
      <c r="U33" s="78" t="s">
        <v>82</v>
      </c>
      <c r="V33" s="78" t="s">
        <v>66</v>
      </c>
      <c r="W33" s="78">
        <v>8</v>
      </c>
      <c r="X33" s="79">
        <v>8</v>
      </c>
      <c r="Y33" s="87">
        <v>8</v>
      </c>
      <c r="Z33" s="78">
        <v>8</v>
      </c>
      <c r="AA33" s="78">
        <v>8</v>
      </c>
      <c r="AB33" s="78">
        <v>8</v>
      </c>
      <c r="AC33" s="78">
        <v>8</v>
      </c>
      <c r="AD33" s="78">
        <v>8</v>
      </c>
      <c r="AE33" s="79">
        <v>8</v>
      </c>
      <c r="AF33" s="78">
        <v>8</v>
      </c>
      <c r="AG33" s="78">
        <v>8</v>
      </c>
      <c r="AH33" s="79">
        <v>8</v>
      </c>
      <c r="AI33" s="67">
        <f t="shared" si="9"/>
        <v>56</v>
      </c>
      <c r="AJ33" s="68">
        <f t="shared" si="10"/>
        <v>56</v>
      </c>
      <c r="AK33" s="68">
        <f t="shared" si="11"/>
        <v>24</v>
      </c>
      <c r="AL33" s="68">
        <f t="shared" si="12"/>
        <v>56</v>
      </c>
      <c r="AM33" s="67">
        <f t="shared" si="13"/>
        <v>24</v>
      </c>
      <c r="AN33" s="69">
        <f t="shared" si="14"/>
        <v>216</v>
      </c>
      <c r="AO33" s="148">
        <f t="shared" si="15"/>
        <v>24</v>
      </c>
      <c r="AP33" s="149"/>
      <c r="AQ33" s="150">
        <f t="shared" si="16"/>
        <v>4</v>
      </c>
      <c r="AR33" s="151">
        <f t="shared" si="17"/>
        <v>1</v>
      </c>
      <c r="AS33" s="152">
        <f t="shared" ref="AS33" si="26">AQ33-AR33</f>
        <v>3</v>
      </c>
      <c r="AT33" s="151">
        <f t="shared" si="19"/>
        <v>0</v>
      </c>
      <c r="AU33" s="151">
        <f t="shared" si="20"/>
        <v>0</v>
      </c>
      <c r="AV33" s="151">
        <f t="shared" si="21"/>
        <v>0</v>
      </c>
      <c r="AW33" s="151">
        <f t="shared" si="22"/>
        <v>0</v>
      </c>
      <c r="AX33" s="151">
        <f t="shared" si="23"/>
        <v>0</v>
      </c>
      <c r="AY33" s="151">
        <f t="shared" si="24"/>
        <v>3</v>
      </c>
      <c r="AZ33" s="153">
        <f t="shared" si="25"/>
        <v>0</v>
      </c>
    </row>
    <row r="34" spans="2:96" s="1" customFormat="1" ht="27.95" customHeight="1" thickBot="1">
      <c r="B34" s="161" t="s">
        <v>83</v>
      </c>
      <c r="C34" s="162" t="s">
        <v>84</v>
      </c>
      <c r="D34" s="165" t="s">
        <v>86</v>
      </c>
      <c r="E34" s="166" t="s">
        <v>86</v>
      </c>
      <c r="F34" s="167" t="s">
        <v>86</v>
      </c>
      <c r="G34" s="167" t="s">
        <v>85</v>
      </c>
      <c r="H34" s="167" t="s">
        <v>85</v>
      </c>
      <c r="I34" s="167" t="s">
        <v>85</v>
      </c>
      <c r="J34" s="168" t="s">
        <v>85</v>
      </c>
      <c r="K34" s="169" t="s">
        <v>85</v>
      </c>
      <c r="L34" s="167" t="s">
        <v>85</v>
      </c>
      <c r="M34" s="167" t="s">
        <v>85</v>
      </c>
      <c r="N34" s="167" t="s">
        <v>85</v>
      </c>
      <c r="O34" s="167" t="s">
        <v>85</v>
      </c>
      <c r="P34" s="167" t="s">
        <v>85</v>
      </c>
      <c r="Q34" s="168" t="s">
        <v>85</v>
      </c>
      <c r="R34" s="169" t="s">
        <v>85</v>
      </c>
      <c r="S34" s="170" t="s">
        <v>85</v>
      </c>
      <c r="T34" s="167" t="s">
        <v>85</v>
      </c>
      <c r="U34" s="167" t="s">
        <v>85</v>
      </c>
      <c r="V34" s="167" t="s">
        <v>85</v>
      </c>
      <c r="W34" s="167" t="s">
        <v>85</v>
      </c>
      <c r="X34" s="168" t="s">
        <v>85</v>
      </c>
      <c r="Y34" s="169" t="s">
        <v>85</v>
      </c>
      <c r="Z34" s="167" t="s">
        <v>85</v>
      </c>
      <c r="AA34" s="167" t="s">
        <v>85</v>
      </c>
      <c r="AB34" s="163">
        <v>8</v>
      </c>
      <c r="AC34" s="167" t="s">
        <v>85</v>
      </c>
      <c r="AD34" s="167" t="s">
        <v>85</v>
      </c>
      <c r="AE34" s="168" t="s">
        <v>85</v>
      </c>
      <c r="AF34" s="167" t="s">
        <v>85</v>
      </c>
      <c r="AG34" s="167" t="s">
        <v>85</v>
      </c>
      <c r="AH34" s="168" t="s">
        <v>85</v>
      </c>
      <c r="AI34" s="67">
        <f t="shared" si="9"/>
        <v>0</v>
      </c>
      <c r="AJ34" s="68">
        <f t="shared" si="10"/>
        <v>0</v>
      </c>
      <c r="AK34" s="68">
        <f t="shared" si="11"/>
        <v>0</v>
      </c>
      <c r="AL34" s="68">
        <f t="shared" si="12"/>
        <v>8</v>
      </c>
      <c r="AM34" s="67">
        <f t="shared" si="13"/>
        <v>0</v>
      </c>
      <c r="AN34" s="69">
        <f t="shared" si="14"/>
        <v>8</v>
      </c>
      <c r="AO34" s="148">
        <f t="shared" si="15"/>
        <v>1</v>
      </c>
      <c r="AP34" s="149"/>
      <c r="AQ34" s="150">
        <f t="shared" si="16"/>
        <v>4</v>
      </c>
      <c r="AR34" s="151">
        <f t="shared" si="17"/>
        <v>0</v>
      </c>
      <c r="AS34" s="152">
        <f t="shared" si="18"/>
        <v>4</v>
      </c>
      <c r="AT34" s="151">
        <f t="shared" si="19"/>
        <v>0</v>
      </c>
      <c r="AU34" s="151">
        <f t="shared" si="20"/>
        <v>0</v>
      </c>
      <c r="AV34" s="151">
        <f t="shared" si="21"/>
        <v>0</v>
      </c>
      <c r="AW34" s="151">
        <f t="shared" si="22"/>
        <v>0</v>
      </c>
      <c r="AX34" s="151">
        <f t="shared" si="23"/>
        <v>0</v>
      </c>
      <c r="AY34" s="151">
        <f t="shared" si="24"/>
        <v>0</v>
      </c>
      <c r="AZ34" s="153">
        <f t="shared" si="25"/>
        <v>0</v>
      </c>
    </row>
    <row r="35" spans="2:96" s="1" customFormat="1" ht="27.95" customHeight="1" thickBot="1">
      <c r="B35" s="193" t="s">
        <v>62</v>
      </c>
      <c r="C35" s="194"/>
      <c r="D35" s="95">
        <f t="shared" ref="D35:AE35" si="27">SUM(D18:D34)</f>
        <v>98.75</v>
      </c>
      <c r="E35" s="96">
        <f t="shared" si="27"/>
        <v>98.75</v>
      </c>
      <c r="F35" s="96">
        <f t="shared" si="27"/>
        <v>104.75</v>
      </c>
      <c r="G35" s="96">
        <f t="shared" si="27"/>
        <v>104.75</v>
      </c>
      <c r="H35" s="96">
        <f t="shared" si="27"/>
        <v>104.75</v>
      </c>
      <c r="I35" s="96">
        <f t="shared" si="27"/>
        <v>104.75</v>
      </c>
      <c r="J35" s="97">
        <f t="shared" si="27"/>
        <v>99.75</v>
      </c>
      <c r="K35" s="98">
        <f t="shared" si="27"/>
        <v>107.75</v>
      </c>
      <c r="L35" s="96">
        <f t="shared" si="27"/>
        <v>106.75</v>
      </c>
      <c r="M35" s="96">
        <f t="shared" si="27"/>
        <v>106.75</v>
      </c>
      <c r="N35" s="96">
        <f t="shared" si="27"/>
        <v>93.75</v>
      </c>
      <c r="O35" s="96">
        <f t="shared" si="27"/>
        <v>112.75</v>
      </c>
      <c r="P35" s="96">
        <f t="shared" si="27"/>
        <v>85.75</v>
      </c>
      <c r="Q35" s="97">
        <f t="shared" si="27"/>
        <v>104.75</v>
      </c>
      <c r="R35" s="98">
        <f t="shared" si="27"/>
        <v>96.75</v>
      </c>
      <c r="S35" s="96">
        <f t="shared" si="27"/>
        <v>69.75</v>
      </c>
      <c r="T35" s="96">
        <f t="shared" si="27"/>
        <v>65.75</v>
      </c>
      <c r="U35" s="96">
        <f t="shared" si="27"/>
        <v>66.75</v>
      </c>
      <c r="V35" s="96">
        <f t="shared" si="27"/>
        <v>80.75</v>
      </c>
      <c r="W35" s="96">
        <f t="shared" si="27"/>
        <v>91.75</v>
      </c>
      <c r="X35" s="97">
        <f t="shared" si="27"/>
        <v>80.75</v>
      </c>
      <c r="Y35" s="98">
        <f t="shared" si="27"/>
        <v>88.75</v>
      </c>
      <c r="Z35" s="96">
        <f t="shared" si="27"/>
        <v>88.75</v>
      </c>
      <c r="AA35" s="96">
        <f t="shared" si="27"/>
        <v>78.75</v>
      </c>
      <c r="AB35" s="96">
        <f t="shared" si="27"/>
        <v>96.75</v>
      </c>
      <c r="AC35" s="96">
        <f t="shared" si="27"/>
        <v>104.75</v>
      </c>
      <c r="AD35" s="96">
        <f t="shared" si="27"/>
        <v>89.75</v>
      </c>
      <c r="AE35" s="97">
        <f t="shared" si="27"/>
        <v>104.75</v>
      </c>
      <c r="AF35" s="96">
        <f t="shared" ref="AF35:AH35" si="28">SUM(AF18:AF34)</f>
        <v>104.75</v>
      </c>
      <c r="AG35" s="96">
        <f t="shared" si="28"/>
        <v>89.75</v>
      </c>
      <c r="AH35" s="97">
        <f t="shared" si="28"/>
        <v>104.75</v>
      </c>
      <c r="AI35" s="179">
        <f t="shared" si="9"/>
        <v>716.25</v>
      </c>
      <c r="AJ35" s="95">
        <f t="shared" si="10"/>
        <v>718.25</v>
      </c>
      <c r="AK35" s="95">
        <f>SUM(Q35:W35)</f>
        <v>576.25</v>
      </c>
      <c r="AL35" s="95">
        <f>SUM(R35:X35)</f>
        <v>552.25</v>
      </c>
      <c r="AM35" s="179">
        <f>SUM(Y35:AE35)</f>
        <v>652.25</v>
      </c>
      <c r="AN35" s="172">
        <f>SUM(D35:AE35)</f>
        <v>2639</v>
      </c>
    </row>
    <row r="36" spans="2:96" s="1" customFormat="1" ht="27.95" customHeight="1" thickBot="1">
      <c r="B36" s="191" t="s">
        <v>90</v>
      </c>
      <c r="C36" s="192"/>
      <c r="D36" s="199">
        <f>SUM(D35:J35)</f>
        <v>716.25</v>
      </c>
      <c r="E36" s="200"/>
      <c r="F36" s="200"/>
      <c r="G36" s="200"/>
      <c r="H36" s="200"/>
      <c r="I36" s="200"/>
      <c r="J36" s="201"/>
      <c r="K36" s="200">
        <f>SUM(K35:Q35)</f>
        <v>718.25</v>
      </c>
      <c r="L36" s="200"/>
      <c r="M36" s="200"/>
      <c r="N36" s="200"/>
      <c r="O36" s="200"/>
      <c r="P36" s="200"/>
      <c r="Q36" s="200"/>
      <c r="R36" s="199">
        <f>SUM(R35:X35)</f>
        <v>552.25</v>
      </c>
      <c r="S36" s="200"/>
      <c r="T36" s="200"/>
      <c r="U36" s="200"/>
      <c r="V36" s="200"/>
      <c r="W36" s="200"/>
      <c r="X36" s="201"/>
      <c r="Y36" s="199">
        <f>SUM(Y35:AE35)</f>
        <v>652.25</v>
      </c>
      <c r="Z36" s="200"/>
      <c r="AA36" s="200"/>
      <c r="AB36" s="200"/>
      <c r="AC36" s="200"/>
      <c r="AD36" s="200"/>
      <c r="AE36" s="201"/>
      <c r="AF36" s="184">
        <f>SUM(AF35:AH35)</f>
        <v>299.25</v>
      </c>
      <c r="AG36" s="185"/>
      <c r="AH36" s="185"/>
      <c r="AI36" s="184">
        <f>SUM(D36:AH36)</f>
        <v>2938.25</v>
      </c>
      <c r="AJ36" s="195"/>
      <c r="AK36" s="195"/>
      <c r="AL36" s="195"/>
      <c r="AM36" s="185"/>
      <c r="AN36" s="181"/>
      <c r="AR36" s="32"/>
    </row>
    <row r="37" spans="2:96" s="1" customFormat="1" ht="27.95" customHeight="1" thickBot="1">
      <c r="B37" s="196" t="s">
        <v>91</v>
      </c>
      <c r="C37" s="197"/>
      <c r="D37" s="186">
        <f>728</f>
        <v>728</v>
      </c>
      <c r="E37" s="198"/>
      <c r="F37" s="198"/>
      <c r="G37" s="198"/>
      <c r="H37" s="198"/>
      <c r="I37" s="198"/>
      <c r="J37" s="187"/>
      <c r="K37" s="186">
        <f>728</f>
        <v>728</v>
      </c>
      <c r="L37" s="198"/>
      <c r="M37" s="198"/>
      <c r="N37" s="198"/>
      <c r="O37" s="198"/>
      <c r="P37" s="198"/>
      <c r="Q37" s="187"/>
      <c r="R37" s="186">
        <f>728</f>
        <v>728</v>
      </c>
      <c r="S37" s="198"/>
      <c r="T37" s="198"/>
      <c r="U37" s="198"/>
      <c r="V37" s="198"/>
      <c r="W37" s="198"/>
      <c r="X37" s="187"/>
      <c r="Y37" s="186">
        <f>728</f>
        <v>728</v>
      </c>
      <c r="Z37" s="198"/>
      <c r="AA37" s="198"/>
      <c r="AB37" s="198"/>
      <c r="AC37" s="198"/>
      <c r="AD37" s="198"/>
      <c r="AE37" s="187"/>
      <c r="AF37" s="186">
        <f>Y37/7*COUNT(AF35:AH35)</f>
        <v>312</v>
      </c>
      <c r="AG37" s="187"/>
      <c r="AH37" s="187"/>
      <c r="AI37" s="186">
        <f>SUM(D37:AH37)</f>
        <v>3224</v>
      </c>
      <c r="AJ37" s="198"/>
      <c r="AK37" s="198"/>
      <c r="AL37" s="198"/>
      <c r="AM37" s="187"/>
      <c r="AN37" s="181"/>
      <c r="AR37" s="32"/>
    </row>
    <row r="38" spans="2:96" s="31" customFormat="1" ht="27.95" customHeight="1" thickBot="1">
      <c r="B38" s="188" t="s">
        <v>63</v>
      </c>
      <c r="C38" s="189"/>
      <c r="D38" s="182">
        <f>SUM(D36-728)</f>
        <v>-11.75</v>
      </c>
      <c r="E38" s="190"/>
      <c r="F38" s="190"/>
      <c r="G38" s="190"/>
      <c r="H38" s="190"/>
      <c r="I38" s="190"/>
      <c r="J38" s="183"/>
      <c r="K38" s="182">
        <f>SUM(K36-728)</f>
        <v>-9.75</v>
      </c>
      <c r="L38" s="190"/>
      <c r="M38" s="190"/>
      <c r="N38" s="190"/>
      <c r="O38" s="190"/>
      <c r="P38" s="190"/>
      <c r="Q38" s="183"/>
      <c r="R38" s="182">
        <f>SUM(R36-728)</f>
        <v>-175.75</v>
      </c>
      <c r="S38" s="190"/>
      <c r="T38" s="190"/>
      <c r="U38" s="190"/>
      <c r="V38" s="190"/>
      <c r="W38" s="190"/>
      <c r="X38" s="183"/>
      <c r="Y38" s="182">
        <f>SUM(Y36-728)</f>
        <v>-75.75</v>
      </c>
      <c r="Z38" s="190"/>
      <c r="AA38" s="190"/>
      <c r="AB38" s="190"/>
      <c r="AC38" s="190"/>
      <c r="AD38" s="190"/>
      <c r="AE38" s="183"/>
      <c r="AF38" s="182">
        <f>AF36-AF37</f>
        <v>-12.75</v>
      </c>
      <c r="AG38" s="183"/>
      <c r="AH38" s="183"/>
      <c r="AI38" s="182">
        <f>SUM(D38:AH38)</f>
        <v>-285.75</v>
      </c>
      <c r="AJ38" s="190"/>
      <c r="AK38" s="190"/>
      <c r="AL38" s="190"/>
      <c r="AM38" s="183"/>
      <c r="AN38" s="181"/>
      <c r="AO38" s="1"/>
      <c r="AR38" s="34"/>
    </row>
    <row r="39" spans="2:96" s="1" customFormat="1" ht="18" customHeight="1">
      <c r="B39" s="24"/>
      <c r="C39" s="25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33"/>
      <c r="CG39" s="33"/>
      <c r="CH39" s="13"/>
      <c r="CI39" s="13"/>
      <c r="CJ39" s="13"/>
      <c r="CK39" s="33"/>
      <c r="CL39" s="33"/>
      <c r="CM39" s="13"/>
      <c r="CN39" s="13"/>
      <c r="CO39" s="13"/>
      <c r="CP39" s="13"/>
      <c r="CQ39" s="13"/>
      <c r="CR39" s="13"/>
    </row>
    <row r="40" spans="2:96" s="1" customFormat="1" ht="27.95" customHeight="1" thickBot="1">
      <c r="B40" s="3" t="s">
        <v>93</v>
      </c>
      <c r="C40" s="2"/>
      <c r="AN40" s="31"/>
    </row>
    <row r="41" spans="2:96" ht="27.95" customHeight="1">
      <c r="B41" s="64" t="s">
        <v>36</v>
      </c>
      <c r="C41" s="120" t="s">
        <v>37</v>
      </c>
      <c r="D41" s="93">
        <v>5</v>
      </c>
      <c r="E41" s="82">
        <v>5</v>
      </c>
      <c r="F41" s="58">
        <v>5</v>
      </c>
      <c r="G41" s="58">
        <v>5</v>
      </c>
      <c r="H41" s="58">
        <v>5</v>
      </c>
      <c r="I41" s="58">
        <v>5</v>
      </c>
      <c r="J41" s="59">
        <v>5</v>
      </c>
      <c r="K41" s="57">
        <v>5</v>
      </c>
      <c r="L41" s="58">
        <v>5</v>
      </c>
      <c r="M41" s="58">
        <v>5</v>
      </c>
      <c r="N41" s="58">
        <v>5</v>
      </c>
      <c r="O41" s="58">
        <v>5</v>
      </c>
      <c r="P41" s="58" t="s">
        <v>82</v>
      </c>
      <c r="Q41" s="59">
        <v>5</v>
      </c>
      <c r="R41" s="57">
        <v>5</v>
      </c>
      <c r="S41" s="60">
        <v>5</v>
      </c>
      <c r="T41" s="58">
        <v>5</v>
      </c>
      <c r="U41" s="58">
        <v>5</v>
      </c>
      <c r="V41" s="58">
        <v>5</v>
      </c>
      <c r="W41" s="58">
        <v>5</v>
      </c>
      <c r="X41" s="59">
        <v>5</v>
      </c>
      <c r="Y41" s="57">
        <v>5</v>
      </c>
      <c r="Z41" s="58">
        <v>5</v>
      </c>
      <c r="AA41" s="58" t="s">
        <v>82</v>
      </c>
      <c r="AB41" s="58">
        <v>5</v>
      </c>
      <c r="AC41" s="58">
        <v>5</v>
      </c>
      <c r="AD41" s="58" t="s">
        <v>82</v>
      </c>
      <c r="AE41" s="59">
        <v>5</v>
      </c>
      <c r="AF41" s="58">
        <v>5</v>
      </c>
      <c r="AG41" s="58" t="s">
        <v>82</v>
      </c>
      <c r="AH41" s="59">
        <v>5</v>
      </c>
      <c r="AI41" s="127">
        <f>SUM(D41:J41)</f>
        <v>35</v>
      </c>
      <c r="AJ41" s="128">
        <f>SUM(K41:Q41)</f>
        <v>30</v>
      </c>
      <c r="AK41" s="128">
        <f>SUM(R41:X41)</f>
        <v>35</v>
      </c>
      <c r="AL41" s="128">
        <f>SUM(Y41:AE41)</f>
        <v>25</v>
      </c>
      <c r="AM41" s="127">
        <f>SUM(AF41:AH41)</f>
        <v>10</v>
      </c>
      <c r="AN41" s="66">
        <f>SUM(AI41:AM41)</f>
        <v>135</v>
      </c>
      <c r="AO41" s="142">
        <f>COUNTIFS(D41:AE41,"&gt;=4",D41:AE41,"&lt;=10")</f>
        <v>25</v>
      </c>
      <c r="AP41" s="143"/>
      <c r="AQ41" s="144">
        <f t="shared" ref="AQ41:AQ43" si="29">$AQ$8</f>
        <v>4</v>
      </c>
      <c r="AR41" s="145">
        <f>COUNTIF(D41:AE41,"RD")</f>
        <v>0</v>
      </c>
      <c r="AS41" s="146">
        <f t="shared" ref="AS41:AS43" si="30">AQ41-AR41</f>
        <v>4</v>
      </c>
      <c r="AT41" s="145">
        <f>COUNTIF(C41:AE41,"AL")</f>
        <v>0</v>
      </c>
      <c r="AU41" s="145">
        <f>COUNTIF(D41:AE41,"NP")</f>
        <v>0</v>
      </c>
      <c r="AV41" s="145">
        <f>COUNTIF(C41:AE41,"SL")</f>
        <v>0</v>
      </c>
      <c r="AW41" s="145">
        <f>COUNTIF(D41:AE41,"NS")</f>
        <v>0</v>
      </c>
      <c r="AX41" s="145">
        <f>COUNTIF(C41:AE41,"SH")</f>
        <v>0</v>
      </c>
      <c r="AY41" s="145">
        <f>COUNTIF(D41:AE41,"NSH")</f>
        <v>3</v>
      </c>
      <c r="AZ41" s="147">
        <f>COUNTIF(D41:AE41,"NC")</f>
        <v>0</v>
      </c>
    </row>
    <row r="42" spans="2:96" s="1" customFormat="1" ht="27.95" customHeight="1">
      <c r="B42" s="21" t="s">
        <v>30</v>
      </c>
      <c r="C42" s="121" t="s">
        <v>31</v>
      </c>
      <c r="D42" s="88">
        <v>0.25</v>
      </c>
      <c r="E42" s="77">
        <v>0.25</v>
      </c>
      <c r="F42" s="77">
        <v>0.25</v>
      </c>
      <c r="G42" s="77">
        <v>0.25</v>
      </c>
      <c r="H42" s="77">
        <v>0.25</v>
      </c>
      <c r="I42" s="77">
        <v>0.25</v>
      </c>
      <c r="J42" s="89">
        <v>0.25</v>
      </c>
      <c r="K42" s="88">
        <v>0.25</v>
      </c>
      <c r="L42" s="77">
        <v>0.25</v>
      </c>
      <c r="M42" s="77">
        <v>0.25</v>
      </c>
      <c r="N42" s="77">
        <v>0.25</v>
      </c>
      <c r="O42" s="77">
        <v>0.25</v>
      </c>
      <c r="P42" s="77">
        <v>5.25</v>
      </c>
      <c r="Q42" s="89">
        <v>0.25</v>
      </c>
      <c r="R42" s="87" t="s">
        <v>82</v>
      </c>
      <c r="S42" s="81" t="s">
        <v>82</v>
      </c>
      <c r="T42" s="78" t="s">
        <v>82</v>
      </c>
      <c r="U42" s="78" t="s">
        <v>66</v>
      </c>
      <c r="V42" s="78" t="s">
        <v>66</v>
      </c>
      <c r="W42" s="78" t="s">
        <v>66</v>
      </c>
      <c r="X42" s="89">
        <v>0.25</v>
      </c>
      <c r="Y42" s="88">
        <v>0.25</v>
      </c>
      <c r="Z42" s="77">
        <v>0.25</v>
      </c>
      <c r="AA42" s="77">
        <v>5.25</v>
      </c>
      <c r="AB42" s="77">
        <v>0.25</v>
      </c>
      <c r="AC42" s="77">
        <v>0.25</v>
      </c>
      <c r="AD42" s="77">
        <v>5.25</v>
      </c>
      <c r="AE42" s="89">
        <v>0.25</v>
      </c>
      <c r="AF42" s="77">
        <v>0.25</v>
      </c>
      <c r="AG42" s="77">
        <v>5.25</v>
      </c>
      <c r="AH42" s="89">
        <v>0.25</v>
      </c>
      <c r="AI42" s="157">
        <f>SUM(D42:J42)</f>
        <v>1.75</v>
      </c>
      <c r="AJ42" s="157">
        <f>SUM(K42:Q42)</f>
        <v>6.75</v>
      </c>
      <c r="AK42" s="157">
        <f>SUM(R42:X42)</f>
        <v>0.25</v>
      </c>
      <c r="AL42" s="157">
        <f>SUM(Y42:AE42)</f>
        <v>11.75</v>
      </c>
      <c r="AM42" s="157">
        <f>SUM(AF42:AH42)</f>
        <v>5.75</v>
      </c>
      <c r="AN42" s="157">
        <f>SUM(AI42:AM42)</f>
        <v>26.25</v>
      </c>
      <c r="AO42" s="133">
        <f>COUNTIFS(D42:AE42,"&gt;=4",D42:AE42,"&lt;=10")</f>
        <v>3</v>
      </c>
      <c r="AP42" s="134"/>
      <c r="AQ42" s="135">
        <f t="shared" si="29"/>
        <v>4</v>
      </c>
      <c r="AR42" s="136">
        <f>COUNTIF(D42:AE42,"RD")</f>
        <v>3</v>
      </c>
      <c r="AS42" s="137">
        <f t="shared" si="30"/>
        <v>1</v>
      </c>
      <c r="AT42" s="136">
        <f>COUNTIF(C42:AE42,"AL")</f>
        <v>0</v>
      </c>
      <c r="AU42" s="136">
        <f>COUNTIF(D42:AE42,"NP")</f>
        <v>0</v>
      </c>
      <c r="AV42" s="136">
        <f>COUNTIF(C42:AE42,"SL")</f>
        <v>0</v>
      </c>
      <c r="AW42" s="136">
        <f>COUNTIF(D42:AE42,"NS")</f>
        <v>0</v>
      </c>
      <c r="AX42" s="136">
        <f>COUNTIF(C42:AE42,"SH")</f>
        <v>0</v>
      </c>
      <c r="AY42" s="136">
        <f>COUNTIF(D42:AE42,"NSH")</f>
        <v>3</v>
      </c>
      <c r="AZ42" s="138">
        <f>COUNTIF(D42:AE42,"NC")</f>
        <v>0</v>
      </c>
    </row>
    <row r="43" spans="2:96" s="1" customFormat="1" ht="27.95" customHeight="1" thickBot="1">
      <c r="B43" s="67" t="s">
        <v>32</v>
      </c>
      <c r="C43" s="122" t="s">
        <v>33</v>
      </c>
      <c r="D43" s="92" t="s">
        <v>72</v>
      </c>
      <c r="E43" s="83" t="s">
        <v>72</v>
      </c>
      <c r="F43" s="83" t="s">
        <v>72</v>
      </c>
      <c r="G43" s="83" t="s">
        <v>72</v>
      </c>
      <c r="H43" s="83" t="s">
        <v>72</v>
      </c>
      <c r="I43" s="83" t="s">
        <v>82</v>
      </c>
      <c r="J43" s="91" t="s">
        <v>82</v>
      </c>
      <c r="K43" s="92" t="s">
        <v>72</v>
      </c>
      <c r="L43" s="83" t="s">
        <v>72</v>
      </c>
      <c r="M43" s="83" t="s">
        <v>72</v>
      </c>
      <c r="N43" s="83" t="s">
        <v>72</v>
      </c>
      <c r="O43" s="83" t="s">
        <v>72</v>
      </c>
      <c r="P43" s="83" t="s">
        <v>72</v>
      </c>
      <c r="Q43" s="91" t="s">
        <v>72</v>
      </c>
      <c r="R43" s="92">
        <v>0.25</v>
      </c>
      <c r="S43" s="83">
        <v>0.25</v>
      </c>
      <c r="T43" s="83">
        <v>0.25</v>
      </c>
      <c r="U43" s="83">
        <v>0.25</v>
      </c>
      <c r="V43" s="83">
        <v>0.25</v>
      </c>
      <c r="W43" s="83">
        <v>0.25</v>
      </c>
      <c r="X43" s="91" t="s">
        <v>72</v>
      </c>
      <c r="Y43" s="92" t="s">
        <v>82</v>
      </c>
      <c r="Z43" s="83" t="s">
        <v>72</v>
      </c>
      <c r="AA43" s="83" t="s">
        <v>72</v>
      </c>
      <c r="AB43" s="83" t="s">
        <v>72</v>
      </c>
      <c r="AC43" s="83" t="s">
        <v>72</v>
      </c>
      <c r="AD43" s="83" t="s">
        <v>72</v>
      </c>
      <c r="AE43" s="91" t="s">
        <v>72</v>
      </c>
      <c r="AF43" s="83" t="s">
        <v>72</v>
      </c>
      <c r="AG43" s="83" t="s">
        <v>72</v>
      </c>
      <c r="AH43" s="91" t="s">
        <v>72</v>
      </c>
      <c r="AI43" s="129">
        <f>SUM(D43:J43)</f>
        <v>0</v>
      </c>
      <c r="AJ43" s="129">
        <f>SUM(K43:Q43)</f>
        <v>0</v>
      </c>
      <c r="AK43" s="158">
        <f>SUM(R43:X43)</f>
        <v>1.5</v>
      </c>
      <c r="AL43" s="158">
        <f>SUM(Y43:AE43)</f>
        <v>0</v>
      </c>
      <c r="AM43" s="129">
        <f>SUM(AF43:AH43)</f>
        <v>0</v>
      </c>
      <c r="AN43" s="158">
        <f>SUM(AI43:AM43)</f>
        <v>1.5</v>
      </c>
      <c r="AO43" s="148">
        <f>COUNTIFS(D43:AE43,"&gt;=4",D43:AE43,"&lt;=10")</f>
        <v>0</v>
      </c>
      <c r="AP43" s="149"/>
      <c r="AQ43" s="150">
        <f t="shared" si="29"/>
        <v>4</v>
      </c>
      <c r="AR43" s="151">
        <f>COUNTIF(D43:AE43,"RD")</f>
        <v>0</v>
      </c>
      <c r="AS43" s="152">
        <f t="shared" si="30"/>
        <v>4</v>
      </c>
      <c r="AT43" s="151">
        <f>COUNTIF(C43:AE43,"AL")</f>
        <v>0</v>
      </c>
      <c r="AU43" s="151">
        <f>COUNTIF(D43:AE43,"NP")</f>
        <v>0</v>
      </c>
      <c r="AV43" s="151">
        <f>COUNTIF(C43:AE43,"SL")</f>
        <v>0</v>
      </c>
      <c r="AW43" s="151">
        <f>COUNTIF(D43:AE43,"NS")</f>
        <v>0</v>
      </c>
      <c r="AX43" s="151">
        <f>COUNTIF(C43:AE43,"SH")</f>
        <v>0</v>
      </c>
      <c r="AY43" s="151">
        <f>COUNTIF(D43:AE43,"NSH")</f>
        <v>3</v>
      </c>
      <c r="AZ43" s="153">
        <f>COUNTIF(D43:AE43,"NC")</f>
        <v>0</v>
      </c>
    </row>
    <row r="44" spans="2:96" s="1" customFormat="1" ht="27.95" customHeight="1" thickBot="1">
      <c r="B44" s="193" t="s">
        <v>94</v>
      </c>
      <c r="C44" s="194"/>
      <c r="D44" s="123">
        <f t="shared" ref="D44:AE44" si="31">SUM(D41:D43)</f>
        <v>5.25</v>
      </c>
      <c r="E44" s="124">
        <f t="shared" si="31"/>
        <v>5.25</v>
      </c>
      <c r="F44" s="124">
        <f t="shared" si="31"/>
        <v>5.25</v>
      </c>
      <c r="G44" s="124">
        <f t="shared" si="31"/>
        <v>5.25</v>
      </c>
      <c r="H44" s="124">
        <f t="shared" si="31"/>
        <v>5.25</v>
      </c>
      <c r="I44" s="124">
        <f t="shared" si="31"/>
        <v>5.25</v>
      </c>
      <c r="J44" s="125">
        <f t="shared" si="31"/>
        <v>5.25</v>
      </c>
      <c r="K44" s="123">
        <f t="shared" si="31"/>
        <v>5.25</v>
      </c>
      <c r="L44" s="124">
        <f t="shared" si="31"/>
        <v>5.25</v>
      </c>
      <c r="M44" s="124">
        <f t="shared" si="31"/>
        <v>5.25</v>
      </c>
      <c r="N44" s="124">
        <f t="shared" si="31"/>
        <v>5.25</v>
      </c>
      <c r="O44" s="124">
        <f t="shared" si="31"/>
        <v>5.25</v>
      </c>
      <c r="P44" s="124">
        <f t="shared" si="31"/>
        <v>5.25</v>
      </c>
      <c r="Q44" s="125">
        <f t="shared" si="31"/>
        <v>5.25</v>
      </c>
      <c r="R44" s="123">
        <f t="shared" si="31"/>
        <v>5.25</v>
      </c>
      <c r="S44" s="124">
        <f t="shared" si="31"/>
        <v>5.25</v>
      </c>
      <c r="T44" s="124">
        <f t="shared" si="31"/>
        <v>5.25</v>
      </c>
      <c r="U44" s="124">
        <f t="shared" si="31"/>
        <v>5.25</v>
      </c>
      <c r="V44" s="124">
        <f t="shared" si="31"/>
        <v>5.25</v>
      </c>
      <c r="W44" s="124">
        <f t="shared" si="31"/>
        <v>5.25</v>
      </c>
      <c r="X44" s="125">
        <f t="shared" si="31"/>
        <v>5.25</v>
      </c>
      <c r="Y44" s="123">
        <f t="shared" si="31"/>
        <v>5.25</v>
      </c>
      <c r="Z44" s="124">
        <f t="shared" si="31"/>
        <v>5.25</v>
      </c>
      <c r="AA44" s="124">
        <f t="shared" si="31"/>
        <v>5.25</v>
      </c>
      <c r="AB44" s="124">
        <f t="shared" si="31"/>
        <v>5.25</v>
      </c>
      <c r="AC44" s="124">
        <f t="shared" si="31"/>
        <v>5.25</v>
      </c>
      <c r="AD44" s="124">
        <f t="shared" si="31"/>
        <v>5.25</v>
      </c>
      <c r="AE44" s="125">
        <f t="shared" si="31"/>
        <v>5.25</v>
      </c>
      <c r="AF44" s="124">
        <f t="shared" ref="AF44:AH44" si="32">SUM(AF41:AF43)</f>
        <v>5.25</v>
      </c>
      <c r="AG44" s="124">
        <f t="shared" si="32"/>
        <v>5.25</v>
      </c>
      <c r="AH44" s="125">
        <f t="shared" si="32"/>
        <v>5.25</v>
      </c>
      <c r="AI44" s="159">
        <f>SUM(D44:J44)</f>
        <v>36.75</v>
      </c>
      <c r="AJ44" s="159">
        <f>SUM(K44:Q44)</f>
        <v>36.75</v>
      </c>
      <c r="AK44" s="159">
        <f>SUM(R44:X44)</f>
        <v>36.75</v>
      </c>
      <c r="AL44" s="159">
        <f>SUM(Y44:AE44)</f>
        <v>36.75</v>
      </c>
      <c r="AM44" s="159">
        <f>SUM(AF44:AH44)</f>
        <v>15.75</v>
      </c>
      <c r="AN44" s="174">
        <f>SUM(AI44:AM44)</f>
        <v>162.75</v>
      </c>
      <c r="AR44" s="32"/>
    </row>
    <row r="45" spans="2:96" s="1" customFormat="1" ht="27.95" customHeight="1" thickBot="1">
      <c r="B45" s="191" t="s">
        <v>95</v>
      </c>
      <c r="C45" s="192"/>
      <c r="D45" s="199">
        <f>SUM(D44:J44)</f>
        <v>36.75</v>
      </c>
      <c r="E45" s="200"/>
      <c r="F45" s="200"/>
      <c r="G45" s="200"/>
      <c r="H45" s="200"/>
      <c r="I45" s="200"/>
      <c r="J45" s="201"/>
      <c r="K45" s="200">
        <f>SUM(K44:Q44)</f>
        <v>36.75</v>
      </c>
      <c r="L45" s="200"/>
      <c r="M45" s="200"/>
      <c r="N45" s="200"/>
      <c r="O45" s="200"/>
      <c r="P45" s="200"/>
      <c r="Q45" s="200"/>
      <c r="R45" s="199">
        <f>SUM(R44:X44)</f>
        <v>36.75</v>
      </c>
      <c r="S45" s="200"/>
      <c r="T45" s="200"/>
      <c r="U45" s="200"/>
      <c r="V45" s="200"/>
      <c r="W45" s="200"/>
      <c r="X45" s="201"/>
      <c r="Y45" s="199">
        <f>SUM(Y44:AE44)</f>
        <v>36.75</v>
      </c>
      <c r="Z45" s="200"/>
      <c r="AA45" s="200"/>
      <c r="AB45" s="200"/>
      <c r="AC45" s="200"/>
      <c r="AD45" s="200"/>
      <c r="AE45" s="201"/>
      <c r="AF45" s="184">
        <f>SUM(AF44:AH44)</f>
        <v>15.75</v>
      </c>
      <c r="AG45" s="185"/>
      <c r="AH45" s="185"/>
      <c r="AI45" s="184">
        <f>SUM(D45:AE45)</f>
        <v>147</v>
      </c>
      <c r="AJ45" s="195">
        <f>SUM(K45:Q45)</f>
        <v>36.75</v>
      </c>
      <c r="AK45" s="195"/>
      <c r="AL45" s="195">
        <f>SUM(R45:X45)</f>
        <v>36.75</v>
      </c>
      <c r="AM45" s="185">
        <f>SUM(Y45:AE45)</f>
        <v>36.75</v>
      </c>
      <c r="AN45" s="181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33"/>
      <c r="CG45" s="33"/>
      <c r="CH45" s="13"/>
      <c r="CI45" s="13"/>
      <c r="CJ45" s="13"/>
      <c r="CK45" s="33"/>
      <c r="CL45" s="33"/>
      <c r="CM45" s="13"/>
      <c r="CN45" s="13"/>
      <c r="CO45" s="13"/>
      <c r="CP45" s="13"/>
      <c r="CQ45" s="13"/>
      <c r="CR45" s="13"/>
    </row>
    <row r="46" spans="2:96" s="1" customFormat="1" ht="27.95" customHeight="1" thickBot="1">
      <c r="B46" s="196" t="s">
        <v>96</v>
      </c>
      <c r="C46" s="197"/>
      <c r="D46" s="186">
        <f>5.25*7</f>
        <v>36.75</v>
      </c>
      <c r="E46" s="198"/>
      <c r="F46" s="198"/>
      <c r="G46" s="198"/>
      <c r="H46" s="198"/>
      <c r="I46" s="198"/>
      <c r="J46" s="187"/>
      <c r="K46" s="186">
        <f>5.25*7</f>
        <v>36.75</v>
      </c>
      <c r="L46" s="198"/>
      <c r="M46" s="198"/>
      <c r="N46" s="198"/>
      <c r="O46" s="198"/>
      <c r="P46" s="198"/>
      <c r="Q46" s="187"/>
      <c r="R46" s="186">
        <f>5.25*7</f>
        <v>36.75</v>
      </c>
      <c r="S46" s="198"/>
      <c r="T46" s="198"/>
      <c r="U46" s="198"/>
      <c r="V46" s="198"/>
      <c r="W46" s="198"/>
      <c r="X46" s="187"/>
      <c r="Y46" s="186">
        <f>5.25*7</f>
        <v>36.75</v>
      </c>
      <c r="Z46" s="198"/>
      <c r="AA46" s="198"/>
      <c r="AB46" s="198"/>
      <c r="AC46" s="198"/>
      <c r="AD46" s="198"/>
      <c r="AE46" s="187"/>
      <c r="AF46" s="186">
        <f>Y46/7*COUNT(AF44:AH44)</f>
        <v>15.75</v>
      </c>
      <c r="AG46" s="187"/>
      <c r="AH46" s="187"/>
      <c r="AI46" s="186">
        <f>SUM(D46:AE46)</f>
        <v>147</v>
      </c>
      <c r="AJ46" s="198"/>
      <c r="AK46" s="198"/>
      <c r="AL46" s="198"/>
      <c r="AM46" s="187"/>
      <c r="AN46" s="181"/>
      <c r="AR46" s="32"/>
    </row>
    <row r="47" spans="2:96" s="31" customFormat="1" ht="27.95" customHeight="1" thickBot="1">
      <c r="B47" s="188" t="s">
        <v>63</v>
      </c>
      <c r="C47" s="189"/>
      <c r="D47" s="182">
        <f>SUM(D45-D46)</f>
        <v>0</v>
      </c>
      <c r="E47" s="190"/>
      <c r="F47" s="190"/>
      <c r="G47" s="190"/>
      <c r="H47" s="190"/>
      <c r="I47" s="190"/>
      <c r="J47" s="183"/>
      <c r="K47" s="182">
        <f t="shared" ref="K47" si="33">SUM(K45-K46)</f>
        <v>0</v>
      </c>
      <c r="L47" s="190"/>
      <c r="M47" s="190"/>
      <c r="N47" s="190"/>
      <c r="O47" s="190"/>
      <c r="P47" s="190"/>
      <c r="Q47" s="183"/>
      <c r="R47" s="182">
        <f t="shared" ref="R47" si="34">SUM(R45-R46)</f>
        <v>0</v>
      </c>
      <c r="S47" s="190"/>
      <c r="T47" s="190"/>
      <c r="U47" s="190"/>
      <c r="V47" s="190"/>
      <c r="W47" s="190"/>
      <c r="X47" s="183"/>
      <c r="Y47" s="182">
        <f t="shared" ref="Y47" si="35">SUM(Y45-Y46)</f>
        <v>0</v>
      </c>
      <c r="Z47" s="190"/>
      <c r="AA47" s="190"/>
      <c r="AB47" s="190"/>
      <c r="AC47" s="190"/>
      <c r="AD47" s="190"/>
      <c r="AE47" s="183"/>
      <c r="AF47" s="182">
        <f>AF45-AF46</f>
        <v>0</v>
      </c>
      <c r="AG47" s="183"/>
      <c r="AH47" s="183"/>
      <c r="AI47" s="182">
        <f>AI45-AI46</f>
        <v>0</v>
      </c>
      <c r="AJ47" s="190"/>
      <c r="AK47" s="190"/>
      <c r="AL47" s="190"/>
      <c r="AM47" s="183"/>
      <c r="AN47" s="181"/>
      <c r="AO47" s="1"/>
      <c r="AR47" s="34"/>
    </row>
    <row r="48" spans="2:96" s="1" customFormat="1" ht="27.95" customHeight="1" thickBot="1">
      <c r="B48" s="4"/>
      <c r="C48" s="1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3"/>
    </row>
    <row r="49" spans="2:44" s="1" customFormat="1" ht="27.95" customHeight="1" thickBot="1">
      <c r="B49" s="4"/>
      <c r="C49" s="17" t="s">
        <v>65</v>
      </c>
      <c r="D49" s="1" t="s">
        <v>87</v>
      </c>
      <c r="E49" s="3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02" t="s">
        <v>64</v>
      </c>
      <c r="W49" s="230"/>
      <c r="X49" s="230"/>
      <c r="Y49" s="230"/>
      <c r="Z49" s="230"/>
      <c r="AA49" s="230"/>
      <c r="AB49" s="203"/>
      <c r="AC49" s="228">
        <f>SUM(AI13,AI36,AI45)</f>
        <v>3333.25</v>
      </c>
      <c r="AD49" s="228"/>
      <c r="AE49" s="229"/>
    </row>
    <row r="50" spans="2:44" s="5" customFormat="1" ht="27.95" customHeight="1">
      <c r="B50" s="52"/>
      <c r="C50" s="25"/>
      <c r="D50" s="160" t="s">
        <v>81</v>
      </c>
      <c r="E50" s="71" t="s">
        <v>66</v>
      </c>
      <c r="F50" s="72" t="s">
        <v>80</v>
      </c>
      <c r="G50" s="73" t="s">
        <v>67</v>
      </c>
      <c r="H50" s="74" t="s">
        <v>68</v>
      </c>
      <c r="I50" s="75" t="s">
        <v>69</v>
      </c>
      <c r="J50" s="76" t="s">
        <v>70</v>
      </c>
      <c r="K50" s="171" t="s">
        <v>86</v>
      </c>
      <c r="L50" s="6"/>
      <c r="M50" s="6"/>
      <c r="N50" s="6"/>
      <c r="O50" s="6"/>
      <c r="AO50" s="1"/>
      <c r="AP50" s="1"/>
      <c r="AQ50" s="1"/>
      <c r="AR50" s="1"/>
    </row>
    <row r="51" spans="2:44" s="5" customFormat="1" ht="27.95" customHeight="1">
      <c r="B51" s="52"/>
      <c r="C51" s="53"/>
      <c r="D51" s="53"/>
      <c r="E51" s="44"/>
      <c r="F51" s="29"/>
      <c r="G51" s="29"/>
      <c r="H51" s="29"/>
      <c r="I51" s="29"/>
      <c r="J51" s="6"/>
      <c r="K51" s="6"/>
      <c r="L51" s="6"/>
      <c r="M51" s="6"/>
      <c r="N51" s="6"/>
      <c r="O51" s="6"/>
      <c r="AE51" s="24"/>
      <c r="AH51" s="24"/>
      <c r="AI51" s="38"/>
      <c r="AJ51" s="38"/>
      <c r="AK51" s="38"/>
      <c r="AL51" s="38"/>
      <c r="AM51" s="38"/>
      <c r="AN51" s="38"/>
    </row>
    <row r="52" spans="2:44" ht="27.95" customHeight="1">
      <c r="B52" s="52"/>
      <c r="C52" s="53"/>
      <c r="D52" s="53"/>
      <c r="E52" s="29"/>
      <c r="F52" s="29"/>
      <c r="G52" s="30"/>
      <c r="H52" s="1"/>
      <c r="I52" s="1"/>
      <c r="AE52" s="3"/>
      <c r="AH52" s="3"/>
      <c r="AN52" s="5"/>
    </row>
    <row r="53" spans="2:44" ht="27.95" customHeight="1">
      <c r="B53" s="54"/>
      <c r="C53" s="55"/>
      <c r="D53" s="28"/>
      <c r="AE53" s="24"/>
      <c r="AH53" s="24"/>
      <c r="AI53" s="39"/>
      <c r="AJ53" s="39"/>
      <c r="AK53" s="39"/>
      <c r="AL53" s="39"/>
      <c r="AM53" s="39"/>
      <c r="AN53" s="39"/>
    </row>
    <row r="54" spans="2:44" ht="27.95" customHeight="1">
      <c r="AE54" s="3"/>
      <c r="AH54" s="3"/>
      <c r="AN54" s="5"/>
    </row>
    <row r="55" spans="2:44" ht="27.95" customHeight="1">
      <c r="AE55" s="24"/>
      <c r="AH55" s="24"/>
      <c r="AI55" s="40"/>
      <c r="AJ55" s="40"/>
      <c r="AK55" s="40"/>
      <c r="AL55" s="40"/>
      <c r="AM55" s="40"/>
      <c r="AN55" s="40"/>
    </row>
    <row r="56" spans="2:44" ht="27.95" customHeight="1"/>
    <row r="57" spans="2:44" ht="27.95" customHeight="1"/>
    <row r="58" spans="2:44" ht="27.95" customHeight="1"/>
    <row r="59" spans="2:44" ht="27.95" customHeight="1"/>
    <row r="60" spans="2:44" ht="27.95" customHeight="1"/>
    <row r="61" spans="2:44" ht="27.95" customHeight="1"/>
    <row r="62" spans="2:44" ht="27.95" customHeight="1"/>
    <row r="63" spans="2:44" ht="27.95" customHeight="1"/>
    <row r="64" spans="2:44" ht="27.95" customHeight="1"/>
    <row r="65" ht="27.95" customHeight="1"/>
    <row r="66" ht="27.95" customHeight="1"/>
    <row r="67" ht="27.95" customHeight="1"/>
    <row r="68" ht="27.95" customHeight="1"/>
    <row r="69" ht="27.95" customHeight="1"/>
    <row r="70" ht="27.95" customHeight="1"/>
    <row r="71" ht="27.95" customHeight="1"/>
    <row r="72" ht="27.95" customHeight="1"/>
    <row r="73" ht="27.95" customHeight="1"/>
    <row r="74" ht="27.95" customHeight="1"/>
    <row r="75" ht="27.95" customHeight="1"/>
    <row r="76" ht="27.95" customHeight="1"/>
    <row r="77" ht="27.95" customHeight="1"/>
    <row r="78" ht="27.95" customHeight="1"/>
    <row r="79" ht="27.95" customHeight="1"/>
    <row r="80" ht="27.95" customHeight="1"/>
    <row r="81" ht="27.95" customHeight="1"/>
    <row r="82" ht="27.95" customHeight="1"/>
    <row r="83" ht="27.95" customHeight="1"/>
    <row r="84" ht="27.95" customHeight="1"/>
    <row r="85" ht="27.95" customHeight="1"/>
    <row r="86" ht="27.95" customHeight="1"/>
    <row r="87" ht="27.95" customHeight="1"/>
    <row r="88" ht="27.95" customHeight="1"/>
    <row r="89" ht="27.95" customHeight="1"/>
    <row r="90" ht="27.95" customHeight="1"/>
    <row r="91" ht="27.95" customHeight="1"/>
    <row r="92" ht="27.95" customHeight="1"/>
    <row r="93" ht="27.95" customHeight="1"/>
    <row r="94" ht="27.95" customHeight="1"/>
    <row r="95" ht="27.95" customHeight="1"/>
    <row r="96" ht="27.95" customHeight="1"/>
    <row r="97" ht="27.95" customHeight="1"/>
    <row r="98" ht="27.95" customHeight="1"/>
    <row r="99" ht="27.95" customHeight="1"/>
    <row r="100" ht="27.95" customHeight="1"/>
    <row r="101" ht="27.95" customHeight="1"/>
    <row r="102" ht="27.95" customHeight="1"/>
    <row r="103" ht="27.95" customHeight="1"/>
    <row r="104" ht="27.95" customHeight="1"/>
    <row r="105" ht="27.95" customHeight="1"/>
  </sheetData>
  <autoFilter ref="C9:C45" xr:uid="{4D79B7D6-D5EE-4876-BC05-FCBD5167AD69}"/>
  <mergeCells count="91">
    <mergeCell ref="V49:AB49"/>
    <mergeCell ref="AS7:AS9"/>
    <mergeCell ref="D5:F5"/>
    <mergeCell ref="B7:B9"/>
    <mergeCell ref="AN7:AN9"/>
    <mergeCell ref="AL7:AL9"/>
    <mergeCell ref="AI7:AI9"/>
    <mergeCell ref="AP7:AP9"/>
    <mergeCell ref="AI13:AM13"/>
    <mergeCell ref="AI38:AM38"/>
    <mergeCell ref="AI36:AM36"/>
    <mergeCell ref="AR7:AR9"/>
    <mergeCell ref="AC49:AE49"/>
    <mergeCell ref="Y14:AE14"/>
    <mergeCell ref="AI14:AM14"/>
    <mergeCell ref="AI47:AM47"/>
    <mergeCell ref="Y13:AE13"/>
    <mergeCell ref="Y36:AE36"/>
    <mergeCell ref="Y15:AE15"/>
    <mergeCell ref="AI15:AM15"/>
    <mergeCell ref="AF13:AH13"/>
    <mergeCell ref="AF14:AH14"/>
    <mergeCell ref="AF15:AH15"/>
    <mergeCell ref="D38:J38"/>
    <mergeCell ref="K38:Q38"/>
    <mergeCell ref="R38:X38"/>
    <mergeCell ref="Y38:AE38"/>
    <mergeCell ref="D13:J13"/>
    <mergeCell ref="K13:Q13"/>
    <mergeCell ref="R13:X13"/>
    <mergeCell ref="R36:X36"/>
    <mergeCell ref="K36:Q36"/>
    <mergeCell ref="D36:J36"/>
    <mergeCell ref="D14:J14"/>
    <mergeCell ref="K14:Q14"/>
    <mergeCell ref="R14:X14"/>
    <mergeCell ref="D15:J15"/>
    <mergeCell ref="K15:Q15"/>
    <mergeCell ref="R15:X15"/>
    <mergeCell ref="D1:AE1"/>
    <mergeCell ref="D2:AE2"/>
    <mergeCell ref="D3:AE3"/>
    <mergeCell ref="D4:AE4"/>
    <mergeCell ref="AO7:AO9"/>
    <mergeCell ref="AM7:AM9"/>
    <mergeCell ref="AJ7:AJ9"/>
    <mergeCell ref="AK7:AK9"/>
    <mergeCell ref="AY7:AY9"/>
    <mergeCell ref="AZ7:AZ9"/>
    <mergeCell ref="AT7:AT9"/>
    <mergeCell ref="AU7:AU9"/>
    <mergeCell ref="AV7:AV9"/>
    <mergeCell ref="AW7:AW9"/>
    <mergeCell ref="AX7:AX9"/>
    <mergeCell ref="B35:C35"/>
    <mergeCell ref="B36:C36"/>
    <mergeCell ref="B38:C38"/>
    <mergeCell ref="B12:C12"/>
    <mergeCell ref="B13:C13"/>
    <mergeCell ref="B14:C14"/>
    <mergeCell ref="B15:C15"/>
    <mergeCell ref="B37:C37"/>
    <mergeCell ref="D37:J37"/>
    <mergeCell ref="K37:Q37"/>
    <mergeCell ref="R37:X37"/>
    <mergeCell ref="Y37:AE37"/>
    <mergeCell ref="AI37:AM37"/>
    <mergeCell ref="B45:C45"/>
    <mergeCell ref="B44:C44"/>
    <mergeCell ref="AI45:AM45"/>
    <mergeCell ref="B46:C46"/>
    <mergeCell ref="D46:J46"/>
    <mergeCell ref="K46:Q46"/>
    <mergeCell ref="R46:X46"/>
    <mergeCell ref="Y46:AE46"/>
    <mergeCell ref="AI46:AM46"/>
    <mergeCell ref="D45:J45"/>
    <mergeCell ref="K45:Q45"/>
    <mergeCell ref="R45:X45"/>
    <mergeCell ref="Y45:AE45"/>
    <mergeCell ref="B47:C47"/>
    <mergeCell ref="D47:J47"/>
    <mergeCell ref="K47:Q47"/>
    <mergeCell ref="R47:X47"/>
    <mergeCell ref="Y47:AE47"/>
    <mergeCell ref="AF47:AH47"/>
    <mergeCell ref="AF36:AH36"/>
    <mergeCell ref="AF37:AH37"/>
    <mergeCell ref="AF38:AH38"/>
    <mergeCell ref="AF45:AH45"/>
    <mergeCell ref="AF46:AH46"/>
  </mergeCells>
  <phoneticPr fontId="2" type="noConversion"/>
  <conditionalFormatting sqref="B1:B2 AO35:XFD40 AK48 AK50:AK1048576 AE49">
    <cfRule type="cellIs" dxfId="3460" priority="6568" operator="equal">
      <formula>"NC"</formula>
    </cfRule>
  </conditionalFormatting>
  <conditionalFormatting sqref="B1:B3 D39:AE40 D1:D3 D5 G52:AC52 AE52 AC53">
    <cfRule type="cellIs" dxfId="3459" priority="6566" operator="equal">
      <formula>"NP"</formula>
    </cfRule>
  </conditionalFormatting>
  <conditionalFormatting sqref="B1:B3 AI5:AJ8 AN12:AN34 B16:AE17 AI35:AJ35 B40:AE40 AI42:AJ44 AS44:HQ45 AS39:HQ40 B18:B34 BA41:HQ43 AI39:AJ40 AI16:AJ17 AL16:AM17 AL40:AN40 AL42:AN44 AL39:AR39 AL35:AN35 AL5:AN6 AM7:AN8">
    <cfRule type="cellIs" dxfId="3458" priority="6571" stopIfTrue="1" operator="equal">
      <formula>"RD"</formula>
    </cfRule>
  </conditionalFormatting>
  <conditionalFormatting sqref="B3 D5 AO35:XFD40">
    <cfRule type="cellIs" dxfId="3457" priority="7460" operator="equal">
      <formula>"NC"</formula>
    </cfRule>
  </conditionalFormatting>
  <conditionalFormatting sqref="B35">
    <cfRule type="cellIs" dxfId="3456" priority="4729" operator="equal">
      <formula>"R"</formula>
    </cfRule>
    <cfRule type="cellIs" dxfId="3455" priority="8013" stopIfTrue="1" operator="equal">
      <formula>"NP"</formula>
    </cfRule>
    <cfRule type="cellIs" dxfId="3454" priority="8014" stopIfTrue="1" operator="equal">
      <formula>"RD"</formula>
    </cfRule>
  </conditionalFormatting>
  <conditionalFormatting sqref="B41:B43 AI39:AJ39 AL39:AN39">
    <cfRule type="cellIs" dxfId="3453" priority="2771" stopIfTrue="1" operator="equal">
      <formula>"NP"</formula>
    </cfRule>
  </conditionalFormatting>
  <conditionalFormatting sqref="B42:B43">
    <cfRule type="cellIs" dxfId="3452" priority="2628" operator="equal">
      <formula>"NH11"</formula>
    </cfRule>
    <cfRule type="cellIs" dxfId="3451" priority="2629" stopIfTrue="1" operator="equal">
      <formula>"RD"</formula>
    </cfRule>
    <cfRule type="cellIs" dxfId="3450" priority="2630" operator="equal">
      <formula>"NH"</formula>
    </cfRule>
  </conditionalFormatting>
  <conditionalFormatting sqref="B44 B49 K49:V49">
    <cfRule type="cellIs" dxfId="3449" priority="8100" stopIfTrue="1" operator="equal">
      <formula>"NP"</formula>
    </cfRule>
    <cfRule type="cellIs" dxfId="3448" priority="8101" stopIfTrue="1" operator="equal">
      <formula>"RD"</formula>
    </cfRule>
  </conditionalFormatting>
  <conditionalFormatting sqref="B4:C4 B6:AE6 B7:C9 D12:AE12 B12:B15 D13:D15 BA22:HQ34 B36:B38 D36:D38 AN36:AN38 B39:AE39 AN45 B45:B47 D45:D47 AN46:HQ47 K47 R47 Y47 B48:AE48 AO48:HQ51 AO1:HQ6 BA7:HQ10 AO11:HQ17 BA18:HQ20 AO35:HQ38">
    <cfRule type="cellIs" dxfId="3447" priority="7253" stopIfTrue="1" operator="equal">
      <formula>"RD"</formula>
    </cfRule>
  </conditionalFormatting>
  <conditionalFormatting sqref="B5:C5">
    <cfRule type="cellIs" dxfId="3446" priority="8231" stopIfTrue="1" operator="equal">
      <formula>"RD"</formula>
    </cfRule>
  </conditionalFormatting>
  <conditionalFormatting sqref="B18:C34 B35 B4:C11 B1:B2 AO1:XFD6 G5:AE5 D6:AE6 AO11:XFD17 D12:AE12 AN13:AN15 B16:AE17 AI16:AJ35 B39:AE40 AO44:XFD45 B41:C41 BA7:XFD10 B12 AI13:AI15 B48:AE48 L50:AE50 J51:AE51 AE52 B53:AE1048576 AI50:AJ1048576 AI48:AJ48 AI39:AJ44 AI12:AJ12 AI5:AJ8 AL5:AN6 AL12:AN12 AL39:AN44 AL48:AN48 AL50:AN1048576 AL16:AN35 AM7:AN8">
    <cfRule type="cellIs" dxfId="3445" priority="4728" operator="equal">
      <formula>"NC"</formula>
    </cfRule>
  </conditionalFormatting>
  <conditionalFormatting sqref="B18:C34 B35">
    <cfRule type="cellIs" dxfId="3444" priority="4727" operator="equal">
      <formula>"NC"</formula>
    </cfRule>
  </conditionalFormatting>
  <conditionalFormatting sqref="B41:C41 AK48 AK50:AK1048576 AE49">
    <cfRule type="cellIs" dxfId="3443" priority="2769" operator="equal">
      <formula>"NH"</formula>
    </cfRule>
  </conditionalFormatting>
  <conditionalFormatting sqref="B41:C43">
    <cfRule type="cellIs" dxfId="3442" priority="1907" operator="equal">
      <formula>"NC"</formula>
    </cfRule>
  </conditionalFormatting>
  <conditionalFormatting sqref="B42:C43 B44">
    <cfRule type="cellIs" dxfId="3441" priority="1908" operator="equal">
      <formula>"NC"</formula>
    </cfRule>
    <cfRule type="cellIs" dxfId="3440" priority="1909" operator="equal">
      <formula>"R"</formula>
    </cfRule>
  </conditionalFormatting>
  <conditionalFormatting sqref="B41:E41">
    <cfRule type="cellIs" dxfId="3439" priority="2742" operator="equal">
      <formula>"R"</formula>
    </cfRule>
  </conditionalFormatting>
  <conditionalFormatting sqref="B56:AE1048576 AI56:AJ1048576 AL56:XFD1048576 E49:V49">
    <cfRule type="cellIs" dxfId="3438" priority="5364" operator="equal">
      <formula>"R"</formula>
    </cfRule>
    <cfRule type="cellIs" dxfId="3437" priority="5365" operator="equal">
      <formula>"NH11"</formula>
    </cfRule>
  </conditionalFormatting>
  <conditionalFormatting sqref="C11">
    <cfRule type="cellIs" dxfId="3436" priority="4251" operator="equal">
      <formula>"NC"</formula>
    </cfRule>
    <cfRule type="cellIs" dxfId="3435" priority="4253" operator="equal">
      <formula>"NH11"</formula>
    </cfRule>
    <cfRule type="cellIs" dxfId="3434" priority="4254" operator="equal">
      <formula>"NH"</formula>
    </cfRule>
  </conditionalFormatting>
  <conditionalFormatting sqref="C43">
    <cfRule type="cellIs" dxfId="3433" priority="1910" operator="equal">
      <formula>"NH11"</formula>
    </cfRule>
    <cfRule type="cellIs" dxfId="3432" priority="1911" operator="equal">
      <formula>"NH"</formula>
    </cfRule>
  </conditionalFormatting>
  <conditionalFormatting sqref="C49:C50">
    <cfRule type="cellIs" dxfId="3431" priority="3991" operator="equal">
      <formula>"R"</formula>
    </cfRule>
    <cfRule type="cellIs" dxfId="3430" priority="3992" operator="equal">
      <formula>"NH12"</formula>
    </cfRule>
    <cfRule type="cellIs" dxfId="3429" priority="3993" operator="equal">
      <formula>"Nh11"</formula>
    </cfRule>
    <cfRule type="cellIs" dxfId="3428" priority="3994" stopIfTrue="1" operator="equal">
      <formula>"NP"</formula>
    </cfRule>
    <cfRule type="cellIs" dxfId="3427" priority="3995" stopIfTrue="1" operator="equal">
      <formula>"RD"</formula>
    </cfRule>
  </conditionalFormatting>
  <conditionalFormatting sqref="C11:R11">
    <cfRule type="cellIs" dxfId="3426" priority="2869" operator="equal">
      <formula>"R"</formula>
    </cfRule>
  </conditionalFormatting>
  <conditionalFormatting sqref="D1:D2">
    <cfRule type="cellIs" dxfId="3425" priority="2783" operator="equal">
      <formula>"NC"</formula>
    </cfRule>
    <cfRule type="cellIs" dxfId="3424" priority="2784" operator="equal">
      <formula>"NC"</formula>
    </cfRule>
    <cfRule type="cellIs" dxfId="3423" priority="2785" operator="equal">
      <formula>"R"</formula>
    </cfRule>
  </conditionalFormatting>
  <conditionalFormatting sqref="D1:D3">
    <cfRule type="cellIs" dxfId="3422" priority="2782" stopIfTrue="1" operator="equal">
      <formula>"NP"</formula>
    </cfRule>
    <cfRule type="cellIs" dxfId="3421" priority="2786" stopIfTrue="1" operator="equal">
      <formula>"RD"</formula>
    </cfRule>
  </conditionalFormatting>
  <conditionalFormatting sqref="D3">
    <cfRule type="cellIs" dxfId="3420" priority="2787" operator="equal">
      <formula>"NC"</formula>
    </cfRule>
    <cfRule type="cellIs" dxfId="3419" priority="2788" operator="equal">
      <formula>"NC"</formula>
    </cfRule>
    <cfRule type="cellIs" dxfId="3418" priority="2789" operator="equal">
      <formula>"R"</formula>
    </cfRule>
  </conditionalFormatting>
  <conditionalFormatting sqref="D13:D15 K13:K15 R13:R15 Y13:Y15 D36:D38 K36:K38 R36:R38 Y36:Y38 B13:B15 B36:B38 AN36:AN38 B45:B47 D45:D47 K45:K47 R45:R47 Y45:Y47 AN45:AN47 B49">
    <cfRule type="cellIs" dxfId="3417" priority="7967" operator="equal">
      <formula>"NC"</formula>
    </cfRule>
  </conditionalFormatting>
  <conditionalFormatting sqref="D13:D15 K13:K15 R13:R15 Y13:Y15 D36:D38 K36:K38 R36:R38 Y36:Y38 B13:B15 AO35:XFD40 B36:B38 AN36:AN38 B44:B47 AN45 D45:D47 K45:K47 R45:R47 Y45:Y47 AN46:XFD47 B49 AC49 G52:AC52">
    <cfRule type="cellIs" dxfId="3416" priority="8007" operator="equal">
      <formula>"NH11"</formula>
    </cfRule>
  </conditionalFormatting>
  <conditionalFormatting sqref="D13:D15 K13:K15 R13:R15 Y13:Y15 D36:D38 K36:K38 R36:R38 Y36:Y38 B4:C4 B7:C11 B13:B15 AO35:XFD40 B36:B38 AN36:AN38 AN45 B45:B47 D45:D47 K45:K47 R45:R47 Y45:Y47 AN46:XFD47 B5:D5 B3 B49 AC49 G52:AC52">
    <cfRule type="cellIs" dxfId="3415" priority="8006" operator="equal">
      <formula>"R"</formula>
    </cfRule>
  </conditionalFormatting>
  <conditionalFormatting sqref="D18:D34 D19:X19 D20:AE20 D18:Q18">
    <cfRule type="containsText" dxfId="3414" priority="3863" stopIfTrue="1" operator="containsText" text="TIL">
      <formula>NOT(ISERROR(SEARCH("TIL",D18)))</formula>
    </cfRule>
  </conditionalFormatting>
  <conditionalFormatting sqref="D21">
    <cfRule type="cellIs" dxfId="3413" priority="3791" operator="equal">
      <formula>"NSH"</formula>
    </cfRule>
    <cfRule type="containsText" dxfId="3412" priority="3792" operator="containsText" text="RD">
      <formula>NOT(ISERROR(SEARCH("RD",D21)))</formula>
    </cfRule>
    <cfRule type="containsText" dxfId="3411" priority="3793" operator="containsText" text="NP">
      <formula>NOT(ISERROR(SEARCH("NP",D21)))</formula>
    </cfRule>
  </conditionalFormatting>
  <conditionalFormatting sqref="D32">
    <cfRule type="cellIs" dxfId="3410" priority="3794" operator="equal">
      <formula>"NSH"</formula>
    </cfRule>
    <cfRule type="containsText" dxfId="3409" priority="3795" operator="containsText" text="RD">
      <formula>NOT(ISERROR(SEARCH("RD",D32)))</formula>
    </cfRule>
    <cfRule type="containsText" dxfId="3408" priority="3796" operator="containsText" text="NP">
      <formula>NOT(ISERROR(SEARCH("NP",D32)))</formula>
    </cfRule>
  </conditionalFormatting>
  <conditionalFormatting sqref="D33:D34">
    <cfRule type="containsText" dxfId="3407" priority="3797" stopIfTrue="1" operator="containsText" text="疫苗">
      <formula>NOT(ISERROR(SEARCH("疫苗",D33)))</formula>
    </cfRule>
    <cfRule type="containsText" dxfId="3406" priority="3798" stopIfTrue="1" operator="containsText" text="勞假">
      <formula>NOT(ISERROR(SEARCH("勞假",D33)))</formula>
    </cfRule>
    <cfRule type="containsText" dxfId="3405" priority="3799" stopIfTrue="1" operator="containsText" text="補假">
      <formula>NOT(ISERROR(SEARCH("補假",D33)))</formula>
    </cfRule>
    <cfRule type="containsText" dxfId="3404" priority="3800" stopIfTrue="1" operator="containsText" text="例假">
      <formula>NOT(ISERROR(SEARCH("例假",D33)))</formula>
    </cfRule>
    <cfRule type="containsText" dxfId="3403" priority="3801" stopIfTrue="1" operator="containsText" text="病假">
      <formula>NOT(ISERROR(SEARCH("病假",D33)))</formula>
    </cfRule>
    <cfRule type="containsText" dxfId="3402" priority="3802" stopIfTrue="1" operator="containsText" text="大假">
      <formula>NOT(ISERROR(SEARCH("大假",D33)))</formula>
    </cfRule>
    <cfRule type="containsText" dxfId="3401" priority="3803" stopIfTrue="1" operator="containsText" text="TIL">
      <formula>NOT(ISERROR(SEARCH("TIL",D33)))</formula>
    </cfRule>
    <cfRule type="cellIs" dxfId="3400" priority="3804" operator="equal">
      <formula>"NSH"</formula>
    </cfRule>
    <cfRule type="containsText" dxfId="3399" priority="3805" operator="containsText" text="RD">
      <formula>NOT(ISERROR(SEARCH("RD",D33)))</formula>
    </cfRule>
    <cfRule type="containsText" dxfId="3398" priority="3806" operator="containsText" text="NP">
      <formula>NOT(ISERROR(SEARCH("NP",D33)))</formula>
    </cfRule>
    <cfRule type="containsText" dxfId="3397" priority="3807" stopIfTrue="1" operator="containsText" text="疫苗">
      <formula>NOT(ISERROR(SEARCH("疫苗",D33)))</formula>
    </cfRule>
    <cfRule type="containsText" dxfId="3396" priority="3808" stopIfTrue="1" operator="containsText" text="勞假">
      <formula>NOT(ISERROR(SEARCH("勞假",D33)))</formula>
    </cfRule>
    <cfRule type="containsText" dxfId="3395" priority="3809" stopIfTrue="1" operator="containsText" text="補假">
      <formula>NOT(ISERROR(SEARCH("補假",D33)))</formula>
    </cfRule>
    <cfRule type="containsText" dxfId="3394" priority="3810" stopIfTrue="1" operator="containsText" text="例假">
      <formula>NOT(ISERROR(SEARCH("例假",D33)))</formula>
    </cfRule>
    <cfRule type="containsText" dxfId="3393" priority="3811" stopIfTrue="1" operator="containsText" text="病假">
      <formula>NOT(ISERROR(SEARCH("病假",D33)))</formula>
    </cfRule>
    <cfRule type="containsText" dxfId="3392" priority="3812" stopIfTrue="1" operator="containsText" text="大假">
      <formula>NOT(ISERROR(SEARCH("大假",D33)))</formula>
    </cfRule>
    <cfRule type="containsText" dxfId="3391" priority="3813" stopIfTrue="1" operator="containsText" text="無薪">
      <formula>NOT(ISERROR(SEARCH("無薪",D33)))</formula>
    </cfRule>
    <cfRule type="containsText" dxfId="3390" priority="3814" stopIfTrue="1" operator="containsText" text="TIL">
      <formula>NOT(ISERROR(SEARCH("TIL",D33)))</formula>
    </cfRule>
    <cfRule type="containsText" dxfId="3389" priority="3815" stopIfTrue="1" operator="containsText" text="疫苗">
      <formula>NOT(ISERROR(SEARCH("疫苗",D33)))</formula>
    </cfRule>
    <cfRule type="containsText" dxfId="3388" priority="3816" stopIfTrue="1" operator="containsText" text="勞假">
      <formula>NOT(ISERROR(SEARCH("勞假",D33)))</formula>
    </cfRule>
    <cfRule type="containsText" dxfId="3387" priority="3817" stopIfTrue="1" operator="containsText" text="補假">
      <formula>NOT(ISERROR(SEARCH("補假",D33)))</formula>
    </cfRule>
    <cfRule type="containsText" dxfId="3386" priority="3818" stopIfTrue="1" operator="containsText" text="例假">
      <formula>NOT(ISERROR(SEARCH("例假",D33)))</formula>
    </cfRule>
    <cfRule type="containsText" dxfId="3385" priority="3819" stopIfTrue="1" operator="containsText" text="病假">
      <formula>NOT(ISERROR(SEARCH("病假",D33)))</formula>
    </cfRule>
    <cfRule type="containsText" dxfId="3384" priority="3820" stopIfTrue="1" operator="containsText" text="大假">
      <formula>NOT(ISERROR(SEARCH("大假",D33)))</formula>
    </cfRule>
    <cfRule type="containsText" dxfId="3383" priority="3821" stopIfTrue="1" operator="containsText" text="無薪">
      <formula>NOT(ISERROR(SEARCH("無薪",D33)))</formula>
    </cfRule>
    <cfRule type="containsText" dxfId="3382" priority="3822" stopIfTrue="1" operator="containsText" text="TIL">
      <formula>NOT(ISERROR(SEARCH("TIL",D33)))</formula>
    </cfRule>
    <cfRule type="containsText" dxfId="3381" priority="3823" stopIfTrue="1" operator="containsText" text="無薪">
      <formula>NOT(ISERROR(SEARCH("無薪",D33)))</formula>
    </cfRule>
    <cfRule type="containsText" dxfId="3380" priority="3824" stopIfTrue="1" operator="containsText" text="TIL">
      <formula>NOT(ISERROR(SEARCH("TIL",D33)))</formula>
    </cfRule>
    <cfRule type="containsText" dxfId="3379" priority="3825" stopIfTrue="1" operator="containsText" text="疫苗">
      <formula>NOT(ISERROR(SEARCH("疫苗",D33)))</formula>
    </cfRule>
    <cfRule type="containsText" dxfId="3378" priority="3826" stopIfTrue="1" operator="containsText" text="勞假">
      <formula>NOT(ISERROR(SEARCH("勞假",D33)))</formula>
    </cfRule>
    <cfRule type="containsText" dxfId="3377" priority="3827" stopIfTrue="1" operator="containsText" text="補假">
      <formula>NOT(ISERROR(SEARCH("補假",D33)))</formula>
    </cfRule>
    <cfRule type="containsText" dxfId="3376" priority="3828" stopIfTrue="1" operator="containsText" text="例假">
      <formula>NOT(ISERROR(SEARCH("例假",D33)))</formula>
    </cfRule>
    <cfRule type="containsText" dxfId="3375" priority="3829" stopIfTrue="1" operator="containsText" text="病假">
      <formula>NOT(ISERROR(SEARCH("病假",D33)))</formula>
    </cfRule>
    <cfRule type="containsText" dxfId="3374" priority="3830" stopIfTrue="1" operator="containsText" text="大假">
      <formula>NOT(ISERROR(SEARCH("大假",D33)))</formula>
    </cfRule>
    <cfRule type="containsText" dxfId="3373" priority="3831" stopIfTrue="1" operator="containsText" text="無薪">
      <formula>NOT(ISERROR(SEARCH("無薪",D33)))</formula>
    </cfRule>
    <cfRule type="containsText" dxfId="3372" priority="3832" stopIfTrue="1" operator="containsText" text="TIL">
      <formula>NOT(ISERROR(SEARCH("TIL",D33)))</formula>
    </cfRule>
    <cfRule type="containsText" dxfId="3371" priority="3833" stopIfTrue="1" operator="containsText" text="疫苗">
      <formula>NOT(ISERROR(SEARCH("疫苗",D33)))</formula>
    </cfRule>
    <cfRule type="containsText" dxfId="3370" priority="3834" stopIfTrue="1" operator="containsText" text="勞假">
      <formula>NOT(ISERROR(SEARCH("勞假",D33)))</formula>
    </cfRule>
    <cfRule type="containsText" dxfId="3369" priority="3835" stopIfTrue="1" operator="containsText" text="補假">
      <formula>NOT(ISERROR(SEARCH("補假",D33)))</formula>
    </cfRule>
    <cfRule type="containsText" dxfId="3368" priority="3836" stopIfTrue="1" operator="containsText" text="例假">
      <formula>NOT(ISERROR(SEARCH("例假",D33)))</formula>
    </cfRule>
    <cfRule type="containsText" dxfId="3367" priority="3837" stopIfTrue="1" operator="containsText" text="病假">
      <formula>NOT(ISERROR(SEARCH("病假",D33)))</formula>
    </cfRule>
    <cfRule type="containsText" dxfId="3366" priority="3838" stopIfTrue="1" operator="containsText" text="大假">
      <formula>NOT(ISERROR(SEARCH("大假",D33)))</formula>
    </cfRule>
    <cfRule type="containsText" dxfId="3365" priority="3839" stopIfTrue="1" operator="containsText" text="TIL">
      <formula>NOT(ISERROR(SEARCH("TIL",D33)))</formula>
    </cfRule>
    <cfRule type="cellIs" dxfId="3364" priority="3840" stopIfTrue="1" operator="equal">
      <formula>"NP"</formula>
    </cfRule>
    <cfRule type="cellIs" dxfId="3363" priority="3841" stopIfTrue="1" operator="equal">
      <formula>"RD"</formula>
    </cfRule>
    <cfRule type="containsText" dxfId="3362" priority="3842" stopIfTrue="1" operator="containsText" text="TIL">
      <formula>NOT(ISERROR(SEARCH("TIL",D33)))</formula>
    </cfRule>
  </conditionalFormatting>
  <conditionalFormatting sqref="D36 K36 R36 Y36">
    <cfRule type="containsText" dxfId="3361" priority="1287" stopIfTrue="1" operator="containsText" text="病假">
      <formula>NOT(ISERROR(SEARCH("病假",D36)))</formula>
    </cfRule>
  </conditionalFormatting>
  <conditionalFormatting sqref="D37 K37 R37 Y37">
    <cfRule type="containsText" dxfId="3360" priority="1278" stopIfTrue="1" operator="containsText" text="病假">
      <formula>NOT(ISERROR(SEARCH("病假",D37)))</formula>
    </cfRule>
  </conditionalFormatting>
  <conditionalFormatting sqref="D37:D38 K37:K38 R37:R38 Y37:Y38">
    <cfRule type="cellIs" dxfId="3359" priority="1300" operator="equal">
      <formula>"CL"</formula>
    </cfRule>
    <cfRule type="cellIs" dxfId="3358" priority="1302" operator="equal">
      <formula>"E"</formula>
    </cfRule>
  </conditionalFormatting>
  <conditionalFormatting sqref="D38 K38 R38 Y38">
    <cfRule type="cellIs" dxfId="3357" priority="1304" operator="equal">
      <formula>"CW"</formula>
    </cfRule>
    <cfRule type="cellIs" dxfId="3356" priority="1305" operator="equal">
      <formula>"VO"</formula>
    </cfRule>
    <cfRule type="cellIs" dxfId="3355" priority="1306" operator="equal">
      <formula>"NP"</formula>
    </cfRule>
    <cfRule type="cellIs" dxfId="3354" priority="1307" operator="equal">
      <formula>"MOU"</formula>
    </cfRule>
    <cfRule type="cellIs" dxfId="3353" priority="1308" operator="equal">
      <formula>"VO, MOU, CW, CF"</formula>
    </cfRule>
    <cfRule type="containsText" dxfId="3352" priority="1312" stopIfTrue="1" operator="containsText" text="病假">
      <formula>NOT(ISERROR(SEARCH("病假",D38)))</formula>
    </cfRule>
  </conditionalFormatting>
  <conditionalFormatting sqref="D41">
    <cfRule type="containsText" dxfId="3351" priority="2650" stopIfTrue="1" operator="containsText" text="TIL">
      <formula>NOT(ISERROR(SEARCH("TIL",D41)))</formula>
    </cfRule>
    <cfRule type="containsText" dxfId="3350" priority="2651" stopIfTrue="1" operator="containsText" text="疫苗">
      <formula>NOT(ISERROR(SEARCH("疫苗",D41)))</formula>
    </cfRule>
    <cfRule type="containsText" dxfId="3349" priority="2652" stopIfTrue="1" operator="containsText" text="勞假">
      <formula>NOT(ISERROR(SEARCH("勞假",D41)))</formula>
    </cfRule>
    <cfRule type="containsText" dxfId="3348" priority="2653" stopIfTrue="1" operator="containsText" text="補假">
      <formula>NOT(ISERROR(SEARCH("補假",D41)))</formula>
    </cfRule>
    <cfRule type="containsText" dxfId="3347" priority="2654" stopIfTrue="1" operator="containsText" text="例假">
      <formula>NOT(ISERROR(SEARCH("例假",D41)))</formula>
    </cfRule>
    <cfRule type="containsText" dxfId="3346" priority="2655" stopIfTrue="1" operator="containsText" text="病假">
      <formula>NOT(ISERROR(SEARCH("病假",D41)))</formula>
    </cfRule>
    <cfRule type="containsText" dxfId="3345" priority="2656" stopIfTrue="1" operator="containsText" text="大假">
      <formula>NOT(ISERROR(SEARCH("大假",D41)))</formula>
    </cfRule>
    <cfRule type="containsText" dxfId="3344" priority="2657" stopIfTrue="1" operator="containsText" text="無薪">
      <formula>NOT(ISERROR(SEARCH("無薪",D41)))</formula>
    </cfRule>
    <cfRule type="containsText" dxfId="3343" priority="2658" stopIfTrue="1" operator="containsText" text="TIL">
      <formula>NOT(ISERROR(SEARCH("TIL",D41)))</formula>
    </cfRule>
    <cfRule type="containsText" dxfId="3342" priority="2659" stopIfTrue="1" operator="containsText" text="疫苗">
      <formula>NOT(ISERROR(SEARCH("疫苗",D41)))</formula>
    </cfRule>
    <cfRule type="containsText" dxfId="3341" priority="2660" stopIfTrue="1" operator="containsText" text="勞假">
      <formula>NOT(ISERROR(SEARCH("勞假",D41)))</formula>
    </cfRule>
    <cfRule type="containsText" dxfId="3340" priority="2661" stopIfTrue="1" operator="containsText" text="補假">
      <formula>NOT(ISERROR(SEARCH("補假",D41)))</formula>
    </cfRule>
    <cfRule type="containsText" dxfId="3339" priority="2662" stopIfTrue="1" operator="containsText" text="例假">
      <formula>NOT(ISERROR(SEARCH("例假",D41)))</formula>
    </cfRule>
    <cfRule type="containsText" dxfId="3338" priority="2663" stopIfTrue="1" operator="containsText" text="病假">
      <formula>NOT(ISERROR(SEARCH("病假",D41)))</formula>
    </cfRule>
    <cfRule type="containsText" dxfId="3337" priority="2664" stopIfTrue="1" operator="containsText" text="大假">
      <formula>NOT(ISERROR(SEARCH("大假",D41)))</formula>
    </cfRule>
    <cfRule type="cellIs" dxfId="3336" priority="2666" stopIfTrue="1" operator="equal">
      <formula>"NP"</formula>
    </cfRule>
    <cfRule type="cellIs" dxfId="3335" priority="2667" stopIfTrue="1" operator="equal">
      <formula>"RD"</formula>
    </cfRule>
    <cfRule type="containsText" dxfId="3334" priority="2668" stopIfTrue="1" operator="containsText" text="TIL">
      <formula>NOT(ISERROR(SEARCH("TIL",D41)))</formula>
    </cfRule>
    <cfRule type="containsText" dxfId="3333" priority="2691" stopIfTrue="1" operator="containsText" text="疫苗">
      <formula>NOT(ISERROR(SEARCH("疫苗",D41)))</formula>
    </cfRule>
    <cfRule type="containsText" dxfId="3332" priority="2692" stopIfTrue="1" operator="containsText" text="勞假">
      <formula>NOT(ISERROR(SEARCH("勞假",D41)))</formula>
    </cfRule>
    <cfRule type="containsText" dxfId="3331" priority="2693" stopIfTrue="1" operator="containsText" text="補假">
      <formula>NOT(ISERROR(SEARCH("補假",D41)))</formula>
    </cfRule>
    <cfRule type="containsText" dxfId="3330" priority="2694" stopIfTrue="1" operator="containsText" text="例假">
      <formula>NOT(ISERROR(SEARCH("例假",D41)))</formula>
    </cfRule>
    <cfRule type="containsText" dxfId="3329" priority="2695" stopIfTrue="1" operator="containsText" text="病假">
      <formula>NOT(ISERROR(SEARCH("病假",D41)))</formula>
    </cfRule>
    <cfRule type="containsText" dxfId="3328" priority="2696" stopIfTrue="1" operator="containsText" text="大假">
      <formula>NOT(ISERROR(SEARCH("大假",D41)))</formula>
    </cfRule>
    <cfRule type="containsText" dxfId="3327" priority="2697" stopIfTrue="1" operator="containsText" text="無薪">
      <formula>NOT(ISERROR(SEARCH("無薪",D41)))</formula>
    </cfRule>
    <cfRule type="containsText" dxfId="3326" priority="2698" stopIfTrue="1" operator="containsText" text="疫苗">
      <formula>NOT(ISERROR(SEARCH("疫苗",D41)))</formula>
    </cfRule>
    <cfRule type="containsText" dxfId="3325" priority="2699" stopIfTrue="1" operator="containsText" text="勞假">
      <formula>NOT(ISERROR(SEARCH("勞假",D41)))</formula>
    </cfRule>
    <cfRule type="containsText" dxfId="3324" priority="2700" stopIfTrue="1" operator="containsText" text="補假">
      <formula>NOT(ISERROR(SEARCH("補假",D41)))</formula>
    </cfRule>
    <cfRule type="containsText" dxfId="3323" priority="2701" stopIfTrue="1" operator="containsText" text="例假">
      <formula>NOT(ISERROR(SEARCH("例假",D41)))</formula>
    </cfRule>
    <cfRule type="containsText" dxfId="3322" priority="2702" stopIfTrue="1" operator="containsText" text="病假">
      <formula>NOT(ISERROR(SEARCH("病假",D41)))</formula>
    </cfRule>
    <cfRule type="containsText" dxfId="3321" priority="2703" stopIfTrue="1" operator="containsText" text="大假">
      <formula>NOT(ISERROR(SEARCH("大假",D41)))</formula>
    </cfRule>
    <cfRule type="containsText" dxfId="3320" priority="2704" stopIfTrue="1" operator="containsText" text="無薪">
      <formula>NOT(ISERROR(SEARCH("無薪",D41)))</formula>
    </cfRule>
    <cfRule type="containsText" dxfId="3319" priority="2705" stopIfTrue="1" operator="containsText" text="TIL">
      <formula>NOT(ISERROR(SEARCH("TIL",D41)))</formula>
    </cfRule>
    <cfRule type="containsText" dxfId="3318" priority="2706" stopIfTrue="1" operator="containsText" text="疫苗">
      <formula>NOT(ISERROR(SEARCH("疫苗",D41)))</formula>
    </cfRule>
    <cfRule type="containsText" dxfId="3317" priority="2707" stopIfTrue="1" operator="containsText" text="勞假">
      <formula>NOT(ISERROR(SEARCH("勞假",D41)))</formula>
    </cfRule>
    <cfRule type="containsText" dxfId="3316" priority="2708" stopIfTrue="1" operator="containsText" text="補假">
      <formula>NOT(ISERROR(SEARCH("補假",D41)))</formula>
    </cfRule>
    <cfRule type="containsText" dxfId="3315" priority="2709" stopIfTrue="1" operator="containsText" text="例假">
      <formula>NOT(ISERROR(SEARCH("例假",D41)))</formula>
    </cfRule>
    <cfRule type="containsText" dxfId="3314" priority="2710" stopIfTrue="1" operator="containsText" text="病假">
      <formula>NOT(ISERROR(SEARCH("病假",D41)))</formula>
    </cfRule>
    <cfRule type="containsText" dxfId="3313" priority="2711" stopIfTrue="1" operator="containsText" text="大假">
      <formula>NOT(ISERROR(SEARCH("大假",D41)))</formula>
    </cfRule>
    <cfRule type="containsText" dxfId="3312" priority="2712" stopIfTrue="1" operator="containsText" text="無薪">
      <formula>NOT(ISERROR(SEARCH("無薪",D41)))</formula>
    </cfRule>
    <cfRule type="containsText" dxfId="3311" priority="2713" stopIfTrue="1" operator="containsText" text="TIL">
      <formula>NOT(ISERROR(SEARCH("TIL",D41)))</formula>
    </cfRule>
    <cfRule type="containsText" dxfId="3310" priority="2714" stopIfTrue="1" operator="containsText" text="疫苗">
      <formula>NOT(ISERROR(SEARCH("疫苗",D41)))</formula>
    </cfRule>
    <cfRule type="containsText" dxfId="3309" priority="2715" stopIfTrue="1" operator="containsText" text="勞假">
      <formula>NOT(ISERROR(SEARCH("勞假",D41)))</formula>
    </cfRule>
    <cfRule type="containsText" dxfId="3308" priority="2716" stopIfTrue="1" operator="containsText" text="補假">
      <formula>NOT(ISERROR(SEARCH("補假",D41)))</formula>
    </cfRule>
    <cfRule type="containsText" dxfId="3307" priority="2717" stopIfTrue="1" operator="containsText" text="例假">
      <formula>NOT(ISERROR(SEARCH("例假",D41)))</formula>
    </cfRule>
    <cfRule type="containsText" dxfId="3306" priority="2718" stopIfTrue="1" operator="containsText" text="病假">
      <formula>NOT(ISERROR(SEARCH("病假",D41)))</formula>
    </cfRule>
    <cfRule type="containsText" dxfId="3305" priority="2719" stopIfTrue="1" operator="containsText" text="大假">
      <formula>NOT(ISERROR(SEARCH("大假",D41)))</formula>
    </cfRule>
    <cfRule type="containsText" dxfId="3304" priority="2753" stopIfTrue="1" operator="containsText" text="TIL">
      <formula>NOT(ISERROR(SEARCH("TIL",D41)))</formula>
    </cfRule>
    <cfRule type="containsText" dxfId="3303" priority="2754" stopIfTrue="1" operator="containsText" text="疫苗">
      <formula>NOT(ISERROR(SEARCH("疫苗",D41)))</formula>
    </cfRule>
    <cfRule type="containsText" dxfId="3302" priority="2755" stopIfTrue="1" operator="containsText" text="勞假">
      <formula>NOT(ISERROR(SEARCH("勞假",D41)))</formula>
    </cfRule>
    <cfRule type="containsText" dxfId="3301" priority="2756" stopIfTrue="1" operator="containsText" text="補假">
      <formula>NOT(ISERROR(SEARCH("補假",D41)))</formula>
    </cfRule>
    <cfRule type="containsText" dxfId="3300" priority="2757" stopIfTrue="1" operator="containsText" text="例假">
      <formula>NOT(ISERROR(SEARCH("例假",D41)))</formula>
    </cfRule>
    <cfRule type="containsText" dxfId="3299" priority="2758" stopIfTrue="1" operator="containsText" text="病假">
      <formula>NOT(ISERROR(SEARCH("病假",D41)))</formula>
    </cfRule>
    <cfRule type="containsText" dxfId="3298" priority="2759" stopIfTrue="1" operator="containsText" text="大假">
      <formula>NOT(ISERROR(SEARCH("大假",D41)))</formula>
    </cfRule>
    <cfRule type="containsText" dxfId="3297" priority="2760" stopIfTrue="1" operator="containsText" text="無薪">
      <formula>NOT(ISERROR(SEARCH("無薪",D41)))</formula>
    </cfRule>
  </conditionalFormatting>
  <conditionalFormatting sqref="D45 K45 R45 Y45">
    <cfRule type="containsText" dxfId="3296" priority="1240" stopIfTrue="1" operator="containsText" text="病假">
      <formula>NOT(ISERROR(SEARCH("病假",D45)))</formula>
    </cfRule>
    <cfRule type="cellIs" dxfId="3295" priority="1246" operator="equal">
      <formula>"AL"</formula>
    </cfRule>
  </conditionalFormatting>
  <conditionalFormatting sqref="D46 K46 R46 Y46">
    <cfRule type="containsText" dxfId="3294" priority="1194" stopIfTrue="1" operator="containsText" text="病假">
      <formula>NOT(ISERROR(SEARCH("病假",D46)))</formula>
    </cfRule>
  </conditionalFormatting>
  <conditionalFormatting sqref="D46:D47 K46:K47 R46:R47 Y46:Y47">
    <cfRule type="cellIs" dxfId="3293" priority="1207" operator="equal">
      <formula>"CL"</formula>
    </cfRule>
    <cfRule type="cellIs" dxfId="3292" priority="1209" operator="equal">
      <formula>"E"</formula>
    </cfRule>
    <cfRule type="cellIs" dxfId="3291" priority="1220" operator="equal">
      <formula>"NSH"</formula>
    </cfRule>
    <cfRule type="cellIs" dxfId="3290" priority="1222" operator="equal">
      <formula>"CF"</formula>
    </cfRule>
    <cfRule type="cellIs" dxfId="3289" priority="1223" operator="equal">
      <formula>"CW"</formula>
    </cfRule>
    <cfRule type="cellIs" dxfId="3288" priority="1227" operator="equal">
      <formula>"AL"</formula>
    </cfRule>
  </conditionalFormatting>
  <conditionalFormatting sqref="D47 K47 R47 Y47">
    <cfRule type="cellIs" dxfId="3287" priority="1211" operator="equal">
      <formula>"CW"</formula>
    </cfRule>
    <cfRule type="cellIs" dxfId="3286" priority="1212" operator="equal">
      <formula>"VO"</formula>
    </cfRule>
    <cfRule type="cellIs" dxfId="3285" priority="1213" operator="equal">
      <formula>"NP"</formula>
    </cfRule>
    <cfRule type="cellIs" dxfId="3284" priority="1214" operator="equal">
      <formula>"MOU"</formula>
    </cfRule>
    <cfRule type="cellIs" dxfId="3283" priority="1215" operator="equal">
      <formula>"VO, MOU, CW, CF"</formula>
    </cfRule>
    <cfRule type="containsText" dxfId="3282" priority="1219" stopIfTrue="1" operator="containsText" text="病假">
      <formula>NOT(ISERROR(SEARCH("病假",D47)))</formula>
    </cfRule>
  </conditionalFormatting>
  <conditionalFormatting sqref="D41:E41">
    <cfRule type="containsText" dxfId="3281" priority="2649" stopIfTrue="1" operator="containsText" text="無薪">
      <formula>NOT(ISERROR(SEARCH("無薪",D41)))</formula>
    </cfRule>
    <cfRule type="containsText" dxfId="3280" priority="2665" stopIfTrue="1" operator="containsText" text="TIL">
      <formula>NOT(ISERROR(SEARCH("TIL",D41)))</formula>
    </cfRule>
    <cfRule type="containsText" dxfId="3279" priority="2669" stopIfTrue="1" operator="containsText" text="疫苗">
      <formula>NOT(ISERROR(SEARCH("疫苗",D41)))</formula>
    </cfRule>
    <cfRule type="containsText" dxfId="3278" priority="2670" stopIfTrue="1" operator="containsText" text="勞假">
      <formula>NOT(ISERROR(SEARCH("勞假",D41)))</formula>
    </cfRule>
    <cfRule type="containsText" dxfId="3277" priority="2671" stopIfTrue="1" operator="containsText" text="補假">
      <formula>NOT(ISERROR(SEARCH("補假",D41)))</formula>
    </cfRule>
    <cfRule type="containsText" dxfId="3276" priority="2672" stopIfTrue="1" operator="containsText" text="例假">
      <formula>NOT(ISERROR(SEARCH("例假",D41)))</formula>
    </cfRule>
    <cfRule type="containsText" dxfId="3275" priority="2673" stopIfTrue="1" operator="containsText" text="病假">
      <formula>NOT(ISERROR(SEARCH("病假",D41)))</formula>
    </cfRule>
    <cfRule type="containsText" dxfId="3274" priority="2674" stopIfTrue="1" operator="containsText" text="大假">
      <formula>NOT(ISERROR(SEARCH("大假",D41)))</formula>
    </cfRule>
    <cfRule type="containsText" dxfId="3273" priority="2690" stopIfTrue="1" operator="containsText" text="TIL">
      <formula>NOT(ISERROR(SEARCH("TIL",D41)))</formula>
    </cfRule>
    <cfRule type="containsText" dxfId="3272" priority="2720" stopIfTrue="1" operator="containsText" text="無薪">
      <formula>NOT(ISERROR(SEARCH("無薪",D41)))</formula>
    </cfRule>
    <cfRule type="cellIs" dxfId="3271" priority="2739" operator="equal">
      <formula>"NC"</formula>
    </cfRule>
    <cfRule type="cellIs" dxfId="3270" priority="2740" operator="equal">
      <formula>"nd"</formula>
    </cfRule>
    <cfRule type="cellIs" dxfId="3269" priority="2741" operator="equal">
      <formula>0</formula>
    </cfRule>
    <cfRule type="cellIs" dxfId="3268" priority="2743" operator="equal">
      <formula>"NH12"</formula>
    </cfRule>
    <cfRule type="cellIs" dxfId="3267" priority="2744" operator="equal">
      <formula>"Nh11"</formula>
    </cfRule>
    <cfRule type="containsText" dxfId="3266" priority="2745" stopIfTrue="1" operator="containsText" text="TIL">
      <formula>NOT(ISERROR(SEARCH("TIL",D41)))</formula>
    </cfRule>
    <cfRule type="containsText" dxfId="3265" priority="2746" stopIfTrue="1" operator="containsText" text="疫苗">
      <formula>NOT(ISERROR(SEARCH("疫苗",D41)))</formula>
    </cfRule>
    <cfRule type="containsText" dxfId="3264" priority="2747" stopIfTrue="1" operator="containsText" text="勞假">
      <formula>NOT(ISERROR(SEARCH("勞假",D41)))</formula>
    </cfRule>
    <cfRule type="containsText" dxfId="3263" priority="2748" stopIfTrue="1" operator="containsText" text="補假">
      <formula>NOT(ISERROR(SEARCH("補假",D41)))</formula>
    </cfRule>
    <cfRule type="containsText" dxfId="3262" priority="2749" stopIfTrue="1" operator="containsText" text="例假">
      <formula>NOT(ISERROR(SEARCH("例假",D41)))</formula>
    </cfRule>
    <cfRule type="containsText" dxfId="3261" priority="2750" stopIfTrue="1" operator="containsText" text="病假">
      <formula>NOT(ISERROR(SEARCH("病假",D41)))</formula>
    </cfRule>
    <cfRule type="containsText" dxfId="3260" priority="2751" stopIfTrue="1" operator="containsText" text="大假">
      <formula>NOT(ISERROR(SEARCH("大假",D41)))</formula>
    </cfRule>
    <cfRule type="containsText" dxfId="3259" priority="2752" stopIfTrue="1" operator="containsText" text="無薪">
      <formula>NOT(ISERROR(SEARCH("無薪",D41)))</formula>
    </cfRule>
    <cfRule type="containsText" dxfId="3258" priority="2761" stopIfTrue="1" operator="containsText" text="疫苗">
      <formula>NOT(ISERROR(SEARCH("疫苗",D41)))</formula>
    </cfRule>
    <cfRule type="containsText" dxfId="3257" priority="2762" stopIfTrue="1" operator="containsText" text="勞假">
      <formula>NOT(ISERROR(SEARCH("勞假",D41)))</formula>
    </cfRule>
    <cfRule type="containsText" dxfId="3256" priority="2763" stopIfTrue="1" operator="containsText" text="補假">
      <formula>NOT(ISERROR(SEARCH("補假",D41)))</formula>
    </cfRule>
    <cfRule type="containsText" dxfId="3255" priority="2764" stopIfTrue="1" operator="containsText" text="例假">
      <formula>NOT(ISERROR(SEARCH("例假",D41)))</formula>
    </cfRule>
    <cfRule type="containsText" dxfId="3254" priority="2765" stopIfTrue="1" operator="containsText" text="病假">
      <formula>NOT(ISERROR(SEARCH("病假",D41)))</formula>
    </cfRule>
    <cfRule type="containsText" dxfId="3253" priority="2766" stopIfTrue="1" operator="containsText" text="大假">
      <formula>NOT(ISERROR(SEARCH("大假",D41)))</formula>
    </cfRule>
  </conditionalFormatting>
  <conditionalFormatting sqref="D10:P10 E11:K11 F18:AE34 M11:Z11 AB11:AE11">
    <cfRule type="containsText" dxfId="3252" priority="4005" operator="containsText" text="RD">
      <formula>NOT(ISERROR(SEARCH("RD",D10)))</formula>
    </cfRule>
  </conditionalFormatting>
  <conditionalFormatting sqref="D10:P10 E11:K11 M11:Z11 AB11:AE11 F18:AE34">
    <cfRule type="containsText" dxfId="3251" priority="4006" operator="containsText" text="NP">
      <formula>NOT(ISERROR(SEARCH("NP",D10)))</formula>
    </cfRule>
  </conditionalFormatting>
  <conditionalFormatting sqref="D18:Q18 B18:E34 D19:X19 D20:AE20">
    <cfRule type="cellIs" dxfId="3250" priority="3957" operator="equal">
      <formula>"R"</formula>
    </cfRule>
  </conditionalFormatting>
  <conditionalFormatting sqref="D18:Q18 D18:D34 D19:X19 D20:AE20">
    <cfRule type="containsText" dxfId="3249" priority="3864" stopIfTrue="1" operator="containsText" text="疫苗">
      <formula>NOT(ISERROR(SEARCH("疫苗",D18)))</formula>
    </cfRule>
    <cfRule type="containsText" dxfId="3248" priority="3865" stopIfTrue="1" operator="containsText" text="勞假">
      <formula>NOT(ISERROR(SEARCH("勞假",D18)))</formula>
    </cfRule>
    <cfRule type="containsText" dxfId="3247" priority="3866" stopIfTrue="1" operator="containsText" text="補假">
      <formula>NOT(ISERROR(SEARCH("補假",D18)))</formula>
    </cfRule>
    <cfRule type="containsText" dxfId="3246" priority="3867" stopIfTrue="1" operator="containsText" text="例假">
      <formula>NOT(ISERROR(SEARCH("例假",D18)))</formula>
    </cfRule>
    <cfRule type="containsText" dxfId="3245" priority="3868" stopIfTrue="1" operator="containsText" text="病假">
      <formula>NOT(ISERROR(SEARCH("病假",D18)))</formula>
    </cfRule>
    <cfRule type="containsText" dxfId="3244" priority="3869" stopIfTrue="1" operator="containsText" text="大假">
      <formula>NOT(ISERROR(SEARCH("大假",D18)))</formula>
    </cfRule>
    <cfRule type="containsText" dxfId="3243" priority="3870" stopIfTrue="1" operator="containsText" text="無薪">
      <formula>NOT(ISERROR(SEARCH("無薪",D18)))</formula>
    </cfRule>
    <cfRule type="containsText" dxfId="3242" priority="3871" stopIfTrue="1" operator="containsText" text="TIL">
      <formula>NOT(ISERROR(SEARCH("TIL",D18)))</formula>
    </cfRule>
    <cfRule type="containsText" dxfId="3241" priority="3872" stopIfTrue="1" operator="containsText" text="疫苗">
      <formula>NOT(ISERROR(SEARCH("疫苗",D18)))</formula>
    </cfRule>
    <cfRule type="containsText" dxfId="3240" priority="3873" stopIfTrue="1" operator="containsText" text="勞假">
      <formula>NOT(ISERROR(SEARCH("勞假",D18)))</formula>
    </cfRule>
    <cfRule type="containsText" dxfId="3239" priority="3874" stopIfTrue="1" operator="containsText" text="補假">
      <formula>NOT(ISERROR(SEARCH("補假",D18)))</formula>
    </cfRule>
    <cfRule type="containsText" dxfId="3238" priority="3875" stopIfTrue="1" operator="containsText" text="例假">
      <formula>NOT(ISERROR(SEARCH("例假",D18)))</formula>
    </cfRule>
    <cfRule type="containsText" dxfId="3237" priority="3876" stopIfTrue="1" operator="containsText" text="病假">
      <formula>NOT(ISERROR(SEARCH("病假",D18)))</formula>
    </cfRule>
    <cfRule type="containsText" dxfId="3236" priority="3877" stopIfTrue="1" operator="containsText" text="大假">
      <formula>NOT(ISERROR(SEARCH("大假",D18)))</formula>
    </cfRule>
    <cfRule type="cellIs" dxfId="3235" priority="3879" stopIfTrue="1" operator="equal">
      <formula>"NP"</formula>
    </cfRule>
    <cfRule type="cellIs" dxfId="3234" priority="3880" stopIfTrue="1" operator="equal">
      <formula>"RD"</formula>
    </cfRule>
    <cfRule type="containsText" dxfId="3233" priority="3881" stopIfTrue="1" operator="containsText" text="TIL">
      <formula>NOT(ISERROR(SEARCH("TIL",D18)))</formula>
    </cfRule>
    <cfRule type="containsText" dxfId="3232" priority="3882" stopIfTrue="1" operator="containsText" text="疫苗">
      <formula>NOT(ISERROR(SEARCH("疫苗",D18)))</formula>
    </cfRule>
    <cfRule type="containsText" dxfId="3231" priority="3883" stopIfTrue="1" operator="containsText" text="勞假">
      <formula>NOT(ISERROR(SEARCH("勞假",D18)))</formula>
    </cfRule>
    <cfRule type="containsText" dxfId="3230" priority="3884" stopIfTrue="1" operator="containsText" text="補假">
      <formula>NOT(ISERROR(SEARCH("補假",D18)))</formula>
    </cfRule>
    <cfRule type="containsText" dxfId="3229" priority="3885" stopIfTrue="1" operator="containsText" text="例假">
      <formula>NOT(ISERROR(SEARCH("例假",D18)))</formula>
    </cfRule>
    <cfRule type="containsText" dxfId="3228" priority="3886" stopIfTrue="1" operator="containsText" text="病假">
      <formula>NOT(ISERROR(SEARCH("病假",D18)))</formula>
    </cfRule>
    <cfRule type="containsText" dxfId="3227" priority="3887" stopIfTrue="1" operator="containsText" text="大假">
      <formula>NOT(ISERROR(SEARCH("大假",D18)))</formula>
    </cfRule>
    <cfRule type="containsText" dxfId="3226" priority="3905" stopIfTrue="1" operator="containsText" text="疫苗">
      <formula>NOT(ISERROR(SEARCH("疫苗",D18)))</formula>
    </cfRule>
    <cfRule type="containsText" dxfId="3225" priority="3906" stopIfTrue="1" operator="containsText" text="勞假">
      <formula>NOT(ISERROR(SEARCH("勞假",D18)))</formula>
    </cfRule>
    <cfRule type="containsText" dxfId="3224" priority="3907" stopIfTrue="1" operator="containsText" text="補假">
      <formula>NOT(ISERROR(SEARCH("補假",D18)))</formula>
    </cfRule>
    <cfRule type="containsText" dxfId="3223" priority="3908" stopIfTrue="1" operator="containsText" text="例假">
      <formula>NOT(ISERROR(SEARCH("例假",D18)))</formula>
    </cfRule>
    <cfRule type="containsText" dxfId="3222" priority="3909" stopIfTrue="1" operator="containsText" text="病假">
      <formula>NOT(ISERROR(SEARCH("病假",D18)))</formula>
    </cfRule>
    <cfRule type="containsText" dxfId="3221" priority="3910" stopIfTrue="1" operator="containsText" text="大假">
      <formula>NOT(ISERROR(SEARCH("大假",D18)))</formula>
    </cfRule>
    <cfRule type="containsText" dxfId="3220" priority="3911" stopIfTrue="1" operator="containsText" text="無薪">
      <formula>NOT(ISERROR(SEARCH("無薪",D18)))</formula>
    </cfRule>
    <cfRule type="containsText" dxfId="3219" priority="3912" stopIfTrue="1" operator="containsText" text="疫苗">
      <formula>NOT(ISERROR(SEARCH("疫苗",D18)))</formula>
    </cfRule>
    <cfRule type="containsText" dxfId="3218" priority="3913" stopIfTrue="1" operator="containsText" text="勞假">
      <formula>NOT(ISERROR(SEARCH("勞假",D18)))</formula>
    </cfRule>
    <cfRule type="containsText" dxfId="3217" priority="3914" stopIfTrue="1" operator="containsText" text="補假">
      <formula>NOT(ISERROR(SEARCH("補假",D18)))</formula>
    </cfRule>
    <cfRule type="containsText" dxfId="3216" priority="3915" stopIfTrue="1" operator="containsText" text="例假">
      <formula>NOT(ISERROR(SEARCH("例假",D18)))</formula>
    </cfRule>
    <cfRule type="containsText" dxfId="3215" priority="3916" stopIfTrue="1" operator="containsText" text="病假">
      <formula>NOT(ISERROR(SEARCH("病假",D18)))</formula>
    </cfRule>
    <cfRule type="containsText" dxfId="3214" priority="3917" stopIfTrue="1" operator="containsText" text="大假">
      <formula>NOT(ISERROR(SEARCH("大假",D18)))</formula>
    </cfRule>
    <cfRule type="containsText" dxfId="3213" priority="3918" stopIfTrue="1" operator="containsText" text="無薪">
      <formula>NOT(ISERROR(SEARCH("無薪",D18)))</formula>
    </cfRule>
    <cfRule type="containsText" dxfId="3212" priority="3919" stopIfTrue="1" operator="containsText" text="TIL">
      <formula>NOT(ISERROR(SEARCH("TIL",D18)))</formula>
    </cfRule>
    <cfRule type="containsText" dxfId="3211" priority="3920" stopIfTrue="1" operator="containsText" text="疫苗">
      <formula>NOT(ISERROR(SEARCH("疫苗",D18)))</formula>
    </cfRule>
    <cfRule type="containsText" dxfId="3210" priority="3921" stopIfTrue="1" operator="containsText" text="勞假">
      <formula>NOT(ISERROR(SEARCH("勞假",D18)))</formula>
    </cfRule>
    <cfRule type="containsText" dxfId="3209" priority="3922" stopIfTrue="1" operator="containsText" text="補假">
      <formula>NOT(ISERROR(SEARCH("補假",D18)))</formula>
    </cfRule>
    <cfRule type="containsText" dxfId="3208" priority="3923" stopIfTrue="1" operator="containsText" text="例假">
      <formula>NOT(ISERROR(SEARCH("例假",D18)))</formula>
    </cfRule>
    <cfRule type="containsText" dxfId="3207" priority="3924" stopIfTrue="1" operator="containsText" text="病假">
      <formula>NOT(ISERROR(SEARCH("病假",D18)))</formula>
    </cfRule>
    <cfRule type="containsText" dxfId="3206" priority="3925" stopIfTrue="1" operator="containsText" text="大假">
      <formula>NOT(ISERROR(SEARCH("大假",D18)))</formula>
    </cfRule>
    <cfRule type="containsText" dxfId="3205" priority="3926" stopIfTrue="1" operator="containsText" text="無薪">
      <formula>NOT(ISERROR(SEARCH("無薪",D18)))</formula>
    </cfRule>
    <cfRule type="containsText" dxfId="3204" priority="3927" stopIfTrue="1" operator="containsText" text="TIL">
      <formula>NOT(ISERROR(SEARCH("TIL",D18)))</formula>
    </cfRule>
    <cfRule type="containsText" dxfId="3203" priority="3928" stopIfTrue="1" operator="containsText" text="疫苗">
      <formula>NOT(ISERROR(SEARCH("疫苗",D18)))</formula>
    </cfRule>
    <cfRule type="containsText" dxfId="3202" priority="3929" stopIfTrue="1" operator="containsText" text="勞假">
      <formula>NOT(ISERROR(SEARCH("勞假",D18)))</formula>
    </cfRule>
    <cfRule type="containsText" dxfId="3201" priority="3930" stopIfTrue="1" operator="containsText" text="補假">
      <formula>NOT(ISERROR(SEARCH("補假",D18)))</formula>
    </cfRule>
    <cfRule type="containsText" dxfId="3200" priority="3931" stopIfTrue="1" operator="containsText" text="例假">
      <formula>NOT(ISERROR(SEARCH("例假",D18)))</formula>
    </cfRule>
    <cfRule type="containsText" dxfId="3199" priority="3932" stopIfTrue="1" operator="containsText" text="病假">
      <formula>NOT(ISERROR(SEARCH("病假",D18)))</formula>
    </cfRule>
    <cfRule type="containsText" dxfId="3198" priority="3933" stopIfTrue="1" operator="containsText" text="大假">
      <formula>NOT(ISERROR(SEARCH("大假",D18)))</formula>
    </cfRule>
    <cfRule type="containsText" dxfId="3197" priority="3969" stopIfTrue="1" operator="containsText" text="TIL">
      <formula>NOT(ISERROR(SEARCH("TIL",D18)))</formula>
    </cfRule>
    <cfRule type="containsText" dxfId="3196" priority="3970" stopIfTrue="1" operator="containsText" text="疫苗">
      <formula>NOT(ISERROR(SEARCH("疫苗",D18)))</formula>
    </cfRule>
    <cfRule type="containsText" dxfId="3195" priority="3971" stopIfTrue="1" operator="containsText" text="勞假">
      <formula>NOT(ISERROR(SEARCH("勞假",D18)))</formula>
    </cfRule>
    <cfRule type="containsText" dxfId="3194" priority="3972" stopIfTrue="1" operator="containsText" text="補假">
      <formula>NOT(ISERROR(SEARCH("補假",D18)))</formula>
    </cfRule>
    <cfRule type="containsText" dxfId="3193" priority="3973" stopIfTrue="1" operator="containsText" text="例假">
      <formula>NOT(ISERROR(SEARCH("例假",D18)))</formula>
    </cfRule>
    <cfRule type="containsText" dxfId="3192" priority="3974" stopIfTrue="1" operator="containsText" text="病假">
      <formula>NOT(ISERROR(SEARCH("病假",D18)))</formula>
    </cfRule>
    <cfRule type="containsText" dxfId="3191" priority="3975" stopIfTrue="1" operator="containsText" text="大假">
      <formula>NOT(ISERROR(SEARCH("大假",D18)))</formula>
    </cfRule>
    <cfRule type="containsText" dxfId="3190" priority="3976" stopIfTrue="1" operator="containsText" text="無薪">
      <formula>NOT(ISERROR(SEARCH("無薪",D18)))</formula>
    </cfRule>
  </conditionalFormatting>
  <conditionalFormatting sqref="D18:Q18 D18:E34 D19:X19 D20:AE20">
    <cfRule type="containsText" dxfId="3189" priority="3878" stopIfTrue="1" operator="containsText" text="TIL">
      <formula>NOT(ISERROR(SEARCH("TIL",D18)))</formula>
    </cfRule>
    <cfRule type="containsText" dxfId="3188" priority="3903" stopIfTrue="1" operator="containsText" text="TIL">
      <formula>NOT(ISERROR(SEARCH("TIL",D18)))</formula>
    </cfRule>
    <cfRule type="containsText" dxfId="3187" priority="3934" stopIfTrue="1" operator="containsText" text="無薪">
      <formula>NOT(ISERROR(SEARCH("無薪",D18)))</formula>
    </cfRule>
    <cfRule type="cellIs" dxfId="3186" priority="3954" operator="equal">
      <formula>"NC"</formula>
    </cfRule>
    <cfRule type="cellIs" dxfId="3185" priority="3955" operator="equal">
      <formula>"nd"</formula>
    </cfRule>
    <cfRule type="cellIs" dxfId="3184" priority="3956" operator="equal">
      <formula>0</formula>
    </cfRule>
    <cfRule type="cellIs" dxfId="3183" priority="3958" operator="equal">
      <formula>"NH12"</formula>
    </cfRule>
    <cfRule type="cellIs" dxfId="3182" priority="3959" operator="equal">
      <formula>"Nh11"</formula>
    </cfRule>
    <cfRule type="containsText" dxfId="3181" priority="3960" stopIfTrue="1" operator="containsText" text="TIL">
      <formula>NOT(ISERROR(SEARCH("TIL",D18)))</formula>
    </cfRule>
    <cfRule type="containsText" dxfId="3180" priority="3962" stopIfTrue="1" operator="containsText" text="疫苗">
      <formula>NOT(ISERROR(SEARCH("疫苗",D18)))</formula>
    </cfRule>
    <cfRule type="containsText" dxfId="3179" priority="3963" stopIfTrue="1" operator="containsText" text="勞假">
      <formula>NOT(ISERROR(SEARCH("勞假",D18)))</formula>
    </cfRule>
    <cfRule type="containsText" dxfId="3178" priority="3964" stopIfTrue="1" operator="containsText" text="補假">
      <formula>NOT(ISERROR(SEARCH("補假",D18)))</formula>
    </cfRule>
    <cfRule type="containsText" dxfId="3177" priority="3965" stopIfTrue="1" operator="containsText" text="例假">
      <formula>NOT(ISERROR(SEARCH("例假",D18)))</formula>
    </cfRule>
    <cfRule type="containsText" dxfId="3176" priority="3966" stopIfTrue="1" operator="containsText" text="病假">
      <formula>NOT(ISERROR(SEARCH("病假",D18)))</formula>
    </cfRule>
    <cfRule type="containsText" dxfId="3175" priority="3967" stopIfTrue="1" operator="containsText" text="大假">
      <formula>NOT(ISERROR(SEARCH("大假",D18)))</formula>
    </cfRule>
    <cfRule type="containsText" dxfId="3174" priority="3968" stopIfTrue="1" operator="containsText" text="無薪">
      <formula>NOT(ISERROR(SEARCH("無薪",D18)))</formula>
    </cfRule>
    <cfRule type="containsText" dxfId="3173" priority="3977" stopIfTrue="1" operator="containsText" text="疫苗">
      <formula>NOT(ISERROR(SEARCH("疫苗",D18)))</formula>
    </cfRule>
    <cfRule type="containsText" dxfId="3172" priority="3978" stopIfTrue="1" operator="containsText" text="勞假">
      <formula>NOT(ISERROR(SEARCH("勞假",D18)))</formula>
    </cfRule>
    <cfRule type="containsText" dxfId="3171" priority="3979" stopIfTrue="1" operator="containsText" text="補假">
      <formula>NOT(ISERROR(SEARCH("補假",D18)))</formula>
    </cfRule>
    <cfRule type="containsText" dxfId="3170" priority="3980" stopIfTrue="1" operator="containsText" text="例假">
      <formula>NOT(ISERROR(SEARCH("例假",D18)))</formula>
    </cfRule>
    <cfRule type="containsText" dxfId="3169" priority="3981" stopIfTrue="1" operator="containsText" text="病假">
      <formula>NOT(ISERROR(SEARCH("病假",D18)))</formula>
    </cfRule>
    <cfRule type="containsText" dxfId="3168" priority="3982" stopIfTrue="1" operator="containsText" text="大假">
      <formula>NOT(ISERROR(SEARCH("大假",D18)))</formula>
    </cfRule>
  </conditionalFormatting>
  <conditionalFormatting sqref="D11:R11 D18:AE34">
    <cfRule type="cellIs" dxfId="3167" priority="2806" operator="equal">
      <formula>"VO"</formula>
    </cfRule>
    <cfRule type="cellIs" dxfId="3166" priority="2807" operator="equal">
      <formula>"CW"</formula>
    </cfRule>
    <cfRule type="cellIs" dxfId="3165" priority="2808" operator="equal">
      <formula>"CF"</formula>
    </cfRule>
  </conditionalFormatting>
  <conditionalFormatting sqref="D11:R11">
    <cfRule type="containsText" dxfId="3164" priority="2804" operator="containsText" text="RD">
      <formula>NOT(ISERROR(SEARCH("RD",D11)))</formula>
    </cfRule>
    <cfRule type="containsText" dxfId="3163" priority="2805" operator="containsText" text="NP">
      <formula>NOT(ISERROR(SEARCH("NP",D11)))</formula>
    </cfRule>
    <cfRule type="containsText" dxfId="3162" priority="2809" stopIfTrue="1" operator="containsText" text="無薪">
      <formula>NOT(ISERROR(SEARCH("無薪",D11)))</formula>
    </cfRule>
    <cfRule type="containsText" dxfId="3161" priority="2810" stopIfTrue="1" operator="containsText" text="TIL">
      <formula>NOT(ISERROR(SEARCH("TIL",D11)))</formula>
    </cfRule>
    <cfRule type="containsText" dxfId="3160" priority="2811" stopIfTrue="1" operator="containsText" text="疫苗">
      <formula>NOT(ISERROR(SEARCH("疫苗",D11)))</formula>
    </cfRule>
    <cfRule type="containsText" dxfId="3159" priority="2812" stopIfTrue="1" operator="containsText" text="勞假">
      <formula>NOT(ISERROR(SEARCH("勞假",D11)))</formula>
    </cfRule>
    <cfRule type="containsText" dxfId="3158" priority="2813" stopIfTrue="1" operator="containsText" text="補假">
      <formula>NOT(ISERROR(SEARCH("補假",D11)))</formula>
    </cfRule>
    <cfRule type="containsText" dxfId="3157" priority="2814" stopIfTrue="1" operator="containsText" text="例假">
      <formula>NOT(ISERROR(SEARCH("例假",D11)))</formula>
    </cfRule>
    <cfRule type="containsText" dxfId="3156" priority="2815" stopIfTrue="1" operator="containsText" text="病假">
      <formula>NOT(ISERROR(SEARCH("病假",D11)))</formula>
    </cfRule>
    <cfRule type="containsText" dxfId="3155" priority="2816" stopIfTrue="1" operator="containsText" text="大假">
      <formula>NOT(ISERROR(SEARCH("大假",D11)))</formula>
    </cfRule>
    <cfRule type="containsText" dxfId="3154" priority="2817" stopIfTrue="1" operator="containsText" text="無薪">
      <formula>NOT(ISERROR(SEARCH("無薪",D11)))</formula>
    </cfRule>
    <cfRule type="containsText" dxfId="3153" priority="2818" stopIfTrue="1" operator="containsText" text="TIL">
      <formula>NOT(ISERROR(SEARCH("TIL",D11)))</formula>
    </cfRule>
    <cfRule type="containsText" dxfId="3152" priority="2819" stopIfTrue="1" operator="containsText" text="疫苗">
      <formula>NOT(ISERROR(SEARCH("疫苗",D11)))</formula>
    </cfRule>
    <cfRule type="containsText" dxfId="3151" priority="2820" stopIfTrue="1" operator="containsText" text="勞假">
      <formula>NOT(ISERROR(SEARCH("勞假",D11)))</formula>
    </cfRule>
    <cfRule type="containsText" dxfId="3150" priority="2821" stopIfTrue="1" operator="containsText" text="補假">
      <formula>NOT(ISERROR(SEARCH("補假",D11)))</formula>
    </cfRule>
    <cfRule type="containsText" dxfId="3149" priority="2822" stopIfTrue="1" operator="containsText" text="例假">
      <formula>NOT(ISERROR(SEARCH("例假",D11)))</formula>
    </cfRule>
    <cfRule type="containsText" dxfId="3148" priority="2823" stopIfTrue="1" operator="containsText" text="病假">
      <formula>NOT(ISERROR(SEARCH("病假",D11)))</formula>
    </cfRule>
    <cfRule type="containsText" dxfId="3147" priority="2824" stopIfTrue="1" operator="containsText" text="大假">
      <formula>NOT(ISERROR(SEARCH("大假",D11)))</formula>
    </cfRule>
    <cfRule type="containsText" dxfId="3146" priority="2825" stopIfTrue="1" operator="containsText" text="TIL">
      <formula>NOT(ISERROR(SEARCH("TIL",D11)))</formula>
    </cfRule>
    <cfRule type="cellIs" dxfId="3145" priority="2826" stopIfTrue="1" operator="equal">
      <formula>"NP"</formula>
    </cfRule>
    <cfRule type="cellIs" dxfId="3144" priority="2827" stopIfTrue="1" operator="equal">
      <formula>"RD"</formula>
    </cfRule>
    <cfRule type="containsText" dxfId="3143" priority="2828" stopIfTrue="1" operator="containsText" text="TIL">
      <formula>NOT(ISERROR(SEARCH("TIL",D11)))</formula>
    </cfRule>
    <cfRule type="containsText" dxfId="3142" priority="2829" stopIfTrue="1" operator="containsText" text="疫苗">
      <formula>NOT(ISERROR(SEARCH("疫苗",D11)))</formula>
    </cfRule>
    <cfRule type="containsText" dxfId="3141" priority="2830" stopIfTrue="1" operator="containsText" text="勞假">
      <formula>NOT(ISERROR(SEARCH("勞假",D11)))</formula>
    </cfRule>
    <cfRule type="containsText" dxfId="3140" priority="2831" stopIfTrue="1" operator="containsText" text="補假">
      <formula>NOT(ISERROR(SEARCH("補假",D11)))</formula>
    </cfRule>
    <cfRule type="containsText" dxfId="3139" priority="2832" stopIfTrue="1" operator="containsText" text="例假">
      <formula>NOT(ISERROR(SEARCH("例假",D11)))</formula>
    </cfRule>
    <cfRule type="containsText" dxfId="3138" priority="2833" stopIfTrue="1" operator="containsText" text="病假">
      <formula>NOT(ISERROR(SEARCH("病假",D11)))</formula>
    </cfRule>
    <cfRule type="containsText" dxfId="3137" priority="2834" stopIfTrue="1" operator="containsText" text="大假">
      <formula>NOT(ISERROR(SEARCH("大假",D11)))</formula>
    </cfRule>
    <cfRule type="containsText" dxfId="3136" priority="2835" stopIfTrue="1" operator="containsText" text="TIL">
      <formula>NOT(ISERROR(SEARCH("TIL",D11)))</formula>
    </cfRule>
    <cfRule type="containsText" dxfId="3135" priority="2836" stopIfTrue="1" operator="containsText" text="疫苗">
      <formula>NOT(ISERROR(SEARCH("疫苗",D11)))</formula>
    </cfRule>
    <cfRule type="containsText" dxfId="3134" priority="2837" stopIfTrue="1" operator="containsText" text="勞假">
      <formula>NOT(ISERROR(SEARCH("勞假",D11)))</formula>
    </cfRule>
    <cfRule type="containsText" dxfId="3133" priority="2838" stopIfTrue="1" operator="containsText" text="補假">
      <formula>NOT(ISERROR(SEARCH("補假",D11)))</formula>
    </cfRule>
    <cfRule type="containsText" dxfId="3132" priority="2839" stopIfTrue="1" operator="containsText" text="例假">
      <formula>NOT(ISERROR(SEARCH("例假",D11)))</formula>
    </cfRule>
    <cfRule type="containsText" dxfId="3131" priority="2840" stopIfTrue="1" operator="containsText" text="病假">
      <formula>NOT(ISERROR(SEARCH("病假",D11)))</formula>
    </cfRule>
    <cfRule type="containsText" dxfId="3130" priority="2841" stopIfTrue="1" operator="containsText" text="大假">
      <formula>NOT(ISERROR(SEARCH("大假",D11)))</formula>
    </cfRule>
    <cfRule type="containsText" dxfId="3129" priority="2842" stopIfTrue="1" operator="containsText" text="無薪">
      <formula>NOT(ISERROR(SEARCH("無薪",D11)))</formula>
    </cfRule>
    <cfRule type="containsText" dxfId="3128" priority="2843" stopIfTrue="1" operator="containsText" text="疫苗">
      <formula>NOT(ISERROR(SEARCH("疫苗",D11)))</formula>
    </cfRule>
    <cfRule type="containsText" dxfId="3127" priority="2844" stopIfTrue="1" operator="containsText" text="勞假">
      <formula>NOT(ISERROR(SEARCH("勞假",D11)))</formula>
    </cfRule>
    <cfRule type="containsText" dxfId="3126" priority="2845" stopIfTrue="1" operator="containsText" text="補假">
      <formula>NOT(ISERROR(SEARCH("補假",D11)))</formula>
    </cfRule>
    <cfRule type="containsText" dxfId="3125" priority="2846" stopIfTrue="1" operator="containsText" text="例假">
      <formula>NOT(ISERROR(SEARCH("例假",D11)))</formula>
    </cfRule>
    <cfRule type="containsText" dxfId="3124" priority="2847" stopIfTrue="1" operator="containsText" text="病假">
      <formula>NOT(ISERROR(SEARCH("病假",D11)))</formula>
    </cfRule>
    <cfRule type="containsText" dxfId="3123" priority="2848" stopIfTrue="1" operator="containsText" text="大假">
      <formula>NOT(ISERROR(SEARCH("大假",D11)))</formula>
    </cfRule>
    <cfRule type="containsText" dxfId="3122" priority="2849" stopIfTrue="1" operator="containsText" text="無薪">
      <formula>NOT(ISERROR(SEARCH("無薪",D11)))</formula>
    </cfRule>
    <cfRule type="containsText" dxfId="3121" priority="2850" stopIfTrue="1" operator="containsText" text="TIL">
      <formula>NOT(ISERROR(SEARCH("TIL",D11)))</formula>
    </cfRule>
    <cfRule type="containsText" dxfId="3120" priority="2851" stopIfTrue="1" operator="containsText" text="疫苗">
      <formula>NOT(ISERROR(SEARCH("疫苗",D11)))</formula>
    </cfRule>
    <cfRule type="containsText" dxfId="3119" priority="2852" stopIfTrue="1" operator="containsText" text="勞假">
      <formula>NOT(ISERROR(SEARCH("勞假",D11)))</formula>
    </cfRule>
    <cfRule type="containsText" dxfId="3118" priority="2853" stopIfTrue="1" operator="containsText" text="補假">
      <formula>NOT(ISERROR(SEARCH("補假",D11)))</formula>
    </cfRule>
    <cfRule type="containsText" dxfId="3117" priority="2854" stopIfTrue="1" operator="containsText" text="例假">
      <formula>NOT(ISERROR(SEARCH("例假",D11)))</formula>
    </cfRule>
    <cfRule type="containsText" dxfId="3116" priority="2855" stopIfTrue="1" operator="containsText" text="病假">
      <formula>NOT(ISERROR(SEARCH("病假",D11)))</formula>
    </cfRule>
    <cfRule type="containsText" dxfId="3115" priority="2856" stopIfTrue="1" operator="containsText" text="大假">
      <formula>NOT(ISERROR(SEARCH("大假",D11)))</formula>
    </cfRule>
    <cfRule type="containsText" dxfId="3114" priority="2857" stopIfTrue="1" operator="containsText" text="無薪">
      <formula>NOT(ISERROR(SEARCH("無薪",D11)))</formula>
    </cfRule>
    <cfRule type="containsText" dxfId="3113" priority="2858" stopIfTrue="1" operator="containsText" text="TIL">
      <formula>NOT(ISERROR(SEARCH("TIL",D11)))</formula>
    </cfRule>
    <cfRule type="containsText" dxfId="3112" priority="2859" stopIfTrue="1" operator="containsText" text="疫苗">
      <formula>NOT(ISERROR(SEARCH("疫苗",D11)))</formula>
    </cfRule>
    <cfRule type="containsText" dxfId="3111" priority="2860" stopIfTrue="1" operator="containsText" text="勞假">
      <formula>NOT(ISERROR(SEARCH("勞假",D11)))</formula>
    </cfRule>
    <cfRule type="containsText" dxfId="3110" priority="2861" stopIfTrue="1" operator="containsText" text="補假">
      <formula>NOT(ISERROR(SEARCH("補假",D11)))</formula>
    </cfRule>
    <cfRule type="containsText" dxfId="3109" priority="2862" stopIfTrue="1" operator="containsText" text="例假">
      <formula>NOT(ISERROR(SEARCH("例假",D11)))</formula>
    </cfRule>
    <cfRule type="containsText" dxfId="3108" priority="2863" stopIfTrue="1" operator="containsText" text="病假">
      <formula>NOT(ISERROR(SEARCH("病假",D11)))</formula>
    </cfRule>
    <cfRule type="containsText" dxfId="3107" priority="2864" stopIfTrue="1" operator="containsText" text="大假">
      <formula>NOT(ISERROR(SEARCH("大假",D11)))</formula>
    </cfRule>
    <cfRule type="containsText" dxfId="3106" priority="2865" stopIfTrue="1" operator="containsText" text="無薪">
      <formula>NOT(ISERROR(SEARCH("無薪",D11)))</formula>
    </cfRule>
    <cfRule type="cellIs" dxfId="3105" priority="2866" operator="equal">
      <formula>"NC"</formula>
    </cfRule>
    <cfRule type="cellIs" dxfId="3104" priority="2867" operator="equal">
      <formula>"nd"</formula>
    </cfRule>
    <cfRule type="cellIs" dxfId="3103" priority="2868" operator="equal">
      <formula>0</formula>
    </cfRule>
    <cfRule type="cellIs" dxfId="3102" priority="2870" operator="equal">
      <formula>"NH12"</formula>
    </cfRule>
    <cfRule type="cellIs" dxfId="3101" priority="2871" operator="equal">
      <formula>"Nh11"</formula>
    </cfRule>
    <cfRule type="containsText" dxfId="3100" priority="2872" stopIfTrue="1" operator="containsText" text="TIL">
      <formula>NOT(ISERROR(SEARCH("TIL",D11)))</formula>
    </cfRule>
    <cfRule type="containsText" dxfId="3099" priority="2873" stopIfTrue="1" operator="containsText" text="疫苗">
      <formula>NOT(ISERROR(SEARCH("疫苗",D11)))</formula>
    </cfRule>
    <cfRule type="containsText" dxfId="3098" priority="2874" stopIfTrue="1" operator="containsText" text="勞假">
      <formula>NOT(ISERROR(SEARCH("勞假",D11)))</formula>
    </cfRule>
    <cfRule type="containsText" dxfId="3097" priority="2875" stopIfTrue="1" operator="containsText" text="補假">
      <formula>NOT(ISERROR(SEARCH("補假",D11)))</formula>
    </cfRule>
    <cfRule type="containsText" dxfId="3096" priority="2876" stopIfTrue="1" operator="containsText" text="例假">
      <formula>NOT(ISERROR(SEARCH("例假",D11)))</formula>
    </cfRule>
    <cfRule type="containsText" dxfId="3095" priority="2877" stopIfTrue="1" operator="containsText" text="病假">
      <formula>NOT(ISERROR(SEARCH("病假",D11)))</formula>
    </cfRule>
    <cfRule type="containsText" dxfId="3094" priority="2878" stopIfTrue="1" operator="containsText" text="大假">
      <formula>NOT(ISERROR(SEARCH("大假",D11)))</formula>
    </cfRule>
    <cfRule type="containsText" dxfId="3093" priority="2879" stopIfTrue="1" operator="containsText" text="無薪">
      <formula>NOT(ISERROR(SEARCH("無薪",D11)))</formula>
    </cfRule>
    <cfRule type="containsText" dxfId="3092" priority="2880" stopIfTrue="1" operator="containsText" text="TIL">
      <formula>NOT(ISERROR(SEARCH("TIL",D11)))</formula>
    </cfRule>
    <cfRule type="containsText" dxfId="3091" priority="2881" stopIfTrue="1" operator="containsText" text="疫苗">
      <formula>NOT(ISERROR(SEARCH("疫苗",D11)))</formula>
    </cfRule>
    <cfRule type="containsText" dxfId="3090" priority="2882" stopIfTrue="1" operator="containsText" text="勞假">
      <formula>NOT(ISERROR(SEARCH("勞假",D11)))</formula>
    </cfRule>
    <cfRule type="containsText" dxfId="3089" priority="2883" stopIfTrue="1" operator="containsText" text="補假">
      <formula>NOT(ISERROR(SEARCH("補假",D11)))</formula>
    </cfRule>
    <cfRule type="containsText" dxfId="3088" priority="2884" stopIfTrue="1" operator="containsText" text="例假">
      <formula>NOT(ISERROR(SEARCH("例假",D11)))</formula>
    </cfRule>
    <cfRule type="containsText" dxfId="3087" priority="2885" stopIfTrue="1" operator="containsText" text="病假">
      <formula>NOT(ISERROR(SEARCH("病假",D11)))</formula>
    </cfRule>
    <cfRule type="containsText" dxfId="3086" priority="2886" stopIfTrue="1" operator="containsText" text="大假">
      <formula>NOT(ISERROR(SEARCH("大假",D11)))</formula>
    </cfRule>
    <cfRule type="containsText" dxfId="3085" priority="2887" stopIfTrue="1" operator="containsText" text="無薪">
      <formula>NOT(ISERROR(SEARCH("無薪",D11)))</formula>
    </cfRule>
    <cfRule type="containsText" dxfId="3084" priority="2888" stopIfTrue="1" operator="containsText" text="疫苗">
      <formula>NOT(ISERROR(SEARCH("疫苗",D11)))</formula>
    </cfRule>
    <cfRule type="containsText" dxfId="3083" priority="2889" stopIfTrue="1" operator="containsText" text="勞假">
      <formula>NOT(ISERROR(SEARCH("勞假",D11)))</formula>
    </cfRule>
    <cfRule type="containsText" dxfId="3082" priority="2890" stopIfTrue="1" operator="containsText" text="補假">
      <formula>NOT(ISERROR(SEARCH("補假",D11)))</formula>
    </cfRule>
    <cfRule type="containsText" dxfId="3081" priority="2891" stopIfTrue="1" operator="containsText" text="例假">
      <formula>NOT(ISERROR(SEARCH("例假",D11)))</formula>
    </cfRule>
    <cfRule type="containsText" dxfId="3080" priority="2892" stopIfTrue="1" operator="containsText" text="病假">
      <formula>NOT(ISERROR(SEARCH("病假",D11)))</formula>
    </cfRule>
    <cfRule type="containsText" dxfId="3079" priority="2893" stopIfTrue="1" operator="containsText" text="大假">
      <formula>NOT(ISERROR(SEARCH("大假",D11)))</formula>
    </cfRule>
  </conditionalFormatting>
  <conditionalFormatting sqref="D19:X19 D20:AE20">
    <cfRule type="containsText" dxfId="3078" priority="3862" stopIfTrue="1" operator="containsText" text="無薪">
      <formula>NOT(ISERROR(SEARCH("無薪",D19)))</formula>
    </cfRule>
  </conditionalFormatting>
  <conditionalFormatting sqref="D49:U49">
    <cfRule type="cellIs" dxfId="3077" priority="3989" operator="equal">
      <formula>"NP"</formula>
    </cfRule>
  </conditionalFormatting>
  <conditionalFormatting sqref="D7:AE9">
    <cfRule type="expression" dxfId="3076" priority="1367">
      <formula>LEFT(D$8,1)="H"</formula>
    </cfRule>
    <cfRule type="expression" dxfId="3075" priority="1368">
      <formula>WEEKDAY(D$7,2)&gt;6</formula>
    </cfRule>
  </conditionalFormatting>
  <conditionalFormatting sqref="D10:AE11 E18:AE34">
    <cfRule type="cellIs" dxfId="3074" priority="2796" operator="equal">
      <formula>"NSH"</formula>
    </cfRule>
  </conditionalFormatting>
  <conditionalFormatting sqref="D12:AE12 D13:D15 D36:D38 B39:AE39 B4:C9 B12:B15 BA22:HQ34 B48:AE48 AO48:HQ51 D45:D47 K47 R47 Y47 B36:B38 AN36:AN38 B45:B47 AN45:AN47">
    <cfRule type="cellIs" dxfId="3073" priority="7252" stopIfTrue="1" operator="equal">
      <formula>"NP"</formula>
    </cfRule>
  </conditionalFormatting>
  <conditionalFormatting sqref="D12:AE12 D13:D15 K13:K15 R13:R15 Y13:Y15 D16:AE17 D35:AE35">
    <cfRule type="containsText" dxfId="3072" priority="8714" stopIfTrue="1" operator="containsText" text="病假">
      <formula>NOT(ISERROR(SEARCH("病假",D12)))</formula>
    </cfRule>
  </conditionalFormatting>
  <conditionalFormatting sqref="D12:AE12 D13:D15 K13:K15 R13:R15 Y13:Y15 D16:AE17">
    <cfRule type="cellIs" dxfId="3071" priority="7455" operator="equal">
      <formula>"CW"</formula>
    </cfRule>
    <cfRule type="cellIs" dxfId="3070" priority="7456" operator="equal">
      <formula>"VO"</formula>
    </cfRule>
  </conditionalFormatting>
  <conditionalFormatting sqref="D12:AE12 D13:D15 K13:K15 R13:R15 Y13:Y15">
    <cfRule type="cellIs" dxfId="3069" priority="7457" operator="equal">
      <formula>"NP"</formula>
    </cfRule>
    <cfRule type="cellIs" dxfId="3068" priority="7458" operator="equal">
      <formula>"MOU"</formula>
    </cfRule>
    <cfRule type="cellIs" dxfId="3067" priority="7459" operator="equal">
      <formula>"VO, MOU, CW, CF"</formula>
    </cfRule>
  </conditionalFormatting>
  <conditionalFormatting sqref="D16:AE17 D39:AE40 K13:K15 R13:R15 Y13:Y15 D36:D38 K36:K38 R36:R38 Y36:Y38 D12:AE12 D13:D15 D35:AE35">
    <cfRule type="cellIs" dxfId="3066" priority="6602" operator="equal">
      <formula>"AL"</formula>
    </cfRule>
  </conditionalFormatting>
  <conditionalFormatting sqref="D16:AE17 D39:AE40 K14:K15 R14:R15 Y14:Y15 D37:D38 K37:K38 R37:R38 Y37:Y38 D35:AE36 D12:AE13 D14:D15">
    <cfRule type="cellIs" dxfId="3065" priority="5020" operator="equal">
      <formula>"CF"</formula>
    </cfRule>
    <cfRule type="cellIs" dxfId="3064" priority="5131" operator="equal">
      <formula>"CW"</formula>
    </cfRule>
  </conditionalFormatting>
  <conditionalFormatting sqref="D16:AE17 K14:K15 R14:R15 Y14:Y15 D12:AE13 D14:D15">
    <cfRule type="cellIs" dxfId="3063" priority="4738" operator="equal">
      <formula>"SR"</formula>
    </cfRule>
  </conditionalFormatting>
  <conditionalFormatting sqref="D16:AE17 K14:K15 R14:R15 Y14:Y15 D35:AE36 D12:AE13 D14:D15">
    <cfRule type="cellIs" dxfId="3062" priority="6547" operator="equal">
      <formula>"CL"</formula>
    </cfRule>
    <cfRule type="cellIs" dxfId="3061" priority="6572" operator="equal">
      <formula>"E"</formula>
    </cfRule>
  </conditionalFormatting>
  <conditionalFormatting sqref="D16:AE17">
    <cfRule type="cellIs" dxfId="3060" priority="7354" operator="equal">
      <formula>"NP"</formula>
    </cfRule>
    <cfRule type="cellIs" dxfId="3059" priority="7355" operator="equal">
      <formula>"MOU"</formula>
    </cfRule>
    <cfRule type="cellIs" dxfId="3058" priority="7356" operator="equal">
      <formula>"VO, MOU, CW, CF"</formula>
    </cfRule>
  </conditionalFormatting>
  <conditionalFormatting sqref="D36:AE36">
    <cfRule type="cellIs" dxfId="3057" priority="1279" operator="equal">
      <formula>"SR"</formula>
    </cfRule>
  </conditionalFormatting>
  <conditionalFormatting sqref="D39:AE40">
    <cfRule type="cellIs" dxfId="3056" priority="4839" operator="equal">
      <formula>"CL"</formula>
    </cfRule>
    <cfRule type="cellIs" dxfId="3055" priority="4840" operator="equal">
      <formula>"E"</formula>
    </cfRule>
    <cfRule type="cellIs" dxfId="3054" priority="7931" operator="equal">
      <formula>"MOU"</formula>
    </cfRule>
    <cfRule type="cellIs" dxfId="3053" priority="7932" operator="equal">
      <formula>"CW"</formula>
    </cfRule>
    <cfRule type="cellIs" dxfId="3052" priority="7933" operator="equal">
      <formula>"VO"</formula>
    </cfRule>
    <cfRule type="cellIs" dxfId="3051" priority="7934" operator="equal">
      <formula>"VO, MOU, CW, CF"</formula>
    </cfRule>
  </conditionalFormatting>
  <conditionalFormatting sqref="D41:AE41">
    <cfRule type="cellIs" dxfId="3050" priority="2641" operator="equal">
      <formula>"VO"</formula>
    </cfRule>
    <cfRule type="cellIs" dxfId="3049" priority="2642" operator="equal">
      <formula>"CW"</formula>
    </cfRule>
    <cfRule type="cellIs" dxfId="3048" priority="2643" operator="equal">
      <formula>"CF"</formula>
    </cfRule>
  </conditionalFormatting>
  <conditionalFormatting sqref="D42:AE42">
    <cfRule type="cellIs" dxfId="3047" priority="2007" operator="equal">
      <formula>"VO"</formula>
    </cfRule>
    <cfRule type="cellIs" dxfId="3046" priority="2008" operator="equal">
      <formula>"CW"</formula>
    </cfRule>
    <cfRule type="cellIs" dxfId="3045" priority="2009" operator="equal">
      <formula>"CF"</formula>
    </cfRule>
    <cfRule type="containsText" dxfId="3044" priority="2014" stopIfTrue="1" operator="containsText" text="無薪">
      <formula>NOT(ISERROR(SEARCH("無薪",D42)))</formula>
    </cfRule>
    <cfRule type="containsText" dxfId="3043" priority="2015" stopIfTrue="1" operator="containsText" text="TIL">
      <formula>NOT(ISERROR(SEARCH("TIL",D42)))</formula>
    </cfRule>
    <cfRule type="containsText" dxfId="3042" priority="2016" stopIfTrue="1" operator="containsText" text="疫苗">
      <formula>NOT(ISERROR(SEARCH("疫苗",D42)))</formula>
    </cfRule>
    <cfRule type="containsText" dxfId="3041" priority="2017" stopIfTrue="1" operator="containsText" text="勞假">
      <formula>NOT(ISERROR(SEARCH("勞假",D42)))</formula>
    </cfRule>
    <cfRule type="containsText" dxfId="3040" priority="2018" stopIfTrue="1" operator="containsText" text="補假">
      <formula>NOT(ISERROR(SEARCH("補假",D42)))</formula>
    </cfRule>
    <cfRule type="containsText" dxfId="3039" priority="2019" stopIfTrue="1" operator="containsText" text="例假">
      <formula>NOT(ISERROR(SEARCH("例假",D42)))</formula>
    </cfRule>
    <cfRule type="containsText" dxfId="3038" priority="2020" stopIfTrue="1" operator="containsText" text="病假">
      <formula>NOT(ISERROR(SEARCH("病假",D42)))</formula>
    </cfRule>
    <cfRule type="containsText" dxfId="3037" priority="2021" stopIfTrue="1" operator="containsText" text="大假">
      <formula>NOT(ISERROR(SEARCH("大假",D42)))</formula>
    </cfRule>
    <cfRule type="containsText" dxfId="3036" priority="2022" stopIfTrue="1" operator="containsText" text="無薪">
      <formula>NOT(ISERROR(SEARCH("無薪",D42)))</formula>
    </cfRule>
    <cfRule type="containsText" dxfId="3035" priority="2023" stopIfTrue="1" operator="containsText" text="TIL">
      <formula>NOT(ISERROR(SEARCH("TIL",D42)))</formula>
    </cfRule>
    <cfRule type="containsText" dxfId="3034" priority="2024" stopIfTrue="1" operator="containsText" text="疫苗">
      <formula>NOT(ISERROR(SEARCH("疫苗",D42)))</formula>
    </cfRule>
    <cfRule type="containsText" dxfId="3033" priority="2025" stopIfTrue="1" operator="containsText" text="勞假">
      <formula>NOT(ISERROR(SEARCH("勞假",D42)))</formula>
    </cfRule>
    <cfRule type="containsText" dxfId="3032" priority="2026" stopIfTrue="1" operator="containsText" text="補假">
      <formula>NOT(ISERROR(SEARCH("補假",D42)))</formula>
    </cfRule>
    <cfRule type="containsText" dxfId="3031" priority="2027" stopIfTrue="1" operator="containsText" text="例假">
      <formula>NOT(ISERROR(SEARCH("例假",D42)))</formula>
    </cfRule>
    <cfRule type="containsText" dxfId="3030" priority="2028" stopIfTrue="1" operator="containsText" text="病假">
      <formula>NOT(ISERROR(SEARCH("病假",D42)))</formula>
    </cfRule>
    <cfRule type="containsText" dxfId="3029" priority="2029" stopIfTrue="1" operator="containsText" text="大假">
      <formula>NOT(ISERROR(SEARCH("大假",D42)))</formula>
    </cfRule>
    <cfRule type="containsText" dxfId="3028" priority="2030" stopIfTrue="1" operator="containsText" text="TIL">
      <formula>NOT(ISERROR(SEARCH("TIL",D42)))</formula>
    </cfRule>
    <cfRule type="cellIs" dxfId="3027" priority="2031" stopIfTrue="1" operator="equal">
      <formula>"NP"</formula>
    </cfRule>
    <cfRule type="cellIs" dxfId="3026" priority="2032" stopIfTrue="1" operator="equal">
      <formula>"RD"</formula>
    </cfRule>
    <cfRule type="containsText" dxfId="3025" priority="2033" stopIfTrue="1" operator="containsText" text="TIL">
      <formula>NOT(ISERROR(SEARCH("TIL",D42)))</formula>
    </cfRule>
    <cfRule type="containsText" dxfId="3024" priority="2034" stopIfTrue="1" operator="containsText" text="疫苗">
      <formula>NOT(ISERROR(SEARCH("疫苗",D42)))</formula>
    </cfRule>
    <cfRule type="containsText" dxfId="3023" priority="2035" stopIfTrue="1" operator="containsText" text="勞假">
      <formula>NOT(ISERROR(SEARCH("勞假",D42)))</formula>
    </cfRule>
    <cfRule type="containsText" dxfId="3022" priority="2036" stopIfTrue="1" operator="containsText" text="補假">
      <formula>NOT(ISERROR(SEARCH("補假",D42)))</formula>
    </cfRule>
    <cfRule type="containsText" dxfId="3021" priority="2037" stopIfTrue="1" operator="containsText" text="例假">
      <formula>NOT(ISERROR(SEARCH("例假",D42)))</formula>
    </cfRule>
    <cfRule type="containsText" dxfId="3020" priority="2038" stopIfTrue="1" operator="containsText" text="病假">
      <formula>NOT(ISERROR(SEARCH("病假",D42)))</formula>
    </cfRule>
    <cfRule type="containsText" dxfId="3019" priority="2039" stopIfTrue="1" operator="containsText" text="大假">
      <formula>NOT(ISERROR(SEARCH("大假",D42)))</formula>
    </cfRule>
    <cfRule type="containsText" dxfId="3018" priority="2040" stopIfTrue="1" operator="containsText" text="TIL">
      <formula>NOT(ISERROR(SEARCH("TIL",D42)))</formula>
    </cfRule>
    <cfRule type="containsText" dxfId="3017" priority="2041" stopIfTrue="1" operator="containsText" text="疫苗">
      <formula>NOT(ISERROR(SEARCH("疫苗",D42)))</formula>
    </cfRule>
    <cfRule type="containsText" dxfId="3016" priority="2042" stopIfTrue="1" operator="containsText" text="勞假">
      <formula>NOT(ISERROR(SEARCH("勞假",D42)))</formula>
    </cfRule>
    <cfRule type="containsText" dxfId="3015" priority="2043" stopIfTrue="1" operator="containsText" text="補假">
      <formula>NOT(ISERROR(SEARCH("補假",D42)))</formula>
    </cfRule>
    <cfRule type="containsText" dxfId="3014" priority="2044" stopIfTrue="1" operator="containsText" text="例假">
      <formula>NOT(ISERROR(SEARCH("例假",D42)))</formula>
    </cfRule>
    <cfRule type="containsText" dxfId="3013" priority="2045" stopIfTrue="1" operator="containsText" text="病假">
      <formula>NOT(ISERROR(SEARCH("病假",D42)))</formula>
    </cfRule>
    <cfRule type="containsText" dxfId="3012" priority="2046" stopIfTrue="1" operator="containsText" text="大假">
      <formula>NOT(ISERROR(SEARCH("大假",D42)))</formula>
    </cfRule>
    <cfRule type="containsText" dxfId="3011" priority="2047" stopIfTrue="1" operator="containsText" text="無薪">
      <formula>NOT(ISERROR(SEARCH("無薪",D42)))</formula>
    </cfRule>
    <cfRule type="containsText" dxfId="3010" priority="2048" stopIfTrue="1" operator="containsText" text="疫苗">
      <formula>NOT(ISERROR(SEARCH("疫苗",D42)))</formula>
    </cfRule>
    <cfRule type="containsText" dxfId="3009" priority="2049" stopIfTrue="1" operator="containsText" text="勞假">
      <formula>NOT(ISERROR(SEARCH("勞假",D42)))</formula>
    </cfRule>
    <cfRule type="containsText" dxfId="3008" priority="2050" stopIfTrue="1" operator="containsText" text="補假">
      <formula>NOT(ISERROR(SEARCH("補假",D42)))</formula>
    </cfRule>
    <cfRule type="containsText" dxfId="3007" priority="2051" stopIfTrue="1" operator="containsText" text="例假">
      <formula>NOT(ISERROR(SEARCH("例假",D42)))</formula>
    </cfRule>
    <cfRule type="containsText" dxfId="3006" priority="2052" stopIfTrue="1" operator="containsText" text="病假">
      <formula>NOT(ISERROR(SEARCH("病假",D42)))</formula>
    </cfRule>
    <cfRule type="containsText" dxfId="3005" priority="2053" stopIfTrue="1" operator="containsText" text="大假">
      <formula>NOT(ISERROR(SEARCH("大假",D42)))</formula>
    </cfRule>
    <cfRule type="containsText" dxfId="3004" priority="2054" stopIfTrue="1" operator="containsText" text="無薪">
      <formula>NOT(ISERROR(SEARCH("無薪",D42)))</formula>
    </cfRule>
    <cfRule type="containsText" dxfId="3003" priority="2055" stopIfTrue="1" operator="containsText" text="TIL">
      <formula>NOT(ISERROR(SEARCH("TIL",D42)))</formula>
    </cfRule>
    <cfRule type="containsText" dxfId="3002" priority="2056" stopIfTrue="1" operator="containsText" text="疫苗">
      <formula>NOT(ISERROR(SEARCH("疫苗",D42)))</formula>
    </cfRule>
    <cfRule type="containsText" dxfId="3001" priority="2057" stopIfTrue="1" operator="containsText" text="勞假">
      <formula>NOT(ISERROR(SEARCH("勞假",D42)))</formula>
    </cfRule>
    <cfRule type="containsText" dxfId="3000" priority="2058" stopIfTrue="1" operator="containsText" text="補假">
      <formula>NOT(ISERROR(SEARCH("補假",D42)))</formula>
    </cfRule>
    <cfRule type="containsText" dxfId="2999" priority="2059" stopIfTrue="1" operator="containsText" text="例假">
      <formula>NOT(ISERROR(SEARCH("例假",D42)))</formula>
    </cfRule>
    <cfRule type="containsText" dxfId="2998" priority="2060" stopIfTrue="1" operator="containsText" text="病假">
      <formula>NOT(ISERROR(SEARCH("病假",D42)))</formula>
    </cfRule>
    <cfRule type="containsText" dxfId="2997" priority="2061" stopIfTrue="1" operator="containsText" text="大假">
      <formula>NOT(ISERROR(SEARCH("大假",D42)))</formula>
    </cfRule>
    <cfRule type="containsText" dxfId="2996" priority="2062" stopIfTrue="1" operator="containsText" text="無薪">
      <formula>NOT(ISERROR(SEARCH("無薪",D42)))</formula>
    </cfRule>
    <cfRule type="containsText" dxfId="2995" priority="2063" stopIfTrue="1" operator="containsText" text="TIL">
      <formula>NOT(ISERROR(SEARCH("TIL",D42)))</formula>
    </cfRule>
    <cfRule type="containsText" dxfId="2994" priority="2064" stopIfTrue="1" operator="containsText" text="疫苗">
      <formula>NOT(ISERROR(SEARCH("疫苗",D42)))</formula>
    </cfRule>
    <cfRule type="containsText" dxfId="2993" priority="2065" stopIfTrue="1" operator="containsText" text="勞假">
      <formula>NOT(ISERROR(SEARCH("勞假",D42)))</formula>
    </cfRule>
    <cfRule type="containsText" dxfId="2992" priority="2066" stopIfTrue="1" operator="containsText" text="補假">
      <formula>NOT(ISERROR(SEARCH("補假",D42)))</formula>
    </cfRule>
    <cfRule type="containsText" dxfId="2991" priority="2067" stopIfTrue="1" operator="containsText" text="例假">
      <formula>NOT(ISERROR(SEARCH("例假",D42)))</formula>
    </cfRule>
    <cfRule type="containsText" dxfId="2990" priority="2068" stopIfTrue="1" operator="containsText" text="病假">
      <formula>NOT(ISERROR(SEARCH("病假",D42)))</formula>
    </cfRule>
    <cfRule type="containsText" dxfId="2989" priority="2069" stopIfTrue="1" operator="containsText" text="大假">
      <formula>NOT(ISERROR(SEARCH("大假",D42)))</formula>
    </cfRule>
    <cfRule type="containsText" dxfId="2988" priority="2070" stopIfTrue="1" operator="containsText" text="無薪">
      <formula>NOT(ISERROR(SEARCH("無薪",D42)))</formula>
    </cfRule>
    <cfRule type="cellIs" dxfId="2987" priority="2071" operator="equal">
      <formula>"NC"</formula>
    </cfRule>
    <cfRule type="cellIs" dxfId="2986" priority="2072" operator="equal">
      <formula>"nd"</formula>
    </cfRule>
    <cfRule type="cellIs" dxfId="2985" priority="2073" operator="equal">
      <formula>0</formula>
    </cfRule>
    <cfRule type="cellIs" dxfId="2984" priority="2074" operator="equal">
      <formula>"R"</formula>
    </cfRule>
    <cfRule type="cellIs" dxfId="2983" priority="2075" operator="equal">
      <formula>"NH12"</formula>
    </cfRule>
    <cfRule type="cellIs" dxfId="2982" priority="2076" operator="equal">
      <formula>"Nh11"</formula>
    </cfRule>
    <cfRule type="containsText" dxfId="2981" priority="2077" stopIfTrue="1" operator="containsText" text="TIL">
      <formula>NOT(ISERROR(SEARCH("TIL",D42)))</formula>
    </cfRule>
    <cfRule type="containsText" dxfId="2980" priority="2078" stopIfTrue="1" operator="containsText" text="疫苗">
      <formula>NOT(ISERROR(SEARCH("疫苗",D42)))</formula>
    </cfRule>
    <cfRule type="containsText" dxfId="2979" priority="2079" stopIfTrue="1" operator="containsText" text="勞假">
      <formula>NOT(ISERROR(SEARCH("勞假",D42)))</formula>
    </cfRule>
    <cfRule type="containsText" dxfId="2978" priority="2080" stopIfTrue="1" operator="containsText" text="補假">
      <formula>NOT(ISERROR(SEARCH("補假",D42)))</formula>
    </cfRule>
    <cfRule type="containsText" dxfId="2977" priority="2081" stopIfTrue="1" operator="containsText" text="例假">
      <formula>NOT(ISERROR(SEARCH("例假",D42)))</formula>
    </cfRule>
    <cfRule type="containsText" dxfId="2976" priority="2082" stopIfTrue="1" operator="containsText" text="病假">
      <formula>NOT(ISERROR(SEARCH("病假",D42)))</formula>
    </cfRule>
    <cfRule type="containsText" dxfId="2975" priority="2083" stopIfTrue="1" operator="containsText" text="大假">
      <formula>NOT(ISERROR(SEARCH("大假",D42)))</formula>
    </cfRule>
    <cfRule type="containsText" dxfId="2974" priority="2084" stopIfTrue="1" operator="containsText" text="無薪">
      <formula>NOT(ISERROR(SEARCH("無薪",D42)))</formula>
    </cfRule>
    <cfRule type="containsText" dxfId="2973" priority="2085" stopIfTrue="1" operator="containsText" text="TIL">
      <formula>NOT(ISERROR(SEARCH("TIL",D42)))</formula>
    </cfRule>
    <cfRule type="containsText" dxfId="2972" priority="2086" stopIfTrue="1" operator="containsText" text="疫苗">
      <formula>NOT(ISERROR(SEARCH("疫苗",D42)))</formula>
    </cfRule>
    <cfRule type="containsText" dxfId="2971" priority="2087" stopIfTrue="1" operator="containsText" text="勞假">
      <formula>NOT(ISERROR(SEARCH("勞假",D42)))</formula>
    </cfRule>
    <cfRule type="containsText" dxfId="2970" priority="2088" stopIfTrue="1" operator="containsText" text="補假">
      <formula>NOT(ISERROR(SEARCH("補假",D42)))</formula>
    </cfRule>
    <cfRule type="containsText" dxfId="2969" priority="2089" stopIfTrue="1" operator="containsText" text="例假">
      <formula>NOT(ISERROR(SEARCH("例假",D42)))</formula>
    </cfRule>
    <cfRule type="containsText" dxfId="2968" priority="2090" stopIfTrue="1" operator="containsText" text="病假">
      <formula>NOT(ISERROR(SEARCH("病假",D42)))</formula>
    </cfRule>
    <cfRule type="containsText" dxfId="2967" priority="2091" stopIfTrue="1" operator="containsText" text="大假">
      <formula>NOT(ISERROR(SEARCH("大假",D42)))</formula>
    </cfRule>
    <cfRule type="containsText" dxfId="2966" priority="2092" stopIfTrue="1" operator="containsText" text="無薪">
      <formula>NOT(ISERROR(SEARCH("無薪",D42)))</formula>
    </cfRule>
    <cfRule type="containsText" dxfId="2965" priority="2093" stopIfTrue="1" operator="containsText" text="疫苗">
      <formula>NOT(ISERROR(SEARCH("疫苗",D42)))</formula>
    </cfRule>
    <cfRule type="containsText" dxfId="2964" priority="2094" stopIfTrue="1" operator="containsText" text="勞假">
      <formula>NOT(ISERROR(SEARCH("勞假",D42)))</formula>
    </cfRule>
    <cfRule type="containsText" dxfId="2963" priority="2095" stopIfTrue="1" operator="containsText" text="補假">
      <formula>NOT(ISERROR(SEARCH("補假",D42)))</formula>
    </cfRule>
    <cfRule type="containsText" dxfId="2962" priority="2096" stopIfTrue="1" operator="containsText" text="例假">
      <formula>NOT(ISERROR(SEARCH("例假",D42)))</formula>
    </cfRule>
    <cfRule type="containsText" dxfId="2961" priority="2097" stopIfTrue="1" operator="containsText" text="病假">
      <formula>NOT(ISERROR(SEARCH("病假",D42)))</formula>
    </cfRule>
    <cfRule type="containsText" dxfId="2960" priority="2098" stopIfTrue="1" operator="containsText" text="大假">
      <formula>NOT(ISERROR(SEARCH("大假",D42)))</formula>
    </cfRule>
  </conditionalFormatting>
  <conditionalFormatting sqref="D43:AE43">
    <cfRule type="cellIs" dxfId="2959" priority="3253" operator="equal">
      <formula>"VO"</formula>
    </cfRule>
    <cfRule type="cellIs" dxfId="2958" priority="3254" operator="equal">
      <formula>"CW"</formula>
    </cfRule>
    <cfRule type="cellIs" dxfId="2957" priority="3255" operator="equal">
      <formula>"CF"</formula>
    </cfRule>
    <cfRule type="containsText" dxfId="2956" priority="3262" stopIfTrue="1" operator="containsText" text="無薪">
      <formula>NOT(ISERROR(SEARCH("無薪",D43)))</formula>
    </cfRule>
    <cfRule type="containsText" dxfId="2955" priority="3263" stopIfTrue="1" operator="containsText" text="TIL">
      <formula>NOT(ISERROR(SEARCH("TIL",D43)))</formula>
    </cfRule>
    <cfRule type="containsText" dxfId="2954" priority="3264" stopIfTrue="1" operator="containsText" text="疫苗">
      <formula>NOT(ISERROR(SEARCH("疫苗",D43)))</formula>
    </cfRule>
    <cfRule type="containsText" dxfId="2953" priority="3265" stopIfTrue="1" operator="containsText" text="勞假">
      <formula>NOT(ISERROR(SEARCH("勞假",D43)))</formula>
    </cfRule>
    <cfRule type="containsText" dxfId="2952" priority="3266" stopIfTrue="1" operator="containsText" text="補假">
      <formula>NOT(ISERROR(SEARCH("補假",D43)))</formula>
    </cfRule>
    <cfRule type="containsText" dxfId="2951" priority="3267" stopIfTrue="1" operator="containsText" text="例假">
      <formula>NOT(ISERROR(SEARCH("例假",D43)))</formula>
    </cfRule>
    <cfRule type="containsText" dxfId="2950" priority="3268" stopIfTrue="1" operator="containsText" text="病假">
      <formula>NOT(ISERROR(SEARCH("病假",D43)))</formula>
    </cfRule>
    <cfRule type="containsText" dxfId="2949" priority="3269" stopIfTrue="1" operator="containsText" text="大假">
      <formula>NOT(ISERROR(SEARCH("大假",D43)))</formula>
    </cfRule>
    <cfRule type="containsText" dxfId="2948" priority="3270" stopIfTrue="1" operator="containsText" text="無薪">
      <formula>NOT(ISERROR(SEARCH("無薪",D43)))</formula>
    </cfRule>
    <cfRule type="containsText" dxfId="2947" priority="3271" stopIfTrue="1" operator="containsText" text="TIL">
      <formula>NOT(ISERROR(SEARCH("TIL",D43)))</formula>
    </cfRule>
    <cfRule type="containsText" dxfId="2946" priority="3272" stopIfTrue="1" operator="containsText" text="疫苗">
      <formula>NOT(ISERROR(SEARCH("疫苗",D43)))</formula>
    </cfRule>
    <cfRule type="containsText" dxfId="2945" priority="3273" stopIfTrue="1" operator="containsText" text="勞假">
      <formula>NOT(ISERROR(SEARCH("勞假",D43)))</formula>
    </cfRule>
    <cfRule type="containsText" dxfId="2944" priority="3274" stopIfTrue="1" operator="containsText" text="補假">
      <formula>NOT(ISERROR(SEARCH("補假",D43)))</formula>
    </cfRule>
    <cfRule type="containsText" dxfId="2943" priority="3275" stopIfTrue="1" operator="containsText" text="例假">
      <formula>NOT(ISERROR(SEARCH("例假",D43)))</formula>
    </cfRule>
    <cfRule type="containsText" dxfId="2942" priority="3276" stopIfTrue="1" operator="containsText" text="病假">
      <formula>NOT(ISERROR(SEARCH("病假",D43)))</formula>
    </cfRule>
    <cfRule type="containsText" dxfId="2941" priority="3277" stopIfTrue="1" operator="containsText" text="大假">
      <formula>NOT(ISERROR(SEARCH("大假",D43)))</formula>
    </cfRule>
    <cfRule type="containsText" dxfId="2940" priority="3278" stopIfTrue="1" operator="containsText" text="TIL">
      <formula>NOT(ISERROR(SEARCH("TIL",D43)))</formula>
    </cfRule>
    <cfRule type="cellIs" dxfId="2939" priority="3279" stopIfTrue="1" operator="equal">
      <formula>"NP"</formula>
    </cfRule>
    <cfRule type="cellIs" dxfId="2938" priority="3280" stopIfTrue="1" operator="equal">
      <formula>"RD"</formula>
    </cfRule>
    <cfRule type="containsText" dxfId="2937" priority="3281" stopIfTrue="1" operator="containsText" text="TIL">
      <formula>NOT(ISERROR(SEARCH("TIL",D43)))</formula>
    </cfRule>
    <cfRule type="containsText" dxfId="2936" priority="3282" stopIfTrue="1" operator="containsText" text="疫苗">
      <formula>NOT(ISERROR(SEARCH("疫苗",D43)))</formula>
    </cfRule>
    <cfRule type="containsText" dxfId="2935" priority="3283" stopIfTrue="1" operator="containsText" text="勞假">
      <formula>NOT(ISERROR(SEARCH("勞假",D43)))</formula>
    </cfRule>
    <cfRule type="containsText" dxfId="2934" priority="3284" stopIfTrue="1" operator="containsText" text="補假">
      <formula>NOT(ISERROR(SEARCH("補假",D43)))</formula>
    </cfRule>
    <cfRule type="containsText" dxfId="2933" priority="3285" stopIfTrue="1" operator="containsText" text="例假">
      <formula>NOT(ISERROR(SEARCH("例假",D43)))</formula>
    </cfRule>
    <cfRule type="containsText" dxfId="2932" priority="3286" stopIfTrue="1" operator="containsText" text="病假">
      <formula>NOT(ISERROR(SEARCH("病假",D43)))</formula>
    </cfRule>
    <cfRule type="containsText" dxfId="2931" priority="3287" stopIfTrue="1" operator="containsText" text="大假">
      <formula>NOT(ISERROR(SEARCH("大假",D43)))</formula>
    </cfRule>
    <cfRule type="containsText" dxfId="2930" priority="3303" stopIfTrue="1" operator="containsText" text="TIL">
      <formula>NOT(ISERROR(SEARCH("TIL",D43)))</formula>
    </cfRule>
    <cfRule type="containsText" dxfId="2929" priority="3305" stopIfTrue="1" operator="containsText" text="疫苗">
      <formula>NOT(ISERROR(SEARCH("疫苗",D43)))</formula>
    </cfRule>
    <cfRule type="containsText" dxfId="2928" priority="3306" stopIfTrue="1" operator="containsText" text="勞假">
      <formula>NOT(ISERROR(SEARCH("勞假",D43)))</formula>
    </cfRule>
    <cfRule type="containsText" dxfId="2927" priority="3307" stopIfTrue="1" operator="containsText" text="補假">
      <formula>NOT(ISERROR(SEARCH("補假",D43)))</formula>
    </cfRule>
    <cfRule type="containsText" dxfId="2926" priority="3308" stopIfTrue="1" operator="containsText" text="例假">
      <formula>NOT(ISERROR(SEARCH("例假",D43)))</formula>
    </cfRule>
    <cfRule type="containsText" dxfId="2925" priority="3309" stopIfTrue="1" operator="containsText" text="病假">
      <formula>NOT(ISERROR(SEARCH("病假",D43)))</formula>
    </cfRule>
    <cfRule type="containsText" dxfId="2924" priority="3310" stopIfTrue="1" operator="containsText" text="大假">
      <formula>NOT(ISERROR(SEARCH("大假",D43)))</formula>
    </cfRule>
    <cfRule type="containsText" dxfId="2923" priority="3311" stopIfTrue="1" operator="containsText" text="無薪">
      <formula>NOT(ISERROR(SEARCH("無薪",D43)))</formula>
    </cfRule>
    <cfRule type="containsText" dxfId="2922" priority="3312" stopIfTrue="1" operator="containsText" text="疫苗">
      <formula>NOT(ISERROR(SEARCH("疫苗",D43)))</formula>
    </cfRule>
    <cfRule type="containsText" dxfId="2921" priority="3313" stopIfTrue="1" operator="containsText" text="勞假">
      <formula>NOT(ISERROR(SEARCH("勞假",D43)))</formula>
    </cfRule>
    <cfRule type="containsText" dxfId="2920" priority="3314" stopIfTrue="1" operator="containsText" text="補假">
      <formula>NOT(ISERROR(SEARCH("補假",D43)))</formula>
    </cfRule>
    <cfRule type="containsText" dxfId="2919" priority="3315" stopIfTrue="1" operator="containsText" text="例假">
      <formula>NOT(ISERROR(SEARCH("例假",D43)))</formula>
    </cfRule>
    <cfRule type="containsText" dxfId="2918" priority="3316" stopIfTrue="1" operator="containsText" text="病假">
      <formula>NOT(ISERROR(SEARCH("病假",D43)))</formula>
    </cfRule>
    <cfRule type="containsText" dxfId="2917" priority="3317" stopIfTrue="1" operator="containsText" text="大假">
      <formula>NOT(ISERROR(SEARCH("大假",D43)))</formula>
    </cfRule>
    <cfRule type="containsText" dxfId="2916" priority="3318" stopIfTrue="1" operator="containsText" text="無薪">
      <formula>NOT(ISERROR(SEARCH("無薪",D43)))</formula>
    </cfRule>
    <cfRule type="containsText" dxfId="2915" priority="3319" stopIfTrue="1" operator="containsText" text="TIL">
      <formula>NOT(ISERROR(SEARCH("TIL",D43)))</formula>
    </cfRule>
    <cfRule type="containsText" dxfId="2914" priority="3320" stopIfTrue="1" operator="containsText" text="疫苗">
      <formula>NOT(ISERROR(SEARCH("疫苗",D43)))</formula>
    </cfRule>
    <cfRule type="containsText" dxfId="2913" priority="3321" stopIfTrue="1" operator="containsText" text="勞假">
      <formula>NOT(ISERROR(SEARCH("勞假",D43)))</formula>
    </cfRule>
    <cfRule type="containsText" dxfId="2912" priority="3322" stopIfTrue="1" operator="containsText" text="補假">
      <formula>NOT(ISERROR(SEARCH("補假",D43)))</formula>
    </cfRule>
    <cfRule type="containsText" dxfId="2911" priority="3323" stopIfTrue="1" operator="containsText" text="例假">
      <formula>NOT(ISERROR(SEARCH("例假",D43)))</formula>
    </cfRule>
    <cfRule type="containsText" dxfId="2910" priority="3324" stopIfTrue="1" operator="containsText" text="病假">
      <formula>NOT(ISERROR(SEARCH("病假",D43)))</formula>
    </cfRule>
    <cfRule type="containsText" dxfId="2909" priority="3325" stopIfTrue="1" operator="containsText" text="大假">
      <formula>NOT(ISERROR(SEARCH("大假",D43)))</formula>
    </cfRule>
    <cfRule type="containsText" dxfId="2908" priority="3326" stopIfTrue="1" operator="containsText" text="無薪">
      <formula>NOT(ISERROR(SEARCH("無薪",D43)))</formula>
    </cfRule>
    <cfRule type="containsText" dxfId="2907" priority="3327" stopIfTrue="1" operator="containsText" text="TIL">
      <formula>NOT(ISERROR(SEARCH("TIL",D43)))</formula>
    </cfRule>
    <cfRule type="containsText" dxfId="2906" priority="3328" stopIfTrue="1" operator="containsText" text="疫苗">
      <formula>NOT(ISERROR(SEARCH("疫苗",D43)))</formula>
    </cfRule>
    <cfRule type="containsText" dxfId="2905" priority="3329" stopIfTrue="1" operator="containsText" text="勞假">
      <formula>NOT(ISERROR(SEARCH("勞假",D43)))</formula>
    </cfRule>
    <cfRule type="containsText" dxfId="2904" priority="3330" stopIfTrue="1" operator="containsText" text="補假">
      <formula>NOT(ISERROR(SEARCH("補假",D43)))</formula>
    </cfRule>
    <cfRule type="containsText" dxfId="2903" priority="3331" stopIfTrue="1" operator="containsText" text="例假">
      <formula>NOT(ISERROR(SEARCH("例假",D43)))</formula>
    </cfRule>
    <cfRule type="containsText" dxfId="2902" priority="3332" stopIfTrue="1" operator="containsText" text="病假">
      <formula>NOT(ISERROR(SEARCH("病假",D43)))</formula>
    </cfRule>
    <cfRule type="containsText" dxfId="2901" priority="3333" stopIfTrue="1" operator="containsText" text="大假">
      <formula>NOT(ISERROR(SEARCH("大假",D43)))</formula>
    </cfRule>
    <cfRule type="containsText" dxfId="2900" priority="3334" stopIfTrue="1" operator="containsText" text="無薪">
      <formula>NOT(ISERROR(SEARCH("無薪",D43)))</formula>
    </cfRule>
    <cfRule type="cellIs" dxfId="2899" priority="3354" operator="equal">
      <formula>"NC"</formula>
    </cfRule>
    <cfRule type="cellIs" dxfId="2898" priority="3355" operator="equal">
      <formula>"nd"</formula>
    </cfRule>
    <cfRule type="cellIs" dxfId="2897" priority="3356" operator="equal">
      <formula>0</formula>
    </cfRule>
    <cfRule type="cellIs" dxfId="2896" priority="3357" operator="equal">
      <formula>"R"</formula>
    </cfRule>
    <cfRule type="cellIs" dxfId="2895" priority="3358" operator="equal">
      <formula>"NH12"</formula>
    </cfRule>
    <cfRule type="cellIs" dxfId="2894" priority="3359" operator="equal">
      <formula>"Nh11"</formula>
    </cfRule>
    <cfRule type="containsText" dxfId="2893" priority="3360" stopIfTrue="1" operator="containsText" text="TIL">
      <formula>NOT(ISERROR(SEARCH("TIL",D43)))</formula>
    </cfRule>
    <cfRule type="containsText" dxfId="2892" priority="3362" stopIfTrue="1" operator="containsText" text="疫苗">
      <formula>NOT(ISERROR(SEARCH("疫苗",D43)))</formula>
    </cfRule>
    <cfRule type="containsText" dxfId="2891" priority="3363" stopIfTrue="1" operator="containsText" text="勞假">
      <formula>NOT(ISERROR(SEARCH("勞假",D43)))</formula>
    </cfRule>
    <cfRule type="containsText" dxfId="2890" priority="3364" stopIfTrue="1" operator="containsText" text="補假">
      <formula>NOT(ISERROR(SEARCH("補假",D43)))</formula>
    </cfRule>
    <cfRule type="containsText" dxfId="2889" priority="3365" stopIfTrue="1" operator="containsText" text="例假">
      <formula>NOT(ISERROR(SEARCH("例假",D43)))</formula>
    </cfRule>
    <cfRule type="containsText" dxfId="2888" priority="3366" stopIfTrue="1" operator="containsText" text="病假">
      <formula>NOT(ISERROR(SEARCH("病假",D43)))</formula>
    </cfRule>
    <cfRule type="containsText" dxfId="2887" priority="3367" stopIfTrue="1" operator="containsText" text="大假">
      <formula>NOT(ISERROR(SEARCH("大假",D43)))</formula>
    </cfRule>
    <cfRule type="containsText" dxfId="2886" priority="3368" stopIfTrue="1" operator="containsText" text="無薪">
      <formula>NOT(ISERROR(SEARCH("無薪",D43)))</formula>
    </cfRule>
    <cfRule type="containsText" dxfId="2885" priority="3369" stopIfTrue="1" operator="containsText" text="TIL">
      <formula>NOT(ISERROR(SEARCH("TIL",D43)))</formula>
    </cfRule>
    <cfRule type="containsText" dxfId="2884" priority="3370" stopIfTrue="1" operator="containsText" text="疫苗">
      <formula>NOT(ISERROR(SEARCH("疫苗",D43)))</formula>
    </cfRule>
    <cfRule type="containsText" dxfId="2883" priority="3371" stopIfTrue="1" operator="containsText" text="勞假">
      <formula>NOT(ISERROR(SEARCH("勞假",D43)))</formula>
    </cfRule>
    <cfRule type="containsText" dxfId="2882" priority="3372" stopIfTrue="1" operator="containsText" text="補假">
      <formula>NOT(ISERROR(SEARCH("補假",D43)))</formula>
    </cfRule>
    <cfRule type="containsText" dxfId="2881" priority="3373" stopIfTrue="1" operator="containsText" text="例假">
      <formula>NOT(ISERROR(SEARCH("例假",D43)))</formula>
    </cfRule>
    <cfRule type="containsText" dxfId="2880" priority="3374" stopIfTrue="1" operator="containsText" text="病假">
      <formula>NOT(ISERROR(SEARCH("病假",D43)))</formula>
    </cfRule>
    <cfRule type="containsText" dxfId="2879" priority="3375" stopIfTrue="1" operator="containsText" text="大假">
      <formula>NOT(ISERROR(SEARCH("大假",D43)))</formula>
    </cfRule>
    <cfRule type="containsText" dxfId="2878" priority="3376" stopIfTrue="1" operator="containsText" text="無薪">
      <formula>NOT(ISERROR(SEARCH("無薪",D43)))</formula>
    </cfRule>
    <cfRule type="containsText" dxfId="2877" priority="3377" stopIfTrue="1" operator="containsText" text="疫苗">
      <formula>NOT(ISERROR(SEARCH("疫苗",D43)))</formula>
    </cfRule>
    <cfRule type="containsText" dxfId="2876" priority="3378" stopIfTrue="1" operator="containsText" text="勞假">
      <formula>NOT(ISERROR(SEARCH("勞假",D43)))</formula>
    </cfRule>
    <cfRule type="containsText" dxfId="2875" priority="3379" stopIfTrue="1" operator="containsText" text="補假">
      <formula>NOT(ISERROR(SEARCH("補假",D43)))</formula>
    </cfRule>
    <cfRule type="containsText" dxfId="2874" priority="3380" stopIfTrue="1" operator="containsText" text="例假">
      <formula>NOT(ISERROR(SEARCH("例假",D43)))</formula>
    </cfRule>
    <cfRule type="containsText" dxfId="2873" priority="3381" stopIfTrue="1" operator="containsText" text="病假">
      <formula>NOT(ISERROR(SEARCH("病假",D43)))</formula>
    </cfRule>
    <cfRule type="containsText" dxfId="2872" priority="3382" stopIfTrue="1" operator="containsText" text="大假">
      <formula>NOT(ISERROR(SEARCH("大假",D43)))</formula>
    </cfRule>
  </conditionalFormatting>
  <conditionalFormatting sqref="D44:AE45">
    <cfRule type="cellIs" dxfId="2871" priority="1242" operator="equal">
      <formula>"CF"</formula>
    </cfRule>
    <cfRule type="cellIs" dxfId="2870" priority="1243" operator="equal">
      <formula>"CW"</formula>
    </cfRule>
    <cfRule type="cellIs" dxfId="2869" priority="1244" operator="equal">
      <formula>"CL"</formula>
    </cfRule>
    <cfRule type="cellIs" dxfId="2868" priority="1245" operator="equal">
      <formula>"E"</formula>
    </cfRule>
  </conditionalFormatting>
  <conditionalFormatting sqref="D45:AE45">
    <cfRule type="cellIs" dxfId="2867" priority="1232" operator="equal">
      <formula>"SR"</formula>
    </cfRule>
    <cfRule type="cellIs" dxfId="2866" priority="1241" operator="equal">
      <formula>"NSH"</formula>
    </cfRule>
  </conditionalFormatting>
  <conditionalFormatting sqref="D48:AE48 L50:AE50 J51:AE51">
    <cfRule type="cellIs" dxfId="2865" priority="7845" operator="equal">
      <formula>"NP"</formula>
    </cfRule>
  </conditionalFormatting>
  <conditionalFormatting sqref="D53:AE1048576">
    <cfRule type="cellIs" dxfId="2864" priority="7240" operator="equal">
      <formula>"NP"</formula>
    </cfRule>
  </conditionalFormatting>
  <conditionalFormatting sqref="K14:K15 R14:R15 Y14:Y15 D37:D38 K37:K38 R37:R38 Y37:Y38 D16:AE36 D39:AE45 D46:D47 K46:K47 R46:R47 Y46:Y47 D10:AE13 D14:D15 AI13:AI15 AI45:AI47 AI36:AI38 AI16:AJ35 AI10:AJ12 AI39:AJ44 AL39:AL44 AL10:AL12 AL16:AL35 AC49 D49:V49 D48:AL48 AE49">
    <cfRule type="cellIs" dxfId="2863" priority="2781" operator="equal">
      <formula>"SH"</formula>
    </cfRule>
  </conditionalFormatting>
  <conditionalFormatting sqref="D12:AE12 D13:D15 K13:K15 R13:R15 Y13:Y15 B16:AE17 D36:D38 K36:K38 R36:R38 Y36:Y38 B39:AE40 B12:B15 AO12:XFD17 BA18:XFD34 B35:B38 AO35:XFD40 AN36:AN38 B44:B47 AN45 D45:D47 K45:K47 R45:R47 Y45:Y47 AN46:XFD47 B48:AE48 AO48:XFD1048576 AN13:AN15 B18:B32 B33:C34 BA41:XFD43 AO44:XFD45 AI36:AI38 AI45:AI47 AI13:AI15 C19:C32 B49 AC49 L50:AE50 J51:AE51 G52:AC52 AE52 B53:AE1048576 AI50:AJ1048576 AI48:AJ48 AI39:AJ44 AI16:AJ35 AI12:AJ12 AL12:AN12 AL16:AN35 AL39:AN44 AL48:AN48 AL50:AN1048576">
    <cfRule type="cellIs" dxfId="2862" priority="8008" operator="equal">
      <formula>"NH"</formula>
    </cfRule>
  </conditionalFormatting>
  <conditionalFormatting sqref="D12:AE12 AO12:XFD17 AN13:AN15 B16:AE17 B18 B19:C34 B39:AE40 AO44:XFD45 B41:C41 BA41:XFD43 B12 AI13:AI15 BA18:XFD34 B35 B48:AE48 AO48:XFD55 L50:AE50 J51:AE51 AE52 B53:AE55 AI50:AJ55 AI48:AJ48 AI39:AJ44 AI16:AJ35 AI12:AJ12 AL12:AN12 AL16:AN35 AL39:AN44 AL48:AN48 AL50:AN55">
    <cfRule type="cellIs" dxfId="2861" priority="4733" operator="equal">
      <formula>"NH11"</formula>
    </cfRule>
  </conditionalFormatting>
  <conditionalFormatting sqref="E18:E34">
    <cfRule type="containsText" dxfId="2860" priority="3843" stopIfTrue="1" operator="containsText" text="疫苗">
      <formula>NOT(ISERROR(SEARCH("疫苗",E18)))</formula>
    </cfRule>
    <cfRule type="containsText" dxfId="2859" priority="3844" stopIfTrue="1" operator="containsText" text="勞假">
      <formula>NOT(ISERROR(SEARCH("勞假",E18)))</formula>
    </cfRule>
    <cfRule type="containsText" dxfId="2858" priority="3845" stopIfTrue="1" operator="containsText" text="補假">
      <formula>NOT(ISERROR(SEARCH("補假",E18)))</formula>
    </cfRule>
    <cfRule type="containsText" dxfId="2857" priority="3846" stopIfTrue="1" operator="containsText" text="例假">
      <formula>NOT(ISERROR(SEARCH("例假",E18)))</formula>
    </cfRule>
    <cfRule type="containsText" dxfId="2856" priority="3847" stopIfTrue="1" operator="containsText" text="病假">
      <formula>NOT(ISERROR(SEARCH("病假",E18)))</formula>
    </cfRule>
    <cfRule type="containsText" dxfId="2855" priority="3848" stopIfTrue="1" operator="containsText" text="大假">
      <formula>NOT(ISERROR(SEARCH("大假",E18)))</formula>
    </cfRule>
    <cfRule type="containsText" dxfId="2854" priority="3849" stopIfTrue="1" operator="containsText" text="TIL">
      <formula>NOT(ISERROR(SEARCH("TIL",E18)))</formula>
    </cfRule>
    <cfRule type="containsText" dxfId="2853" priority="3851" operator="containsText" text="RD">
      <formula>NOT(ISERROR(SEARCH("RD",E18)))</formula>
    </cfRule>
    <cfRule type="containsText" dxfId="2852" priority="3852" operator="containsText" text="NP">
      <formula>NOT(ISERROR(SEARCH("NP",E18)))</formula>
    </cfRule>
    <cfRule type="containsText" dxfId="2851" priority="3888" stopIfTrue="1" operator="containsText" text="疫苗">
      <formula>NOT(ISERROR(SEARCH("疫苗",E18)))</formula>
    </cfRule>
    <cfRule type="containsText" dxfId="2850" priority="3889" stopIfTrue="1" operator="containsText" text="勞假">
      <formula>NOT(ISERROR(SEARCH("勞假",E18)))</formula>
    </cfRule>
    <cfRule type="containsText" dxfId="2849" priority="3890" stopIfTrue="1" operator="containsText" text="補假">
      <formula>NOT(ISERROR(SEARCH("補假",E18)))</formula>
    </cfRule>
    <cfRule type="containsText" dxfId="2848" priority="3891" stopIfTrue="1" operator="containsText" text="例假">
      <formula>NOT(ISERROR(SEARCH("例假",E18)))</formula>
    </cfRule>
    <cfRule type="containsText" dxfId="2847" priority="3892" stopIfTrue="1" operator="containsText" text="病假">
      <formula>NOT(ISERROR(SEARCH("病假",E18)))</formula>
    </cfRule>
    <cfRule type="containsText" dxfId="2846" priority="3893" stopIfTrue="1" operator="containsText" text="大假">
      <formula>NOT(ISERROR(SEARCH("大假",E18)))</formula>
    </cfRule>
    <cfRule type="containsText" dxfId="2845" priority="3894" stopIfTrue="1" operator="containsText" text="無薪">
      <formula>NOT(ISERROR(SEARCH("無薪",E18)))</formula>
    </cfRule>
    <cfRule type="containsText" dxfId="2844" priority="3895" stopIfTrue="1" operator="containsText" text="TIL">
      <formula>NOT(ISERROR(SEARCH("TIL",E18)))</formula>
    </cfRule>
    <cfRule type="containsText" dxfId="2843" priority="3896" stopIfTrue="1" operator="containsText" text="疫苗">
      <formula>NOT(ISERROR(SEARCH("疫苗",E18)))</formula>
    </cfRule>
    <cfRule type="containsText" dxfId="2842" priority="3897" stopIfTrue="1" operator="containsText" text="勞假">
      <formula>NOT(ISERROR(SEARCH("勞假",E18)))</formula>
    </cfRule>
    <cfRule type="containsText" dxfId="2841" priority="3898" stopIfTrue="1" operator="containsText" text="補假">
      <formula>NOT(ISERROR(SEARCH("補假",E18)))</formula>
    </cfRule>
    <cfRule type="containsText" dxfId="2840" priority="3899" stopIfTrue="1" operator="containsText" text="例假">
      <formula>NOT(ISERROR(SEARCH("例假",E18)))</formula>
    </cfRule>
    <cfRule type="containsText" dxfId="2839" priority="3900" stopIfTrue="1" operator="containsText" text="病假">
      <formula>NOT(ISERROR(SEARCH("病假",E18)))</formula>
    </cfRule>
    <cfRule type="containsText" dxfId="2838" priority="3901" stopIfTrue="1" operator="containsText" text="大假">
      <formula>NOT(ISERROR(SEARCH("大假",E18)))</formula>
    </cfRule>
    <cfRule type="containsText" dxfId="2837" priority="3902" stopIfTrue="1" operator="containsText" text="無薪">
      <formula>NOT(ISERROR(SEARCH("無薪",E18)))</formula>
    </cfRule>
    <cfRule type="containsText" dxfId="2836" priority="3936" stopIfTrue="1" operator="containsText" text="TIL">
      <formula>NOT(ISERROR(SEARCH("TIL",E18)))</formula>
    </cfRule>
    <cfRule type="containsText" dxfId="2835" priority="3937" stopIfTrue="1" operator="containsText" text="疫苗">
      <formula>NOT(ISERROR(SEARCH("疫苗",E18)))</formula>
    </cfRule>
    <cfRule type="containsText" dxfId="2834" priority="3938" stopIfTrue="1" operator="containsText" text="勞假">
      <formula>NOT(ISERROR(SEARCH("勞假",E18)))</formula>
    </cfRule>
    <cfRule type="containsText" dxfId="2833" priority="3939" stopIfTrue="1" operator="containsText" text="補假">
      <formula>NOT(ISERROR(SEARCH("補假",E18)))</formula>
    </cfRule>
    <cfRule type="containsText" dxfId="2832" priority="3940" stopIfTrue="1" operator="containsText" text="例假">
      <formula>NOT(ISERROR(SEARCH("例假",E18)))</formula>
    </cfRule>
    <cfRule type="containsText" dxfId="2831" priority="3941" stopIfTrue="1" operator="containsText" text="病假">
      <formula>NOT(ISERROR(SEARCH("病假",E18)))</formula>
    </cfRule>
    <cfRule type="containsText" dxfId="2830" priority="3942" stopIfTrue="1" operator="containsText" text="大假">
      <formula>NOT(ISERROR(SEARCH("大假",E18)))</formula>
    </cfRule>
    <cfRule type="containsText" dxfId="2829" priority="3943" stopIfTrue="1" operator="containsText" text="無薪">
      <formula>NOT(ISERROR(SEARCH("無薪",E18)))</formula>
    </cfRule>
    <cfRule type="containsText" dxfId="2828" priority="3944" stopIfTrue="1" operator="containsText" text="TIL">
      <formula>NOT(ISERROR(SEARCH("TIL",E18)))</formula>
    </cfRule>
    <cfRule type="containsText" dxfId="2827" priority="3945" stopIfTrue="1" operator="containsText" text="疫苗">
      <formula>NOT(ISERROR(SEARCH("疫苗",E18)))</formula>
    </cfRule>
    <cfRule type="containsText" dxfId="2826" priority="3946" stopIfTrue="1" operator="containsText" text="勞假">
      <formula>NOT(ISERROR(SEARCH("勞假",E18)))</formula>
    </cfRule>
    <cfRule type="containsText" dxfId="2825" priority="3947" stopIfTrue="1" operator="containsText" text="補假">
      <formula>NOT(ISERROR(SEARCH("補假",E18)))</formula>
    </cfRule>
    <cfRule type="containsText" dxfId="2824" priority="3948" stopIfTrue="1" operator="containsText" text="例假">
      <formula>NOT(ISERROR(SEARCH("例假",E18)))</formula>
    </cfRule>
    <cfRule type="containsText" dxfId="2823" priority="3949" stopIfTrue="1" operator="containsText" text="病假">
      <formula>NOT(ISERROR(SEARCH("病假",E18)))</formula>
    </cfRule>
    <cfRule type="containsText" dxfId="2822" priority="3950" stopIfTrue="1" operator="containsText" text="大假">
      <formula>NOT(ISERROR(SEARCH("大假",E18)))</formula>
    </cfRule>
    <cfRule type="containsText" dxfId="2821" priority="3951" stopIfTrue="1" operator="containsText" text="TIL">
      <formula>NOT(ISERROR(SEARCH("TIL",E18)))</formula>
    </cfRule>
    <cfRule type="cellIs" dxfId="2820" priority="3952" stopIfTrue="1" operator="equal">
      <formula>"NP"</formula>
    </cfRule>
    <cfRule type="cellIs" dxfId="2819" priority="3953" stopIfTrue="1" operator="equal">
      <formula>"RD"</formula>
    </cfRule>
  </conditionalFormatting>
  <conditionalFormatting sqref="E41">
    <cfRule type="containsText" dxfId="2818" priority="2631" stopIfTrue="1" operator="containsText" text="疫苗">
      <formula>NOT(ISERROR(SEARCH("疫苗",E41)))</formula>
    </cfRule>
    <cfRule type="containsText" dxfId="2817" priority="2632" stopIfTrue="1" operator="containsText" text="勞假">
      <formula>NOT(ISERROR(SEARCH("勞假",E41)))</formula>
    </cfRule>
    <cfRule type="containsText" dxfId="2816" priority="2633" stopIfTrue="1" operator="containsText" text="補假">
      <formula>NOT(ISERROR(SEARCH("補假",E41)))</formula>
    </cfRule>
    <cfRule type="containsText" dxfId="2815" priority="2634" stopIfTrue="1" operator="containsText" text="例假">
      <formula>NOT(ISERROR(SEARCH("例假",E41)))</formula>
    </cfRule>
    <cfRule type="containsText" dxfId="2814" priority="2635" stopIfTrue="1" operator="containsText" text="病假">
      <formula>NOT(ISERROR(SEARCH("病假",E41)))</formula>
    </cfRule>
    <cfRule type="containsText" dxfId="2813" priority="2636" stopIfTrue="1" operator="containsText" text="大假">
      <formula>NOT(ISERROR(SEARCH("大假",E41)))</formula>
    </cfRule>
    <cfRule type="containsText" dxfId="2812" priority="2637" stopIfTrue="1" operator="containsText" text="TIL">
      <formula>NOT(ISERROR(SEARCH("TIL",E41)))</formula>
    </cfRule>
    <cfRule type="containsText" dxfId="2811" priority="2639" operator="containsText" text="RD">
      <formula>NOT(ISERROR(SEARCH("RD",E41)))</formula>
    </cfRule>
    <cfRule type="containsText" dxfId="2810" priority="2640" operator="containsText" text="NP">
      <formula>NOT(ISERROR(SEARCH("NP",E41)))</formula>
    </cfRule>
    <cfRule type="containsText" dxfId="2809" priority="2681" stopIfTrue="1" operator="containsText" text="無薪">
      <formula>NOT(ISERROR(SEARCH("無薪",E41)))</formula>
    </cfRule>
    <cfRule type="containsText" dxfId="2808" priority="2682" stopIfTrue="1" operator="containsText" text="TIL">
      <formula>NOT(ISERROR(SEARCH("TIL",E41)))</formula>
    </cfRule>
    <cfRule type="containsText" dxfId="2807" priority="2683" stopIfTrue="1" operator="containsText" text="疫苗">
      <formula>NOT(ISERROR(SEARCH("疫苗",E41)))</formula>
    </cfRule>
    <cfRule type="containsText" dxfId="2806" priority="2684" stopIfTrue="1" operator="containsText" text="勞假">
      <formula>NOT(ISERROR(SEARCH("勞假",E41)))</formula>
    </cfRule>
    <cfRule type="containsText" dxfId="2805" priority="2685" stopIfTrue="1" operator="containsText" text="補假">
      <formula>NOT(ISERROR(SEARCH("補假",E41)))</formula>
    </cfRule>
    <cfRule type="containsText" dxfId="2804" priority="2686" stopIfTrue="1" operator="containsText" text="例假">
      <formula>NOT(ISERROR(SEARCH("例假",E41)))</formula>
    </cfRule>
    <cfRule type="containsText" dxfId="2803" priority="2687" stopIfTrue="1" operator="containsText" text="病假">
      <formula>NOT(ISERROR(SEARCH("病假",E41)))</formula>
    </cfRule>
    <cfRule type="containsText" dxfId="2802" priority="2688" stopIfTrue="1" operator="containsText" text="大假">
      <formula>NOT(ISERROR(SEARCH("大假",E41)))</formula>
    </cfRule>
    <cfRule type="containsText" dxfId="2801" priority="2689" stopIfTrue="1" operator="containsText" text="無薪">
      <formula>NOT(ISERROR(SEARCH("無薪",E41)))</formula>
    </cfRule>
    <cfRule type="containsText" dxfId="2800" priority="2721" stopIfTrue="1" operator="containsText" text="TIL">
      <formula>NOT(ISERROR(SEARCH("TIL",E41)))</formula>
    </cfRule>
    <cfRule type="containsText" dxfId="2799" priority="2722" stopIfTrue="1" operator="containsText" text="疫苗">
      <formula>NOT(ISERROR(SEARCH("疫苗",E41)))</formula>
    </cfRule>
    <cfRule type="containsText" dxfId="2798" priority="2723" stopIfTrue="1" operator="containsText" text="勞假">
      <formula>NOT(ISERROR(SEARCH("勞假",E41)))</formula>
    </cfRule>
    <cfRule type="containsText" dxfId="2797" priority="2724" stopIfTrue="1" operator="containsText" text="補假">
      <formula>NOT(ISERROR(SEARCH("補假",E41)))</formula>
    </cfRule>
    <cfRule type="containsText" dxfId="2796" priority="2725" stopIfTrue="1" operator="containsText" text="例假">
      <formula>NOT(ISERROR(SEARCH("例假",E41)))</formula>
    </cfRule>
    <cfRule type="containsText" dxfId="2795" priority="2726" stopIfTrue="1" operator="containsText" text="病假">
      <formula>NOT(ISERROR(SEARCH("病假",E41)))</formula>
    </cfRule>
    <cfRule type="containsText" dxfId="2794" priority="2727" stopIfTrue="1" operator="containsText" text="大假">
      <formula>NOT(ISERROR(SEARCH("大假",E41)))</formula>
    </cfRule>
    <cfRule type="containsText" dxfId="2793" priority="2728" stopIfTrue="1" operator="containsText" text="無薪">
      <formula>NOT(ISERROR(SEARCH("無薪",E41)))</formula>
    </cfRule>
    <cfRule type="containsText" dxfId="2792" priority="2729" stopIfTrue="1" operator="containsText" text="TIL">
      <formula>NOT(ISERROR(SEARCH("TIL",E41)))</formula>
    </cfRule>
    <cfRule type="containsText" dxfId="2791" priority="2730" stopIfTrue="1" operator="containsText" text="疫苗">
      <formula>NOT(ISERROR(SEARCH("疫苗",E41)))</formula>
    </cfRule>
    <cfRule type="containsText" dxfId="2790" priority="2731" stopIfTrue="1" operator="containsText" text="勞假">
      <formula>NOT(ISERROR(SEARCH("勞假",E41)))</formula>
    </cfRule>
    <cfRule type="containsText" dxfId="2789" priority="2732" stopIfTrue="1" operator="containsText" text="補假">
      <formula>NOT(ISERROR(SEARCH("補假",E41)))</formula>
    </cfRule>
    <cfRule type="containsText" dxfId="2788" priority="2733" stopIfTrue="1" operator="containsText" text="例假">
      <formula>NOT(ISERROR(SEARCH("例假",E41)))</formula>
    </cfRule>
    <cfRule type="containsText" dxfId="2787" priority="2734" stopIfTrue="1" operator="containsText" text="病假">
      <formula>NOT(ISERROR(SEARCH("病假",E41)))</formula>
    </cfRule>
    <cfRule type="containsText" dxfId="2786" priority="2735" stopIfTrue="1" operator="containsText" text="大假">
      <formula>NOT(ISERROR(SEARCH("大假",E41)))</formula>
    </cfRule>
    <cfRule type="containsText" dxfId="2785" priority="2736" stopIfTrue="1" operator="containsText" text="TIL">
      <formula>NOT(ISERROR(SEARCH("TIL",E41)))</formula>
    </cfRule>
    <cfRule type="cellIs" dxfId="2784" priority="2737" stopIfTrue="1" operator="equal">
      <formula>"NP"</formula>
    </cfRule>
    <cfRule type="cellIs" dxfId="2783" priority="2738" stopIfTrue="1" operator="equal">
      <formula>"RD"</formula>
    </cfRule>
  </conditionalFormatting>
  <conditionalFormatting sqref="E42:E43">
    <cfRule type="containsText" dxfId="2782" priority="3027" stopIfTrue="1" operator="containsText" text="疫苗">
      <formula>NOT(ISERROR(SEARCH("疫苗",E42)))</formula>
    </cfRule>
    <cfRule type="containsText" dxfId="2781" priority="3028" stopIfTrue="1" operator="containsText" text="勞假">
      <formula>NOT(ISERROR(SEARCH("勞假",E42)))</formula>
    </cfRule>
    <cfRule type="containsText" dxfId="2780" priority="3029" stopIfTrue="1" operator="containsText" text="補假">
      <formula>NOT(ISERROR(SEARCH("補假",E42)))</formula>
    </cfRule>
    <cfRule type="containsText" dxfId="2779" priority="3030" stopIfTrue="1" operator="containsText" text="例假">
      <formula>NOT(ISERROR(SEARCH("例假",E42)))</formula>
    </cfRule>
    <cfRule type="containsText" dxfId="2778" priority="3031" stopIfTrue="1" operator="containsText" text="病假">
      <formula>NOT(ISERROR(SEARCH("病假",E42)))</formula>
    </cfRule>
    <cfRule type="containsText" dxfId="2777" priority="3032" stopIfTrue="1" operator="containsText" text="大假">
      <formula>NOT(ISERROR(SEARCH("大假",E42)))</formula>
    </cfRule>
    <cfRule type="containsText" dxfId="2776" priority="3033" stopIfTrue="1" operator="containsText" text="TIL">
      <formula>NOT(ISERROR(SEARCH("TIL",E42)))</formula>
    </cfRule>
    <cfRule type="containsText" dxfId="2775" priority="3251" operator="containsText" text="RD">
      <formula>NOT(ISERROR(SEARCH("RD",E42)))</formula>
    </cfRule>
    <cfRule type="containsText" dxfId="2774" priority="3252" operator="containsText" text="NP">
      <formula>NOT(ISERROR(SEARCH("NP",E42)))</formula>
    </cfRule>
    <cfRule type="containsText" dxfId="2773" priority="3288" stopIfTrue="1" operator="containsText" text="疫苗">
      <formula>NOT(ISERROR(SEARCH("疫苗",E42)))</formula>
    </cfRule>
    <cfRule type="containsText" dxfId="2772" priority="3289" stopIfTrue="1" operator="containsText" text="勞假">
      <formula>NOT(ISERROR(SEARCH("勞假",E42)))</formula>
    </cfRule>
    <cfRule type="containsText" dxfId="2771" priority="3290" stopIfTrue="1" operator="containsText" text="補假">
      <formula>NOT(ISERROR(SEARCH("補假",E42)))</formula>
    </cfRule>
    <cfRule type="containsText" dxfId="2770" priority="3291" stopIfTrue="1" operator="containsText" text="例假">
      <formula>NOT(ISERROR(SEARCH("例假",E42)))</formula>
    </cfRule>
    <cfRule type="containsText" dxfId="2769" priority="3292" stopIfTrue="1" operator="containsText" text="病假">
      <formula>NOT(ISERROR(SEARCH("病假",E42)))</formula>
    </cfRule>
    <cfRule type="containsText" dxfId="2768" priority="3293" stopIfTrue="1" operator="containsText" text="大假">
      <formula>NOT(ISERROR(SEARCH("大假",E42)))</formula>
    </cfRule>
    <cfRule type="containsText" dxfId="2767" priority="3294" stopIfTrue="1" operator="containsText" text="無薪">
      <formula>NOT(ISERROR(SEARCH("無薪",E42)))</formula>
    </cfRule>
    <cfRule type="containsText" dxfId="2766" priority="3295" stopIfTrue="1" operator="containsText" text="TIL">
      <formula>NOT(ISERROR(SEARCH("TIL",E42)))</formula>
    </cfRule>
    <cfRule type="containsText" dxfId="2765" priority="3296" stopIfTrue="1" operator="containsText" text="疫苗">
      <formula>NOT(ISERROR(SEARCH("疫苗",E42)))</formula>
    </cfRule>
    <cfRule type="containsText" dxfId="2764" priority="3297" stopIfTrue="1" operator="containsText" text="勞假">
      <formula>NOT(ISERROR(SEARCH("勞假",E42)))</formula>
    </cfRule>
    <cfRule type="containsText" dxfId="2763" priority="3298" stopIfTrue="1" operator="containsText" text="補假">
      <formula>NOT(ISERROR(SEARCH("補假",E42)))</formula>
    </cfRule>
    <cfRule type="containsText" dxfId="2762" priority="3299" stopIfTrue="1" operator="containsText" text="例假">
      <formula>NOT(ISERROR(SEARCH("例假",E42)))</formula>
    </cfRule>
    <cfRule type="containsText" dxfId="2761" priority="3300" stopIfTrue="1" operator="containsText" text="病假">
      <formula>NOT(ISERROR(SEARCH("病假",E42)))</formula>
    </cfRule>
    <cfRule type="containsText" dxfId="2760" priority="3301" stopIfTrue="1" operator="containsText" text="大假">
      <formula>NOT(ISERROR(SEARCH("大假",E42)))</formula>
    </cfRule>
    <cfRule type="containsText" dxfId="2759" priority="3302" stopIfTrue="1" operator="containsText" text="無薪">
      <formula>NOT(ISERROR(SEARCH("無薪",E42)))</formula>
    </cfRule>
    <cfRule type="containsText" dxfId="2758" priority="3336" stopIfTrue="1" operator="containsText" text="TIL">
      <formula>NOT(ISERROR(SEARCH("TIL",E42)))</formula>
    </cfRule>
    <cfRule type="containsText" dxfId="2757" priority="3337" stopIfTrue="1" operator="containsText" text="疫苗">
      <formula>NOT(ISERROR(SEARCH("疫苗",E42)))</formula>
    </cfRule>
    <cfRule type="containsText" dxfId="2756" priority="3338" stopIfTrue="1" operator="containsText" text="勞假">
      <formula>NOT(ISERROR(SEARCH("勞假",E42)))</formula>
    </cfRule>
    <cfRule type="containsText" dxfId="2755" priority="3339" stopIfTrue="1" operator="containsText" text="補假">
      <formula>NOT(ISERROR(SEARCH("補假",E42)))</formula>
    </cfRule>
    <cfRule type="containsText" dxfId="2754" priority="3340" stopIfTrue="1" operator="containsText" text="例假">
      <formula>NOT(ISERROR(SEARCH("例假",E42)))</formula>
    </cfRule>
    <cfRule type="containsText" dxfId="2753" priority="3341" stopIfTrue="1" operator="containsText" text="病假">
      <formula>NOT(ISERROR(SEARCH("病假",E42)))</formula>
    </cfRule>
    <cfRule type="containsText" dxfId="2752" priority="3342" stopIfTrue="1" operator="containsText" text="大假">
      <formula>NOT(ISERROR(SEARCH("大假",E42)))</formula>
    </cfRule>
    <cfRule type="containsText" dxfId="2751" priority="3343" stopIfTrue="1" operator="containsText" text="無薪">
      <formula>NOT(ISERROR(SEARCH("無薪",E42)))</formula>
    </cfRule>
    <cfRule type="containsText" dxfId="2750" priority="3344" stopIfTrue="1" operator="containsText" text="TIL">
      <formula>NOT(ISERROR(SEARCH("TIL",E42)))</formula>
    </cfRule>
    <cfRule type="containsText" dxfId="2749" priority="3345" stopIfTrue="1" operator="containsText" text="疫苗">
      <formula>NOT(ISERROR(SEARCH("疫苗",E42)))</formula>
    </cfRule>
    <cfRule type="containsText" dxfId="2748" priority="3346" stopIfTrue="1" operator="containsText" text="勞假">
      <formula>NOT(ISERROR(SEARCH("勞假",E42)))</formula>
    </cfRule>
    <cfRule type="containsText" dxfId="2747" priority="3347" stopIfTrue="1" operator="containsText" text="補假">
      <formula>NOT(ISERROR(SEARCH("補假",E42)))</formula>
    </cfRule>
    <cfRule type="containsText" dxfId="2746" priority="3348" stopIfTrue="1" operator="containsText" text="例假">
      <formula>NOT(ISERROR(SEARCH("例假",E42)))</formula>
    </cfRule>
    <cfRule type="containsText" dxfId="2745" priority="3349" stopIfTrue="1" operator="containsText" text="病假">
      <formula>NOT(ISERROR(SEARCH("病假",E42)))</formula>
    </cfRule>
    <cfRule type="containsText" dxfId="2744" priority="3350" stopIfTrue="1" operator="containsText" text="大假">
      <formula>NOT(ISERROR(SEARCH("大假",E42)))</formula>
    </cfRule>
    <cfRule type="containsText" dxfId="2743" priority="3351" stopIfTrue="1" operator="containsText" text="TIL">
      <formula>NOT(ISERROR(SEARCH("TIL",E42)))</formula>
    </cfRule>
    <cfRule type="cellIs" dxfId="2742" priority="3352" stopIfTrue="1" operator="equal">
      <formula>"NP"</formula>
    </cfRule>
    <cfRule type="cellIs" dxfId="2741" priority="3353" stopIfTrue="1" operator="equal">
      <formula>"RD"</formula>
    </cfRule>
  </conditionalFormatting>
  <conditionalFormatting sqref="E49:J49">
    <cfRule type="cellIs" dxfId="2740" priority="3983" stopIfTrue="1" operator="equal">
      <formula>"RD"</formula>
    </cfRule>
    <cfRule type="cellIs" dxfId="2739" priority="3985" stopIfTrue="1" operator="equal">
      <formula>"NP"</formula>
    </cfRule>
  </conditionalFormatting>
  <conditionalFormatting sqref="E42:Z42">
    <cfRule type="cellIs" dxfId="2738" priority="1901" operator="equal">
      <formula>"NSH"</formula>
    </cfRule>
  </conditionalFormatting>
  <conditionalFormatting sqref="E49:U49">
    <cfRule type="cellIs" dxfId="2737" priority="3984" operator="equal">
      <formula>"NC"</formula>
    </cfRule>
    <cfRule type="cellIs" dxfId="2736" priority="3986" operator="equal">
      <formula>"NH"</formula>
    </cfRule>
    <cfRule type="cellIs" dxfId="2735" priority="3990" operator="equal">
      <formula>"NC"</formula>
    </cfRule>
  </conditionalFormatting>
  <conditionalFormatting sqref="E7:AE9">
    <cfRule type="expression" dxfId="2734" priority="1369">
      <formula>E8="H"</formula>
    </cfRule>
  </conditionalFormatting>
  <conditionalFormatting sqref="E41:AE41">
    <cfRule type="cellIs" dxfId="2733" priority="2638" operator="equal">
      <formula>"NSH"</formula>
    </cfRule>
  </conditionalFormatting>
  <conditionalFormatting sqref="F42:Q42">
    <cfRule type="containsText" dxfId="2732" priority="2012" operator="containsText" text="RD">
      <formula>NOT(ISERROR(SEARCH("RD",F42)))</formula>
    </cfRule>
    <cfRule type="containsText" dxfId="2731" priority="2013" operator="containsText" text="NP">
      <formula>NOT(ISERROR(SEARCH("NP",F42)))</formula>
    </cfRule>
  </conditionalFormatting>
  <conditionalFormatting sqref="F43:Q43">
    <cfRule type="containsText" dxfId="2730" priority="3260" operator="containsText" text="RD">
      <formula>NOT(ISERROR(SEARCH("RD",F43)))</formula>
    </cfRule>
    <cfRule type="containsText" dxfId="2729" priority="3261" operator="containsText" text="NP">
      <formula>NOT(ISERROR(SEARCH("NP",F43)))</formula>
    </cfRule>
  </conditionalFormatting>
  <conditionalFormatting sqref="F41:R41">
    <cfRule type="containsText" dxfId="2728" priority="2647" operator="containsText" text="RD">
      <formula>NOT(ISERROR(SEARCH("RD",F41)))</formula>
    </cfRule>
    <cfRule type="containsText" dxfId="2727" priority="2648" operator="containsText" text="NP">
      <formula>NOT(ISERROR(SEARCH("NP",F41)))</formula>
    </cfRule>
  </conditionalFormatting>
  <conditionalFormatting sqref="G52:AC52 AC53 AC49">
    <cfRule type="cellIs" dxfId="2726" priority="7245" operator="equal">
      <formula>"NC"</formula>
    </cfRule>
  </conditionalFormatting>
  <conditionalFormatting sqref="G5:AE5 D6:AE6">
    <cfRule type="cellIs" dxfId="2725" priority="7238" operator="equal">
      <formula>"NP"</formula>
    </cfRule>
  </conditionalFormatting>
  <conditionalFormatting sqref="I43:J43">
    <cfRule type="cellIs" dxfId="2724" priority="1546" operator="equal">
      <formula>"NSH"</formula>
    </cfRule>
    <cfRule type="cellIs" dxfId="2723" priority="1547" operator="equal">
      <formula>"VO"</formula>
    </cfRule>
    <cfRule type="cellIs" dxfId="2722" priority="1548" operator="equal">
      <formula>"CW"</formula>
    </cfRule>
    <cfRule type="cellIs" dxfId="2721" priority="1549" operator="equal">
      <formula>"CF"</formula>
    </cfRule>
    <cfRule type="containsText" dxfId="2720" priority="1550" stopIfTrue="1" operator="containsText" text="無薪">
      <formula>NOT(ISERROR(SEARCH("無薪",I43)))</formula>
    </cfRule>
    <cfRule type="containsText" dxfId="2719" priority="1551" stopIfTrue="1" operator="containsText" text="TIL">
      <formula>NOT(ISERROR(SEARCH("TIL",I43)))</formula>
    </cfRule>
    <cfRule type="containsText" dxfId="2718" priority="1552" stopIfTrue="1" operator="containsText" text="疫苗">
      <formula>NOT(ISERROR(SEARCH("疫苗",I43)))</formula>
    </cfRule>
    <cfRule type="containsText" dxfId="2717" priority="1553" stopIfTrue="1" operator="containsText" text="勞假">
      <formula>NOT(ISERROR(SEARCH("勞假",I43)))</formula>
    </cfRule>
    <cfRule type="containsText" dxfId="2716" priority="1554" stopIfTrue="1" operator="containsText" text="補假">
      <formula>NOT(ISERROR(SEARCH("補假",I43)))</formula>
    </cfRule>
    <cfRule type="containsText" dxfId="2715" priority="1555" stopIfTrue="1" operator="containsText" text="例假">
      <formula>NOT(ISERROR(SEARCH("例假",I43)))</formula>
    </cfRule>
    <cfRule type="containsText" dxfId="2714" priority="1556" stopIfTrue="1" operator="containsText" text="病假">
      <formula>NOT(ISERROR(SEARCH("病假",I43)))</formula>
    </cfRule>
    <cfRule type="containsText" dxfId="2713" priority="1557" stopIfTrue="1" operator="containsText" text="大假">
      <formula>NOT(ISERROR(SEARCH("大假",I43)))</formula>
    </cfRule>
    <cfRule type="containsText" dxfId="2712" priority="1558" stopIfTrue="1" operator="containsText" text="無薪">
      <formula>NOT(ISERROR(SEARCH("無薪",I43)))</formula>
    </cfRule>
    <cfRule type="containsText" dxfId="2711" priority="1559" stopIfTrue="1" operator="containsText" text="TIL">
      <formula>NOT(ISERROR(SEARCH("TIL",I43)))</formula>
    </cfRule>
    <cfRule type="containsText" dxfId="2710" priority="1560" stopIfTrue="1" operator="containsText" text="疫苗">
      <formula>NOT(ISERROR(SEARCH("疫苗",I43)))</formula>
    </cfRule>
    <cfRule type="containsText" dxfId="2709" priority="1561" stopIfTrue="1" operator="containsText" text="勞假">
      <formula>NOT(ISERROR(SEARCH("勞假",I43)))</formula>
    </cfRule>
    <cfRule type="containsText" dxfId="2708" priority="1562" stopIfTrue="1" operator="containsText" text="補假">
      <formula>NOT(ISERROR(SEARCH("補假",I43)))</formula>
    </cfRule>
    <cfRule type="containsText" dxfId="2707" priority="1563" stopIfTrue="1" operator="containsText" text="例假">
      <formula>NOT(ISERROR(SEARCH("例假",I43)))</formula>
    </cfRule>
    <cfRule type="containsText" dxfId="2706" priority="1564" stopIfTrue="1" operator="containsText" text="病假">
      <formula>NOT(ISERROR(SEARCH("病假",I43)))</formula>
    </cfRule>
    <cfRule type="containsText" dxfId="2705" priority="1565" stopIfTrue="1" operator="containsText" text="大假">
      <formula>NOT(ISERROR(SEARCH("大假",I43)))</formula>
    </cfRule>
    <cfRule type="containsText" dxfId="2704" priority="1566" stopIfTrue="1" operator="containsText" text="TIL">
      <formula>NOT(ISERROR(SEARCH("TIL",I43)))</formula>
    </cfRule>
    <cfRule type="cellIs" dxfId="2703" priority="1567" stopIfTrue="1" operator="equal">
      <formula>"NP"</formula>
    </cfRule>
    <cfRule type="cellIs" dxfId="2702" priority="1568" stopIfTrue="1" operator="equal">
      <formula>"RD"</formula>
    </cfRule>
    <cfRule type="containsText" dxfId="2701" priority="1569" stopIfTrue="1" operator="containsText" text="TIL">
      <formula>NOT(ISERROR(SEARCH("TIL",I43)))</formula>
    </cfRule>
    <cfRule type="containsText" dxfId="2700" priority="1570" stopIfTrue="1" operator="containsText" text="疫苗">
      <formula>NOT(ISERROR(SEARCH("疫苗",I43)))</formula>
    </cfRule>
    <cfRule type="containsText" dxfId="2699" priority="1571" stopIfTrue="1" operator="containsText" text="勞假">
      <formula>NOT(ISERROR(SEARCH("勞假",I43)))</formula>
    </cfRule>
    <cfRule type="containsText" dxfId="2698" priority="1572" stopIfTrue="1" operator="containsText" text="補假">
      <formula>NOT(ISERROR(SEARCH("補假",I43)))</formula>
    </cfRule>
    <cfRule type="containsText" dxfId="2697" priority="1573" stopIfTrue="1" operator="containsText" text="例假">
      <formula>NOT(ISERROR(SEARCH("例假",I43)))</formula>
    </cfRule>
    <cfRule type="containsText" dxfId="2696" priority="1574" stopIfTrue="1" operator="containsText" text="病假">
      <formula>NOT(ISERROR(SEARCH("病假",I43)))</formula>
    </cfRule>
    <cfRule type="containsText" dxfId="2695" priority="1575" stopIfTrue="1" operator="containsText" text="大假">
      <formula>NOT(ISERROR(SEARCH("大假",I43)))</formula>
    </cfRule>
    <cfRule type="containsText" dxfId="2694" priority="1576" stopIfTrue="1" operator="containsText" text="TIL">
      <formula>NOT(ISERROR(SEARCH("TIL",I43)))</formula>
    </cfRule>
    <cfRule type="containsText" dxfId="2693" priority="1577" stopIfTrue="1" operator="containsText" text="疫苗">
      <formula>NOT(ISERROR(SEARCH("疫苗",I43)))</formula>
    </cfRule>
    <cfRule type="containsText" dxfId="2692" priority="1578" stopIfTrue="1" operator="containsText" text="勞假">
      <formula>NOT(ISERROR(SEARCH("勞假",I43)))</formula>
    </cfRule>
    <cfRule type="containsText" dxfId="2691" priority="1579" stopIfTrue="1" operator="containsText" text="補假">
      <formula>NOT(ISERROR(SEARCH("補假",I43)))</formula>
    </cfRule>
    <cfRule type="containsText" dxfId="2690" priority="1580" stopIfTrue="1" operator="containsText" text="例假">
      <formula>NOT(ISERROR(SEARCH("例假",I43)))</formula>
    </cfRule>
    <cfRule type="containsText" dxfId="2689" priority="1581" stopIfTrue="1" operator="containsText" text="病假">
      <formula>NOT(ISERROR(SEARCH("病假",I43)))</formula>
    </cfRule>
    <cfRule type="containsText" dxfId="2688" priority="1582" stopIfTrue="1" operator="containsText" text="大假">
      <formula>NOT(ISERROR(SEARCH("大假",I43)))</formula>
    </cfRule>
    <cfRule type="containsText" dxfId="2687" priority="1583" stopIfTrue="1" operator="containsText" text="無薪">
      <formula>NOT(ISERROR(SEARCH("無薪",I43)))</formula>
    </cfRule>
    <cfRule type="containsText" dxfId="2686" priority="1584" stopIfTrue="1" operator="containsText" text="疫苗">
      <formula>NOT(ISERROR(SEARCH("疫苗",I43)))</formula>
    </cfRule>
    <cfRule type="containsText" dxfId="2685" priority="1585" stopIfTrue="1" operator="containsText" text="勞假">
      <formula>NOT(ISERROR(SEARCH("勞假",I43)))</formula>
    </cfRule>
    <cfRule type="containsText" dxfId="2684" priority="1586" stopIfTrue="1" operator="containsText" text="補假">
      <formula>NOT(ISERROR(SEARCH("補假",I43)))</formula>
    </cfRule>
    <cfRule type="containsText" dxfId="2683" priority="1587" stopIfTrue="1" operator="containsText" text="例假">
      <formula>NOT(ISERROR(SEARCH("例假",I43)))</formula>
    </cfRule>
    <cfRule type="containsText" dxfId="2682" priority="1588" stopIfTrue="1" operator="containsText" text="病假">
      <formula>NOT(ISERROR(SEARCH("病假",I43)))</formula>
    </cfRule>
    <cfRule type="containsText" dxfId="2681" priority="1589" stopIfTrue="1" operator="containsText" text="大假">
      <formula>NOT(ISERROR(SEARCH("大假",I43)))</formula>
    </cfRule>
    <cfRule type="containsText" dxfId="2680" priority="1590" stopIfTrue="1" operator="containsText" text="無薪">
      <formula>NOT(ISERROR(SEARCH("無薪",I43)))</formula>
    </cfRule>
    <cfRule type="containsText" dxfId="2679" priority="1591" stopIfTrue="1" operator="containsText" text="TIL">
      <formula>NOT(ISERROR(SEARCH("TIL",I43)))</formula>
    </cfRule>
    <cfRule type="containsText" dxfId="2678" priority="1592" stopIfTrue="1" operator="containsText" text="疫苗">
      <formula>NOT(ISERROR(SEARCH("疫苗",I43)))</formula>
    </cfRule>
    <cfRule type="containsText" dxfId="2677" priority="1593" stopIfTrue="1" operator="containsText" text="勞假">
      <formula>NOT(ISERROR(SEARCH("勞假",I43)))</formula>
    </cfRule>
    <cfRule type="containsText" dxfId="2676" priority="1594" stopIfTrue="1" operator="containsText" text="補假">
      <formula>NOT(ISERROR(SEARCH("補假",I43)))</formula>
    </cfRule>
    <cfRule type="containsText" dxfId="2675" priority="1595" stopIfTrue="1" operator="containsText" text="例假">
      <formula>NOT(ISERROR(SEARCH("例假",I43)))</formula>
    </cfRule>
    <cfRule type="containsText" dxfId="2674" priority="1596" stopIfTrue="1" operator="containsText" text="病假">
      <formula>NOT(ISERROR(SEARCH("病假",I43)))</formula>
    </cfRule>
    <cfRule type="containsText" dxfId="2673" priority="1597" stopIfTrue="1" operator="containsText" text="大假">
      <formula>NOT(ISERROR(SEARCH("大假",I43)))</formula>
    </cfRule>
    <cfRule type="containsText" dxfId="2672" priority="1598" stopIfTrue="1" operator="containsText" text="無薪">
      <formula>NOT(ISERROR(SEARCH("無薪",I43)))</formula>
    </cfRule>
    <cfRule type="containsText" dxfId="2671" priority="1599" stopIfTrue="1" operator="containsText" text="TIL">
      <formula>NOT(ISERROR(SEARCH("TIL",I43)))</formula>
    </cfRule>
    <cfRule type="containsText" dxfId="2670" priority="1600" stopIfTrue="1" operator="containsText" text="疫苗">
      <formula>NOT(ISERROR(SEARCH("疫苗",I43)))</formula>
    </cfRule>
    <cfRule type="containsText" dxfId="2669" priority="1601" stopIfTrue="1" operator="containsText" text="勞假">
      <formula>NOT(ISERROR(SEARCH("勞假",I43)))</formula>
    </cfRule>
    <cfRule type="containsText" dxfId="2668" priority="1602" stopIfTrue="1" operator="containsText" text="補假">
      <formula>NOT(ISERROR(SEARCH("補假",I43)))</formula>
    </cfRule>
    <cfRule type="containsText" dxfId="2667" priority="1603" stopIfTrue="1" operator="containsText" text="例假">
      <formula>NOT(ISERROR(SEARCH("例假",I43)))</formula>
    </cfRule>
    <cfRule type="containsText" dxfId="2666" priority="1604" stopIfTrue="1" operator="containsText" text="病假">
      <formula>NOT(ISERROR(SEARCH("病假",I43)))</formula>
    </cfRule>
    <cfRule type="containsText" dxfId="2665" priority="1605" stopIfTrue="1" operator="containsText" text="大假">
      <formula>NOT(ISERROR(SEARCH("大假",I43)))</formula>
    </cfRule>
    <cfRule type="containsText" dxfId="2664" priority="1606" stopIfTrue="1" operator="containsText" text="無薪">
      <formula>NOT(ISERROR(SEARCH("無薪",I43)))</formula>
    </cfRule>
    <cfRule type="cellIs" dxfId="2663" priority="1607" operator="equal">
      <formula>"NC"</formula>
    </cfRule>
    <cfRule type="cellIs" dxfId="2662" priority="1608" operator="equal">
      <formula>"nd"</formula>
    </cfRule>
    <cfRule type="cellIs" dxfId="2661" priority="1609" operator="equal">
      <formula>0</formula>
    </cfRule>
    <cfRule type="cellIs" dxfId="2660" priority="1610" operator="equal">
      <formula>"R"</formula>
    </cfRule>
    <cfRule type="cellIs" dxfId="2659" priority="1611" operator="equal">
      <formula>"NH12"</formula>
    </cfRule>
    <cfRule type="cellIs" dxfId="2658" priority="1612" operator="equal">
      <formula>"Nh11"</formula>
    </cfRule>
    <cfRule type="containsText" dxfId="2657" priority="1613" stopIfTrue="1" operator="containsText" text="TIL">
      <formula>NOT(ISERROR(SEARCH("TIL",I43)))</formula>
    </cfRule>
    <cfRule type="containsText" dxfId="2656" priority="1614" stopIfTrue="1" operator="containsText" text="疫苗">
      <formula>NOT(ISERROR(SEARCH("疫苗",I43)))</formula>
    </cfRule>
    <cfRule type="containsText" dxfId="2655" priority="1615" stopIfTrue="1" operator="containsText" text="勞假">
      <formula>NOT(ISERROR(SEARCH("勞假",I43)))</formula>
    </cfRule>
    <cfRule type="containsText" dxfId="2654" priority="1616" stopIfTrue="1" operator="containsText" text="補假">
      <formula>NOT(ISERROR(SEARCH("補假",I43)))</formula>
    </cfRule>
    <cfRule type="containsText" dxfId="2653" priority="1617" stopIfTrue="1" operator="containsText" text="例假">
      <formula>NOT(ISERROR(SEARCH("例假",I43)))</formula>
    </cfRule>
    <cfRule type="containsText" dxfId="2652" priority="1618" stopIfTrue="1" operator="containsText" text="病假">
      <formula>NOT(ISERROR(SEARCH("病假",I43)))</formula>
    </cfRule>
    <cfRule type="containsText" dxfId="2651" priority="1619" stopIfTrue="1" operator="containsText" text="大假">
      <formula>NOT(ISERROR(SEARCH("大假",I43)))</formula>
    </cfRule>
    <cfRule type="containsText" dxfId="2650" priority="1620" stopIfTrue="1" operator="containsText" text="無薪">
      <formula>NOT(ISERROR(SEARCH("無薪",I43)))</formula>
    </cfRule>
    <cfRule type="containsText" dxfId="2649" priority="1621" stopIfTrue="1" operator="containsText" text="TIL">
      <formula>NOT(ISERROR(SEARCH("TIL",I43)))</formula>
    </cfRule>
    <cfRule type="containsText" dxfId="2648" priority="1622" stopIfTrue="1" operator="containsText" text="疫苗">
      <formula>NOT(ISERROR(SEARCH("疫苗",I43)))</formula>
    </cfRule>
    <cfRule type="containsText" dxfId="2647" priority="1623" stopIfTrue="1" operator="containsText" text="勞假">
      <formula>NOT(ISERROR(SEARCH("勞假",I43)))</formula>
    </cfRule>
    <cfRule type="containsText" dxfId="2646" priority="1624" stopIfTrue="1" operator="containsText" text="補假">
      <formula>NOT(ISERROR(SEARCH("補假",I43)))</formula>
    </cfRule>
    <cfRule type="containsText" dxfId="2645" priority="1625" stopIfTrue="1" operator="containsText" text="例假">
      <formula>NOT(ISERROR(SEARCH("例假",I43)))</formula>
    </cfRule>
    <cfRule type="containsText" dxfId="2644" priority="1626" stopIfTrue="1" operator="containsText" text="病假">
      <formula>NOT(ISERROR(SEARCH("病假",I43)))</formula>
    </cfRule>
    <cfRule type="containsText" dxfId="2643" priority="1627" stopIfTrue="1" operator="containsText" text="大假">
      <formula>NOT(ISERROR(SEARCH("大假",I43)))</formula>
    </cfRule>
    <cfRule type="containsText" dxfId="2642" priority="1628" stopIfTrue="1" operator="containsText" text="無薪">
      <formula>NOT(ISERROR(SEARCH("無薪",I43)))</formula>
    </cfRule>
    <cfRule type="containsText" dxfId="2641" priority="1629" stopIfTrue="1" operator="containsText" text="疫苗">
      <formula>NOT(ISERROR(SEARCH("疫苗",I43)))</formula>
    </cfRule>
    <cfRule type="containsText" dxfId="2640" priority="1630" stopIfTrue="1" operator="containsText" text="勞假">
      <formula>NOT(ISERROR(SEARCH("勞假",I43)))</formula>
    </cfRule>
    <cfRule type="containsText" dxfId="2639" priority="1631" stopIfTrue="1" operator="containsText" text="補假">
      <formula>NOT(ISERROR(SEARCH("補假",I43)))</formula>
    </cfRule>
    <cfRule type="containsText" dxfId="2638" priority="1632" stopIfTrue="1" operator="containsText" text="例假">
      <formula>NOT(ISERROR(SEARCH("例假",I43)))</formula>
    </cfRule>
    <cfRule type="containsText" dxfId="2637" priority="1633" stopIfTrue="1" operator="containsText" text="病假">
      <formula>NOT(ISERROR(SEARCH("病假",I43)))</formula>
    </cfRule>
    <cfRule type="containsText" dxfId="2636" priority="1634" stopIfTrue="1" operator="containsText" text="大假">
      <formula>NOT(ISERROR(SEARCH("大假",I43)))</formula>
    </cfRule>
    <cfRule type="containsText" dxfId="2635" priority="1635" operator="containsText" text="RD">
      <formula>NOT(ISERROR(SEARCH("RD",I43)))</formula>
    </cfRule>
    <cfRule type="containsText" dxfId="2634" priority="1636" operator="containsText" text="NP">
      <formula>NOT(ISERROR(SEARCH("NP",I43)))</formula>
    </cfRule>
  </conditionalFormatting>
  <conditionalFormatting sqref="J10:J11 L18:L34">
    <cfRule type="containsText" dxfId="2633" priority="4004" operator="containsText" text="CW">
      <formula>NOT(ISERROR(SEARCH("CW",J10)))</formula>
    </cfRule>
  </conditionalFormatting>
  <conditionalFormatting sqref="K13 R13 Y13 K36 R36 Y36 K45 R45 Y45 B49">
    <cfRule type="cellIs" dxfId="2632" priority="8005" operator="equal">
      <formula>"NC"</formula>
    </cfRule>
  </conditionalFormatting>
  <conditionalFormatting sqref="K13 R13 Y13 K36 R36 Y36 L50:AE50 J51:AE51 G52:I52 D6:AE6">
    <cfRule type="cellIs" dxfId="2631" priority="8735" stopIfTrue="1" operator="equal">
      <formula>"NP"</formula>
    </cfRule>
  </conditionalFormatting>
  <conditionalFormatting sqref="K14:K15 R14:R15 Y14:Y15 D37:D38 K37:K38 R37:R38 Y37:Y38 D16:AE36 D10:AE13 D14:D15 D39:AE43">
    <cfRule type="cellIs" dxfId="2630" priority="1331" operator="equal">
      <formula>"NSH"</formula>
    </cfRule>
  </conditionalFormatting>
  <conditionalFormatting sqref="K14:K15">
    <cfRule type="cellIs" dxfId="2629" priority="1319" stopIfTrue="1" operator="equal">
      <formula>"NP"</formula>
    </cfRule>
    <cfRule type="cellIs" dxfId="2628" priority="1320" stopIfTrue="1" operator="equal">
      <formula>"RD"</formula>
    </cfRule>
    <cfRule type="cellIs" dxfId="2627" priority="1321" operator="equal">
      <formula>"NC"</formula>
    </cfRule>
  </conditionalFormatting>
  <conditionalFormatting sqref="K36:K37 R36:R37 Y36:Y37 D36:D37">
    <cfRule type="cellIs" dxfId="2626" priority="1271" operator="equal">
      <formula>"CW"</formula>
    </cfRule>
    <cfRule type="cellIs" dxfId="2625" priority="1272" operator="equal">
      <formula>"VO"</formula>
    </cfRule>
    <cfRule type="cellIs" dxfId="2624" priority="1273" operator="equal">
      <formula>"NP"</formula>
    </cfRule>
    <cfRule type="cellIs" dxfId="2623" priority="1274" operator="equal">
      <formula>"MOU"</formula>
    </cfRule>
    <cfRule type="cellIs" dxfId="2622" priority="1275" operator="equal">
      <formula>"VO, MOU, CW, CF"</formula>
    </cfRule>
  </conditionalFormatting>
  <conditionalFormatting sqref="K37:K38 R37:R38 Y37:Y38 D37:D38">
    <cfRule type="cellIs" dxfId="2621" priority="1270" operator="equal">
      <formula>"SR"</formula>
    </cfRule>
  </conditionalFormatting>
  <conditionalFormatting sqref="K37:K38">
    <cfRule type="cellIs" dxfId="2620" priority="1258" stopIfTrue="1" operator="equal">
      <formula>"NP"</formula>
    </cfRule>
    <cfRule type="cellIs" dxfId="2619" priority="1259" stopIfTrue="1" operator="equal">
      <formula>"RD"</formula>
    </cfRule>
    <cfRule type="cellIs" dxfId="2618" priority="1260" operator="equal">
      <formula>"NC"</formula>
    </cfRule>
  </conditionalFormatting>
  <conditionalFormatting sqref="K45 R45 Y45">
    <cfRule type="cellIs" dxfId="2617" priority="1250" stopIfTrue="1" operator="equal">
      <formula>"NP"</formula>
    </cfRule>
    <cfRule type="cellIs" dxfId="2616" priority="1251" stopIfTrue="1" operator="equal">
      <formula>"RD"</formula>
    </cfRule>
  </conditionalFormatting>
  <conditionalFormatting sqref="K45:K46 R45:R46 Y45:Y46 D45:D46">
    <cfRule type="cellIs" dxfId="2615" priority="1187" operator="equal">
      <formula>"CW"</formula>
    </cfRule>
    <cfRule type="cellIs" dxfId="2614" priority="1188" operator="equal">
      <formula>"VO"</formula>
    </cfRule>
    <cfRule type="cellIs" dxfId="2613" priority="1189" operator="equal">
      <formula>"NP"</formula>
    </cfRule>
    <cfRule type="cellIs" dxfId="2612" priority="1190" operator="equal">
      <formula>"MOU"</formula>
    </cfRule>
    <cfRule type="cellIs" dxfId="2611" priority="1191" operator="equal">
      <formula>"VO, MOU, CW, CF"</formula>
    </cfRule>
  </conditionalFormatting>
  <conditionalFormatting sqref="K46">
    <cfRule type="cellIs" dxfId="2610" priority="1174" stopIfTrue="1" operator="equal">
      <formula>"NP"</formula>
    </cfRule>
    <cfRule type="cellIs" dxfId="2609" priority="1175" stopIfTrue="1" operator="equal">
      <formula>"RD"</formula>
    </cfRule>
    <cfRule type="cellIs" dxfId="2608" priority="1176" operator="equal">
      <formula>"NC"</formula>
    </cfRule>
  </conditionalFormatting>
  <conditionalFormatting sqref="K46:K47 R46:R47 Y46:Y47 D46:D47">
    <cfRule type="cellIs" dxfId="2607" priority="1186" operator="equal">
      <formula>"SR"</formula>
    </cfRule>
  </conditionalFormatting>
  <conditionalFormatting sqref="L11">
    <cfRule type="containsText" dxfId="2606" priority="2800" operator="containsText" text="CW">
      <formula>NOT(ISERROR(SEARCH("CW",L11)))</formula>
    </cfRule>
    <cfRule type="containsText" dxfId="2605" priority="2801" operator="containsText" text="RD">
      <formula>NOT(ISERROR(SEARCH("RD",L11)))</formula>
    </cfRule>
    <cfRule type="containsText" dxfId="2604" priority="2802" operator="containsText" text="NP">
      <formula>NOT(ISERROR(SEARCH("NP",L11)))</formula>
    </cfRule>
  </conditionalFormatting>
  <conditionalFormatting sqref="L41">
    <cfRule type="containsText" dxfId="2603" priority="2646" operator="containsText" text="CW">
      <formula>NOT(ISERROR(SEARCH("CW",L41)))</formula>
    </cfRule>
  </conditionalFormatting>
  <conditionalFormatting sqref="L42:L43">
    <cfRule type="containsText" dxfId="2602" priority="3259" operator="containsText" text="CW">
      <formula>NOT(ISERROR(SEARCH("CW",L42)))</formula>
    </cfRule>
  </conditionalFormatting>
  <conditionalFormatting sqref="L11:Z11">
    <cfRule type="cellIs" dxfId="2601" priority="2797" operator="equal">
      <formula>"VO"</formula>
    </cfRule>
    <cfRule type="cellIs" dxfId="2600" priority="2798" operator="equal">
      <formula>"CW"</formula>
    </cfRule>
    <cfRule type="cellIs" dxfId="2599" priority="2799" operator="equal">
      <formula>"CF"</formula>
    </cfRule>
  </conditionalFormatting>
  <conditionalFormatting sqref="P42:P43">
    <cfRule type="containsText" dxfId="2598" priority="2538" stopIfTrue="1" operator="containsText" text="無薪">
      <formula>NOT(ISERROR(SEARCH("無薪",P42)))</formula>
    </cfRule>
    <cfRule type="containsText" dxfId="2597" priority="2539" stopIfTrue="1" operator="containsText" text="TIL">
      <formula>NOT(ISERROR(SEARCH("TIL",P42)))</formula>
    </cfRule>
    <cfRule type="containsText" dxfId="2596" priority="2540" stopIfTrue="1" operator="containsText" text="疫苗">
      <formula>NOT(ISERROR(SEARCH("疫苗",P42)))</formula>
    </cfRule>
    <cfRule type="containsText" dxfId="2595" priority="2541" stopIfTrue="1" operator="containsText" text="勞假">
      <formula>NOT(ISERROR(SEARCH("勞假",P42)))</formula>
    </cfRule>
    <cfRule type="containsText" dxfId="2594" priority="2542" stopIfTrue="1" operator="containsText" text="補假">
      <formula>NOT(ISERROR(SEARCH("補假",P42)))</formula>
    </cfRule>
    <cfRule type="containsText" dxfId="2593" priority="2543" stopIfTrue="1" operator="containsText" text="例假">
      <formula>NOT(ISERROR(SEARCH("例假",P42)))</formula>
    </cfRule>
    <cfRule type="containsText" dxfId="2592" priority="2544" stopIfTrue="1" operator="containsText" text="病假">
      <formula>NOT(ISERROR(SEARCH("病假",P42)))</formula>
    </cfRule>
    <cfRule type="containsText" dxfId="2591" priority="2545" stopIfTrue="1" operator="containsText" text="大假">
      <formula>NOT(ISERROR(SEARCH("大假",P42)))</formula>
    </cfRule>
    <cfRule type="containsText" dxfId="2590" priority="2546" stopIfTrue="1" operator="containsText" text="無薪">
      <formula>NOT(ISERROR(SEARCH("無薪",P42)))</formula>
    </cfRule>
    <cfRule type="containsText" dxfId="2589" priority="2547" stopIfTrue="1" operator="containsText" text="TIL">
      <formula>NOT(ISERROR(SEARCH("TIL",P42)))</formula>
    </cfRule>
    <cfRule type="containsText" dxfId="2588" priority="2548" stopIfTrue="1" operator="containsText" text="疫苗">
      <formula>NOT(ISERROR(SEARCH("疫苗",P42)))</formula>
    </cfRule>
    <cfRule type="containsText" dxfId="2587" priority="2549" stopIfTrue="1" operator="containsText" text="勞假">
      <formula>NOT(ISERROR(SEARCH("勞假",P42)))</formula>
    </cfRule>
    <cfRule type="containsText" dxfId="2586" priority="2550" stopIfTrue="1" operator="containsText" text="補假">
      <formula>NOT(ISERROR(SEARCH("補假",P42)))</formula>
    </cfRule>
    <cfRule type="containsText" dxfId="2585" priority="2551" stopIfTrue="1" operator="containsText" text="例假">
      <formula>NOT(ISERROR(SEARCH("例假",P42)))</formula>
    </cfRule>
    <cfRule type="containsText" dxfId="2584" priority="2552" stopIfTrue="1" operator="containsText" text="病假">
      <formula>NOT(ISERROR(SEARCH("病假",P42)))</formula>
    </cfRule>
    <cfRule type="containsText" dxfId="2583" priority="2553" stopIfTrue="1" operator="containsText" text="大假">
      <formula>NOT(ISERROR(SEARCH("大假",P42)))</formula>
    </cfRule>
    <cfRule type="containsText" dxfId="2582" priority="2554" stopIfTrue="1" operator="containsText" text="TIL">
      <formula>NOT(ISERROR(SEARCH("TIL",P42)))</formula>
    </cfRule>
    <cfRule type="cellIs" dxfId="2581" priority="2555" stopIfTrue="1" operator="equal">
      <formula>"NP"</formula>
    </cfRule>
    <cfRule type="cellIs" dxfId="2580" priority="2556" stopIfTrue="1" operator="equal">
      <formula>"RD"</formula>
    </cfRule>
    <cfRule type="containsText" dxfId="2579" priority="2557" stopIfTrue="1" operator="containsText" text="TIL">
      <formula>NOT(ISERROR(SEARCH("TIL",P42)))</formula>
    </cfRule>
    <cfRule type="containsText" dxfId="2578" priority="2558" stopIfTrue="1" operator="containsText" text="疫苗">
      <formula>NOT(ISERROR(SEARCH("疫苗",P42)))</formula>
    </cfRule>
    <cfRule type="containsText" dxfId="2577" priority="2559" stopIfTrue="1" operator="containsText" text="勞假">
      <formula>NOT(ISERROR(SEARCH("勞假",P42)))</formula>
    </cfRule>
    <cfRule type="containsText" dxfId="2576" priority="2560" stopIfTrue="1" operator="containsText" text="補假">
      <formula>NOT(ISERROR(SEARCH("補假",P42)))</formula>
    </cfRule>
    <cfRule type="containsText" dxfId="2575" priority="2561" stopIfTrue="1" operator="containsText" text="例假">
      <formula>NOT(ISERROR(SEARCH("例假",P42)))</formula>
    </cfRule>
    <cfRule type="containsText" dxfId="2574" priority="2562" stopIfTrue="1" operator="containsText" text="病假">
      <formula>NOT(ISERROR(SEARCH("病假",P42)))</formula>
    </cfRule>
    <cfRule type="containsText" dxfId="2573" priority="2563" stopIfTrue="1" operator="containsText" text="大假">
      <formula>NOT(ISERROR(SEARCH("大假",P42)))</formula>
    </cfRule>
    <cfRule type="containsText" dxfId="2572" priority="2564" stopIfTrue="1" operator="containsText" text="TIL">
      <formula>NOT(ISERROR(SEARCH("TIL",P42)))</formula>
    </cfRule>
    <cfRule type="containsText" dxfId="2571" priority="2565" stopIfTrue="1" operator="containsText" text="疫苗">
      <formula>NOT(ISERROR(SEARCH("疫苗",P42)))</formula>
    </cfRule>
    <cfRule type="containsText" dxfId="2570" priority="2566" stopIfTrue="1" operator="containsText" text="勞假">
      <formula>NOT(ISERROR(SEARCH("勞假",P42)))</formula>
    </cfRule>
    <cfRule type="containsText" dxfId="2569" priority="2567" stopIfTrue="1" operator="containsText" text="補假">
      <formula>NOT(ISERROR(SEARCH("補假",P42)))</formula>
    </cfRule>
    <cfRule type="containsText" dxfId="2568" priority="2568" stopIfTrue="1" operator="containsText" text="例假">
      <formula>NOT(ISERROR(SEARCH("例假",P42)))</formula>
    </cfRule>
    <cfRule type="containsText" dxfId="2567" priority="2569" stopIfTrue="1" operator="containsText" text="病假">
      <formula>NOT(ISERROR(SEARCH("病假",P42)))</formula>
    </cfRule>
    <cfRule type="containsText" dxfId="2566" priority="2570" stopIfTrue="1" operator="containsText" text="大假">
      <formula>NOT(ISERROR(SEARCH("大假",P42)))</formula>
    </cfRule>
    <cfRule type="containsText" dxfId="2565" priority="2571" stopIfTrue="1" operator="containsText" text="無薪">
      <formula>NOT(ISERROR(SEARCH("無薪",P42)))</formula>
    </cfRule>
    <cfRule type="containsText" dxfId="2564" priority="2572" stopIfTrue="1" operator="containsText" text="疫苗">
      <formula>NOT(ISERROR(SEARCH("疫苗",P42)))</formula>
    </cfRule>
    <cfRule type="containsText" dxfId="2563" priority="2573" stopIfTrue="1" operator="containsText" text="勞假">
      <formula>NOT(ISERROR(SEARCH("勞假",P42)))</formula>
    </cfRule>
    <cfRule type="containsText" dxfId="2562" priority="2574" stopIfTrue="1" operator="containsText" text="補假">
      <formula>NOT(ISERROR(SEARCH("補假",P42)))</formula>
    </cfRule>
    <cfRule type="containsText" dxfId="2561" priority="2575" stopIfTrue="1" operator="containsText" text="例假">
      <formula>NOT(ISERROR(SEARCH("例假",P42)))</formula>
    </cfRule>
    <cfRule type="containsText" dxfId="2560" priority="2576" stopIfTrue="1" operator="containsText" text="病假">
      <formula>NOT(ISERROR(SEARCH("病假",P42)))</formula>
    </cfRule>
    <cfRule type="containsText" dxfId="2559" priority="2577" stopIfTrue="1" operator="containsText" text="大假">
      <formula>NOT(ISERROR(SEARCH("大假",P42)))</formula>
    </cfRule>
    <cfRule type="containsText" dxfId="2558" priority="2578" stopIfTrue="1" operator="containsText" text="無薪">
      <formula>NOT(ISERROR(SEARCH("無薪",P42)))</formula>
    </cfRule>
    <cfRule type="containsText" dxfId="2557" priority="2579" stopIfTrue="1" operator="containsText" text="TIL">
      <formula>NOT(ISERROR(SEARCH("TIL",P42)))</formula>
    </cfRule>
    <cfRule type="containsText" dxfId="2556" priority="2580" stopIfTrue="1" operator="containsText" text="疫苗">
      <formula>NOT(ISERROR(SEARCH("疫苗",P42)))</formula>
    </cfRule>
    <cfRule type="containsText" dxfId="2555" priority="2581" stopIfTrue="1" operator="containsText" text="勞假">
      <formula>NOT(ISERROR(SEARCH("勞假",P42)))</formula>
    </cfRule>
    <cfRule type="containsText" dxfId="2554" priority="2582" stopIfTrue="1" operator="containsText" text="補假">
      <formula>NOT(ISERROR(SEARCH("補假",P42)))</formula>
    </cfRule>
    <cfRule type="containsText" dxfId="2553" priority="2583" stopIfTrue="1" operator="containsText" text="例假">
      <formula>NOT(ISERROR(SEARCH("例假",P42)))</formula>
    </cfRule>
    <cfRule type="containsText" dxfId="2552" priority="2584" stopIfTrue="1" operator="containsText" text="病假">
      <formula>NOT(ISERROR(SEARCH("病假",P42)))</formula>
    </cfRule>
    <cfRule type="containsText" dxfId="2551" priority="2585" stopIfTrue="1" operator="containsText" text="大假">
      <formula>NOT(ISERROR(SEARCH("大假",P42)))</formula>
    </cfRule>
    <cfRule type="containsText" dxfId="2550" priority="2586" stopIfTrue="1" operator="containsText" text="無薪">
      <formula>NOT(ISERROR(SEARCH("無薪",P42)))</formula>
    </cfRule>
    <cfRule type="containsText" dxfId="2549" priority="2587" stopIfTrue="1" operator="containsText" text="TIL">
      <formula>NOT(ISERROR(SEARCH("TIL",P42)))</formula>
    </cfRule>
    <cfRule type="containsText" dxfId="2548" priority="2588" stopIfTrue="1" operator="containsText" text="疫苗">
      <formula>NOT(ISERROR(SEARCH("疫苗",P42)))</formula>
    </cfRule>
    <cfRule type="containsText" dxfId="2547" priority="2589" stopIfTrue="1" operator="containsText" text="勞假">
      <formula>NOT(ISERROR(SEARCH("勞假",P42)))</formula>
    </cfRule>
    <cfRule type="containsText" dxfId="2546" priority="2590" stopIfTrue="1" operator="containsText" text="補假">
      <formula>NOT(ISERROR(SEARCH("補假",P42)))</formula>
    </cfRule>
    <cfRule type="containsText" dxfId="2545" priority="2591" stopIfTrue="1" operator="containsText" text="例假">
      <formula>NOT(ISERROR(SEARCH("例假",P42)))</formula>
    </cfRule>
    <cfRule type="containsText" dxfId="2544" priority="2592" stopIfTrue="1" operator="containsText" text="病假">
      <formula>NOT(ISERROR(SEARCH("病假",P42)))</formula>
    </cfRule>
    <cfRule type="containsText" dxfId="2543" priority="2593" stopIfTrue="1" operator="containsText" text="大假">
      <formula>NOT(ISERROR(SEARCH("大假",P42)))</formula>
    </cfRule>
    <cfRule type="containsText" dxfId="2542" priority="2594" stopIfTrue="1" operator="containsText" text="無薪">
      <formula>NOT(ISERROR(SEARCH("無薪",P42)))</formula>
    </cfRule>
    <cfRule type="cellIs" dxfId="2541" priority="2595" operator="equal">
      <formula>"NC"</formula>
    </cfRule>
    <cfRule type="cellIs" dxfId="2540" priority="2596" operator="equal">
      <formula>"nd"</formula>
    </cfRule>
    <cfRule type="cellIs" dxfId="2539" priority="2597" operator="equal">
      <formula>0</formula>
    </cfRule>
    <cfRule type="cellIs" dxfId="2538" priority="2598" operator="equal">
      <formula>"R"</formula>
    </cfRule>
    <cfRule type="cellIs" dxfId="2537" priority="2599" operator="equal">
      <formula>"NH12"</formula>
    </cfRule>
    <cfRule type="cellIs" dxfId="2536" priority="2600" operator="equal">
      <formula>"Nh11"</formula>
    </cfRule>
    <cfRule type="containsText" dxfId="2535" priority="2601" stopIfTrue="1" operator="containsText" text="TIL">
      <formula>NOT(ISERROR(SEARCH("TIL",P42)))</formula>
    </cfRule>
    <cfRule type="containsText" dxfId="2534" priority="2602" stopIfTrue="1" operator="containsText" text="疫苗">
      <formula>NOT(ISERROR(SEARCH("疫苗",P42)))</formula>
    </cfRule>
    <cfRule type="containsText" dxfId="2533" priority="2603" stopIfTrue="1" operator="containsText" text="勞假">
      <formula>NOT(ISERROR(SEARCH("勞假",P42)))</formula>
    </cfRule>
    <cfRule type="containsText" dxfId="2532" priority="2604" stopIfTrue="1" operator="containsText" text="補假">
      <formula>NOT(ISERROR(SEARCH("補假",P42)))</formula>
    </cfRule>
    <cfRule type="containsText" dxfId="2531" priority="2605" stopIfTrue="1" operator="containsText" text="例假">
      <formula>NOT(ISERROR(SEARCH("例假",P42)))</formula>
    </cfRule>
    <cfRule type="containsText" dxfId="2530" priority="2606" stopIfTrue="1" operator="containsText" text="病假">
      <formula>NOT(ISERROR(SEARCH("病假",P42)))</formula>
    </cfRule>
    <cfRule type="containsText" dxfId="2529" priority="2607" stopIfTrue="1" operator="containsText" text="大假">
      <formula>NOT(ISERROR(SEARCH("大假",P42)))</formula>
    </cfRule>
    <cfRule type="containsText" dxfId="2528" priority="2608" stopIfTrue="1" operator="containsText" text="無薪">
      <formula>NOT(ISERROR(SEARCH("無薪",P42)))</formula>
    </cfRule>
    <cfRule type="containsText" dxfId="2527" priority="2609" stopIfTrue="1" operator="containsText" text="TIL">
      <formula>NOT(ISERROR(SEARCH("TIL",P42)))</formula>
    </cfRule>
    <cfRule type="containsText" dxfId="2526" priority="2610" stopIfTrue="1" operator="containsText" text="疫苗">
      <formula>NOT(ISERROR(SEARCH("疫苗",P42)))</formula>
    </cfRule>
    <cfRule type="containsText" dxfId="2525" priority="2611" stopIfTrue="1" operator="containsText" text="勞假">
      <formula>NOT(ISERROR(SEARCH("勞假",P42)))</formula>
    </cfRule>
    <cfRule type="containsText" dxfId="2524" priority="2612" stopIfTrue="1" operator="containsText" text="補假">
      <formula>NOT(ISERROR(SEARCH("補假",P42)))</formula>
    </cfRule>
    <cfRule type="containsText" dxfId="2523" priority="2613" stopIfTrue="1" operator="containsText" text="例假">
      <formula>NOT(ISERROR(SEARCH("例假",P42)))</formula>
    </cfRule>
    <cfRule type="containsText" dxfId="2522" priority="2614" stopIfTrue="1" operator="containsText" text="病假">
      <formula>NOT(ISERROR(SEARCH("病假",P42)))</formula>
    </cfRule>
    <cfRule type="containsText" dxfId="2521" priority="2615" stopIfTrue="1" operator="containsText" text="大假">
      <formula>NOT(ISERROR(SEARCH("大假",P42)))</formula>
    </cfRule>
    <cfRule type="containsText" dxfId="2520" priority="2616" stopIfTrue="1" operator="containsText" text="無薪">
      <formula>NOT(ISERROR(SEARCH("無薪",P42)))</formula>
    </cfRule>
    <cfRule type="containsText" dxfId="2519" priority="2617" stopIfTrue="1" operator="containsText" text="疫苗">
      <formula>NOT(ISERROR(SEARCH("疫苗",P42)))</formula>
    </cfRule>
    <cfRule type="containsText" dxfId="2518" priority="2618" stopIfTrue="1" operator="containsText" text="勞假">
      <formula>NOT(ISERROR(SEARCH("勞假",P42)))</formula>
    </cfRule>
    <cfRule type="containsText" dxfId="2517" priority="2619" stopIfTrue="1" operator="containsText" text="補假">
      <formula>NOT(ISERROR(SEARCH("補假",P42)))</formula>
    </cfRule>
    <cfRule type="containsText" dxfId="2516" priority="2620" stopIfTrue="1" operator="containsText" text="例假">
      <formula>NOT(ISERROR(SEARCH("例假",P42)))</formula>
    </cfRule>
    <cfRule type="containsText" dxfId="2515" priority="2621" stopIfTrue="1" operator="containsText" text="病假">
      <formula>NOT(ISERROR(SEARCH("病假",P42)))</formula>
    </cfRule>
    <cfRule type="containsText" dxfId="2514" priority="2622" stopIfTrue="1" operator="containsText" text="大假">
      <formula>NOT(ISERROR(SEARCH("大假",P42)))</formula>
    </cfRule>
    <cfRule type="containsText" dxfId="2513" priority="2623" operator="containsText" text="RD">
      <formula>NOT(ISERROR(SEARCH("RD",P42)))</formula>
    </cfRule>
    <cfRule type="containsText" dxfId="2512" priority="2624" operator="containsText" text="NP">
      <formula>NOT(ISERROR(SEARCH("NP",P42)))</formula>
    </cfRule>
  </conditionalFormatting>
  <conditionalFormatting sqref="Q10:AE10 Q11:Z11 AC11:AE11">
    <cfRule type="containsText" dxfId="2511" priority="4003" operator="containsText" text="NP">
      <formula>NOT(ISERROR(SEARCH("NP",Q10)))</formula>
    </cfRule>
  </conditionalFormatting>
  <conditionalFormatting sqref="Q10:AE10 AC11:AE11 Q11:Z11">
    <cfRule type="containsText" dxfId="2510" priority="4002" operator="containsText" text="RD">
      <formula>NOT(ISERROR(SEARCH("RD",Q10)))</formula>
    </cfRule>
  </conditionalFormatting>
  <conditionalFormatting sqref="R14:R15">
    <cfRule type="cellIs" dxfId="2509" priority="1316" stopIfTrue="1" operator="equal">
      <formula>"NP"</formula>
    </cfRule>
    <cfRule type="cellIs" dxfId="2508" priority="1317" stopIfTrue="1" operator="equal">
      <formula>"RD"</formula>
    </cfRule>
    <cfRule type="cellIs" dxfId="2507" priority="1318" operator="equal">
      <formula>"NC"</formula>
    </cfRule>
  </conditionalFormatting>
  <conditionalFormatting sqref="R37:R38">
    <cfRule type="cellIs" dxfId="2506" priority="1255" stopIfTrue="1" operator="equal">
      <formula>"NP"</formula>
    </cfRule>
    <cfRule type="cellIs" dxfId="2505" priority="1256" stopIfTrue="1" operator="equal">
      <formula>"RD"</formula>
    </cfRule>
    <cfRule type="cellIs" dxfId="2504" priority="1257" operator="equal">
      <formula>"NC"</formula>
    </cfRule>
  </conditionalFormatting>
  <conditionalFormatting sqref="R42:R43 R43:W43">
    <cfRule type="containsText" dxfId="2503" priority="2898" operator="containsText" text="RD">
      <formula>NOT(ISERROR(SEARCH("RD",R42)))</formula>
    </cfRule>
    <cfRule type="containsText" dxfId="2502" priority="2899" operator="containsText" text="NP">
      <formula>NOT(ISERROR(SEARCH("NP",R42)))</formula>
    </cfRule>
  </conditionalFormatting>
  <conditionalFormatting sqref="R42:R43">
    <cfRule type="cellIs" dxfId="2501" priority="2894" operator="equal">
      <formula>"NSH"</formula>
    </cfRule>
    <cfRule type="cellIs" dxfId="2500" priority="2895" operator="equal">
      <formula>"VO"</formula>
    </cfRule>
    <cfRule type="cellIs" dxfId="2499" priority="2896" operator="equal">
      <formula>"CW"</formula>
    </cfRule>
    <cfRule type="cellIs" dxfId="2498" priority="2897" operator="equal">
      <formula>"CF"</formula>
    </cfRule>
  </conditionalFormatting>
  <conditionalFormatting sqref="R46">
    <cfRule type="cellIs" dxfId="2497" priority="1171" stopIfTrue="1" operator="equal">
      <formula>"NP"</formula>
    </cfRule>
    <cfRule type="cellIs" dxfId="2496" priority="1172" stopIfTrue="1" operator="equal">
      <formula>"RD"</formula>
    </cfRule>
    <cfRule type="cellIs" dxfId="2495" priority="1173" operator="equal">
      <formula>"NC"</formula>
    </cfRule>
  </conditionalFormatting>
  <conditionalFormatting sqref="R42:Z42">
    <cfRule type="containsText" dxfId="2494" priority="1905" operator="containsText" text="RD">
      <formula>NOT(ISERROR(SEARCH("RD",R42)))</formula>
    </cfRule>
    <cfRule type="containsText" dxfId="2493" priority="1906" operator="containsText" text="NP">
      <formula>NOT(ISERROR(SEARCH("NP",R42)))</formula>
    </cfRule>
  </conditionalFormatting>
  <conditionalFormatting sqref="R42:Z43">
    <cfRule type="cellIs" dxfId="2492" priority="1902" operator="equal">
      <formula>"VO"</formula>
    </cfRule>
    <cfRule type="cellIs" dxfId="2491" priority="1903" operator="equal">
      <formula>"CW"</formula>
    </cfRule>
    <cfRule type="cellIs" dxfId="2490" priority="1904" operator="equal">
      <formula>"CF"</formula>
    </cfRule>
  </conditionalFormatting>
  <conditionalFormatting sqref="R43:Z43">
    <cfRule type="cellIs" dxfId="2489" priority="2099" operator="equal">
      <formula>"NSH"</formula>
    </cfRule>
  </conditionalFormatting>
  <conditionalFormatting sqref="S19:AE19">
    <cfRule type="containsText" dxfId="2488" priority="3071" stopIfTrue="1" operator="containsText" text="無薪">
      <formula>NOT(ISERROR(SEARCH("無薪",S19)))</formula>
    </cfRule>
    <cfRule type="containsText" dxfId="2487" priority="3072" stopIfTrue="1" operator="containsText" text="TIL">
      <formula>NOT(ISERROR(SEARCH("TIL",S19)))</formula>
    </cfRule>
    <cfRule type="containsText" dxfId="2486" priority="3073" stopIfTrue="1" operator="containsText" text="疫苗">
      <formula>NOT(ISERROR(SEARCH("疫苗",S19)))</formula>
    </cfRule>
    <cfRule type="containsText" dxfId="2485" priority="3074" stopIfTrue="1" operator="containsText" text="勞假">
      <formula>NOT(ISERROR(SEARCH("勞假",S19)))</formula>
    </cfRule>
    <cfRule type="containsText" dxfId="2484" priority="3075" stopIfTrue="1" operator="containsText" text="補假">
      <formula>NOT(ISERROR(SEARCH("補假",S19)))</formula>
    </cfRule>
    <cfRule type="containsText" dxfId="2483" priority="3076" stopIfTrue="1" operator="containsText" text="例假">
      <formula>NOT(ISERROR(SEARCH("例假",S19)))</formula>
    </cfRule>
    <cfRule type="containsText" dxfId="2482" priority="3077" stopIfTrue="1" operator="containsText" text="病假">
      <formula>NOT(ISERROR(SEARCH("病假",S19)))</formula>
    </cfRule>
    <cfRule type="containsText" dxfId="2481" priority="3078" stopIfTrue="1" operator="containsText" text="大假">
      <formula>NOT(ISERROR(SEARCH("大假",S19)))</formula>
    </cfRule>
    <cfRule type="containsText" dxfId="2480" priority="3079" stopIfTrue="1" operator="containsText" text="無薪">
      <formula>NOT(ISERROR(SEARCH("無薪",S19)))</formula>
    </cfRule>
    <cfRule type="containsText" dxfId="2479" priority="3080" stopIfTrue="1" operator="containsText" text="TIL">
      <formula>NOT(ISERROR(SEARCH("TIL",S19)))</formula>
    </cfRule>
    <cfRule type="containsText" dxfId="2478" priority="3081" stopIfTrue="1" operator="containsText" text="疫苗">
      <formula>NOT(ISERROR(SEARCH("疫苗",S19)))</formula>
    </cfRule>
    <cfRule type="containsText" dxfId="2477" priority="3082" stopIfTrue="1" operator="containsText" text="勞假">
      <formula>NOT(ISERROR(SEARCH("勞假",S19)))</formula>
    </cfRule>
    <cfRule type="containsText" dxfId="2476" priority="3083" stopIfTrue="1" operator="containsText" text="補假">
      <formula>NOT(ISERROR(SEARCH("補假",S19)))</formula>
    </cfRule>
    <cfRule type="containsText" dxfId="2475" priority="3084" stopIfTrue="1" operator="containsText" text="例假">
      <formula>NOT(ISERROR(SEARCH("例假",S19)))</formula>
    </cfRule>
    <cfRule type="containsText" dxfId="2474" priority="3085" stopIfTrue="1" operator="containsText" text="病假">
      <formula>NOT(ISERROR(SEARCH("病假",S19)))</formula>
    </cfRule>
    <cfRule type="containsText" dxfId="2473" priority="3086" stopIfTrue="1" operator="containsText" text="大假">
      <formula>NOT(ISERROR(SEARCH("大假",S19)))</formula>
    </cfRule>
    <cfRule type="containsText" dxfId="2472" priority="3087" stopIfTrue="1" operator="containsText" text="TIL">
      <formula>NOT(ISERROR(SEARCH("TIL",S19)))</formula>
    </cfRule>
    <cfRule type="cellIs" dxfId="2471" priority="3088" stopIfTrue="1" operator="equal">
      <formula>"NP"</formula>
    </cfRule>
    <cfRule type="cellIs" dxfId="2470" priority="3089" stopIfTrue="1" operator="equal">
      <formula>"RD"</formula>
    </cfRule>
    <cfRule type="containsText" dxfId="2469" priority="3090" stopIfTrue="1" operator="containsText" text="TIL">
      <formula>NOT(ISERROR(SEARCH("TIL",S19)))</formula>
    </cfRule>
    <cfRule type="containsText" dxfId="2468" priority="3091" stopIfTrue="1" operator="containsText" text="疫苗">
      <formula>NOT(ISERROR(SEARCH("疫苗",S19)))</formula>
    </cfRule>
    <cfRule type="containsText" dxfId="2467" priority="3092" stopIfTrue="1" operator="containsText" text="勞假">
      <formula>NOT(ISERROR(SEARCH("勞假",S19)))</formula>
    </cfRule>
    <cfRule type="containsText" dxfId="2466" priority="3093" stopIfTrue="1" operator="containsText" text="補假">
      <formula>NOT(ISERROR(SEARCH("補假",S19)))</formula>
    </cfRule>
    <cfRule type="containsText" dxfId="2465" priority="3094" stopIfTrue="1" operator="containsText" text="例假">
      <formula>NOT(ISERROR(SEARCH("例假",S19)))</formula>
    </cfRule>
    <cfRule type="containsText" dxfId="2464" priority="3095" stopIfTrue="1" operator="containsText" text="病假">
      <formula>NOT(ISERROR(SEARCH("病假",S19)))</formula>
    </cfRule>
    <cfRule type="containsText" dxfId="2463" priority="3096" stopIfTrue="1" operator="containsText" text="大假">
      <formula>NOT(ISERROR(SEARCH("大假",S19)))</formula>
    </cfRule>
    <cfRule type="containsText" dxfId="2462" priority="3097" stopIfTrue="1" operator="containsText" text="TIL">
      <formula>NOT(ISERROR(SEARCH("TIL",S19)))</formula>
    </cfRule>
    <cfRule type="containsText" dxfId="2461" priority="3099" stopIfTrue="1" operator="containsText" text="疫苗">
      <formula>NOT(ISERROR(SEARCH("疫苗",S19)))</formula>
    </cfRule>
    <cfRule type="containsText" dxfId="2460" priority="3100" stopIfTrue="1" operator="containsText" text="勞假">
      <formula>NOT(ISERROR(SEARCH("勞假",S19)))</formula>
    </cfRule>
    <cfRule type="containsText" dxfId="2459" priority="3101" stopIfTrue="1" operator="containsText" text="補假">
      <formula>NOT(ISERROR(SEARCH("補假",S19)))</formula>
    </cfRule>
    <cfRule type="containsText" dxfId="2458" priority="3102" stopIfTrue="1" operator="containsText" text="例假">
      <formula>NOT(ISERROR(SEARCH("例假",S19)))</formula>
    </cfRule>
    <cfRule type="containsText" dxfId="2457" priority="3103" stopIfTrue="1" operator="containsText" text="病假">
      <formula>NOT(ISERROR(SEARCH("病假",S19)))</formula>
    </cfRule>
    <cfRule type="containsText" dxfId="2456" priority="3104" stopIfTrue="1" operator="containsText" text="大假">
      <formula>NOT(ISERROR(SEARCH("大假",S19)))</formula>
    </cfRule>
    <cfRule type="containsText" dxfId="2455" priority="3105" stopIfTrue="1" operator="containsText" text="無薪">
      <formula>NOT(ISERROR(SEARCH("無薪",S19)))</formula>
    </cfRule>
    <cfRule type="containsText" dxfId="2454" priority="3106" stopIfTrue="1" operator="containsText" text="疫苗">
      <formula>NOT(ISERROR(SEARCH("疫苗",S19)))</formula>
    </cfRule>
    <cfRule type="containsText" dxfId="2453" priority="3107" stopIfTrue="1" operator="containsText" text="勞假">
      <formula>NOT(ISERROR(SEARCH("勞假",S19)))</formula>
    </cfRule>
    <cfRule type="containsText" dxfId="2452" priority="3108" stopIfTrue="1" operator="containsText" text="補假">
      <formula>NOT(ISERROR(SEARCH("補假",S19)))</formula>
    </cfRule>
    <cfRule type="containsText" dxfId="2451" priority="3109" stopIfTrue="1" operator="containsText" text="例假">
      <formula>NOT(ISERROR(SEARCH("例假",S19)))</formula>
    </cfRule>
    <cfRule type="containsText" dxfId="2450" priority="3110" stopIfTrue="1" operator="containsText" text="病假">
      <formula>NOT(ISERROR(SEARCH("病假",S19)))</formula>
    </cfRule>
    <cfRule type="containsText" dxfId="2449" priority="3111" stopIfTrue="1" operator="containsText" text="大假">
      <formula>NOT(ISERROR(SEARCH("大假",S19)))</formula>
    </cfRule>
    <cfRule type="containsText" dxfId="2448" priority="3112" stopIfTrue="1" operator="containsText" text="無薪">
      <formula>NOT(ISERROR(SEARCH("無薪",S19)))</formula>
    </cfRule>
    <cfRule type="containsText" dxfId="2447" priority="3113" stopIfTrue="1" operator="containsText" text="TIL">
      <formula>NOT(ISERROR(SEARCH("TIL",S19)))</formula>
    </cfRule>
    <cfRule type="containsText" dxfId="2446" priority="3114" stopIfTrue="1" operator="containsText" text="疫苗">
      <formula>NOT(ISERROR(SEARCH("疫苗",S19)))</formula>
    </cfRule>
    <cfRule type="containsText" dxfId="2445" priority="3115" stopIfTrue="1" operator="containsText" text="勞假">
      <formula>NOT(ISERROR(SEARCH("勞假",S19)))</formula>
    </cfRule>
    <cfRule type="containsText" dxfId="2444" priority="3116" stopIfTrue="1" operator="containsText" text="補假">
      <formula>NOT(ISERROR(SEARCH("補假",S19)))</formula>
    </cfRule>
    <cfRule type="containsText" dxfId="2443" priority="3117" stopIfTrue="1" operator="containsText" text="例假">
      <formula>NOT(ISERROR(SEARCH("例假",S19)))</formula>
    </cfRule>
    <cfRule type="containsText" dxfId="2442" priority="3118" stopIfTrue="1" operator="containsText" text="病假">
      <formula>NOT(ISERROR(SEARCH("病假",S19)))</formula>
    </cfRule>
    <cfRule type="containsText" dxfId="2441" priority="3119" stopIfTrue="1" operator="containsText" text="大假">
      <formula>NOT(ISERROR(SEARCH("大假",S19)))</formula>
    </cfRule>
    <cfRule type="containsText" dxfId="2440" priority="3120" stopIfTrue="1" operator="containsText" text="無薪">
      <formula>NOT(ISERROR(SEARCH("無薪",S19)))</formula>
    </cfRule>
    <cfRule type="containsText" dxfId="2439" priority="3121" stopIfTrue="1" operator="containsText" text="TIL">
      <formula>NOT(ISERROR(SEARCH("TIL",S19)))</formula>
    </cfRule>
    <cfRule type="containsText" dxfId="2438" priority="3122" stopIfTrue="1" operator="containsText" text="疫苗">
      <formula>NOT(ISERROR(SEARCH("疫苗",S19)))</formula>
    </cfRule>
    <cfRule type="containsText" dxfId="2437" priority="3123" stopIfTrue="1" operator="containsText" text="勞假">
      <formula>NOT(ISERROR(SEARCH("勞假",S19)))</formula>
    </cfRule>
    <cfRule type="containsText" dxfId="2436" priority="3124" stopIfTrue="1" operator="containsText" text="補假">
      <formula>NOT(ISERROR(SEARCH("補假",S19)))</formula>
    </cfRule>
    <cfRule type="containsText" dxfId="2435" priority="3125" stopIfTrue="1" operator="containsText" text="例假">
      <formula>NOT(ISERROR(SEARCH("例假",S19)))</formula>
    </cfRule>
    <cfRule type="containsText" dxfId="2434" priority="3126" stopIfTrue="1" operator="containsText" text="病假">
      <formula>NOT(ISERROR(SEARCH("病假",S19)))</formula>
    </cfRule>
    <cfRule type="containsText" dxfId="2433" priority="3127" stopIfTrue="1" operator="containsText" text="大假">
      <formula>NOT(ISERROR(SEARCH("大假",S19)))</formula>
    </cfRule>
    <cfRule type="containsText" dxfId="2432" priority="3128" stopIfTrue="1" operator="containsText" text="無薪">
      <formula>NOT(ISERROR(SEARCH("無薪",S19)))</formula>
    </cfRule>
    <cfRule type="cellIs" dxfId="2431" priority="3129" operator="equal">
      <formula>"NC"</formula>
    </cfRule>
    <cfRule type="cellIs" dxfId="2430" priority="3130" operator="equal">
      <formula>"nd"</formula>
    </cfRule>
    <cfRule type="cellIs" dxfId="2429" priority="3131" operator="equal">
      <formula>0</formula>
    </cfRule>
    <cfRule type="cellIs" dxfId="2428" priority="3132" operator="equal">
      <formula>"R"</formula>
    </cfRule>
    <cfRule type="cellIs" dxfId="2427" priority="3133" operator="equal">
      <formula>"NH12"</formula>
    </cfRule>
    <cfRule type="cellIs" dxfId="2426" priority="3134" operator="equal">
      <formula>"Nh11"</formula>
    </cfRule>
    <cfRule type="containsText" dxfId="2425" priority="3135" stopIfTrue="1" operator="containsText" text="TIL">
      <formula>NOT(ISERROR(SEARCH("TIL",S19)))</formula>
    </cfRule>
    <cfRule type="containsText" dxfId="2424" priority="3137" stopIfTrue="1" operator="containsText" text="疫苗">
      <formula>NOT(ISERROR(SEARCH("疫苗",S19)))</formula>
    </cfRule>
    <cfRule type="containsText" dxfId="2423" priority="3138" stopIfTrue="1" operator="containsText" text="勞假">
      <formula>NOT(ISERROR(SEARCH("勞假",S19)))</formula>
    </cfRule>
    <cfRule type="containsText" dxfId="2422" priority="3139" stopIfTrue="1" operator="containsText" text="補假">
      <formula>NOT(ISERROR(SEARCH("補假",S19)))</formula>
    </cfRule>
    <cfRule type="containsText" dxfId="2421" priority="3140" stopIfTrue="1" operator="containsText" text="例假">
      <formula>NOT(ISERROR(SEARCH("例假",S19)))</formula>
    </cfRule>
    <cfRule type="containsText" dxfId="2420" priority="3141" stopIfTrue="1" operator="containsText" text="病假">
      <formula>NOT(ISERROR(SEARCH("病假",S19)))</formula>
    </cfRule>
    <cfRule type="containsText" dxfId="2419" priority="3142" stopIfTrue="1" operator="containsText" text="大假">
      <formula>NOT(ISERROR(SEARCH("大假",S19)))</formula>
    </cfRule>
    <cfRule type="containsText" dxfId="2418" priority="3143" stopIfTrue="1" operator="containsText" text="無薪">
      <formula>NOT(ISERROR(SEARCH("無薪",S19)))</formula>
    </cfRule>
    <cfRule type="containsText" dxfId="2417" priority="3144" stopIfTrue="1" operator="containsText" text="TIL">
      <formula>NOT(ISERROR(SEARCH("TIL",S19)))</formula>
    </cfRule>
    <cfRule type="containsText" dxfId="2416" priority="3145" stopIfTrue="1" operator="containsText" text="疫苗">
      <formula>NOT(ISERROR(SEARCH("疫苗",S19)))</formula>
    </cfRule>
    <cfRule type="containsText" dxfId="2415" priority="3146" stopIfTrue="1" operator="containsText" text="勞假">
      <formula>NOT(ISERROR(SEARCH("勞假",S19)))</formula>
    </cfRule>
    <cfRule type="containsText" dxfId="2414" priority="3147" stopIfTrue="1" operator="containsText" text="補假">
      <formula>NOT(ISERROR(SEARCH("補假",S19)))</formula>
    </cfRule>
    <cfRule type="containsText" dxfId="2413" priority="3148" stopIfTrue="1" operator="containsText" text="例假">
      <formula>NOT(ISERROR(SEARCH("例假",S19)))</formula>
    </cfRule>
    <cfRule type="containsText" dxfId="2412" priority="3149" stopIfTrue="1" operator="containsText" text="病假">
      <formula>NOT(ISERROR(SEARCH("病假",S19)))</formula>
    </cfRule>
    <cfRule type="containsText" dxfId="2411" priority="3150" stopIfTrue="1" operator="containsText" text="大假">
      <formula>NOT(ISERROR(SEARCH("大假",S19)))</formula>
    </cfRule>
    <cfRule type="containsText" dxfId="2410" priority="3151" stopIfTrue="1" operator="containsText" text="無薪">
      <formula>NOT(ISERROR(SEARCH("無薪",S19)))</formula>
    </cfRule>
    <cfRule type="containsText" dxfId="2409" priority="3152" stopIfTrue="1" operator="containsText" text="疫苗">
      <formula>NOT(ISERROR(SEARCH("疫苗",S19)))</formula>
    </cfRule>
    <cfRule type="containsText" dxfId="2408" priority="3153" stopIfTrue="1" operator="containsText" text="勞假">
      <formula>NOT(ISERROR(SEARCH("勞假",S19)))</formula>
    </cfRule>
    <cfRule type="containsText" dxfId="2407" priority="3154" stopIfTrue="1" operator="containsText" text="補假">
      <formula>NOT(ISERROR(SEARCH("補假",S19)))</formula>
    </cfRule>
    <cfRule type="containsText" dxfId="2406" priority="3155" stopIfTrue="1" operator="containsText" text="例假">
      <formula>NOT(ISERROR(SEARCH("例假",S19)))</formula>
    </cfRule>
    <cfRule type="containsText" dxfId="2405" priority="3156" stopIfTrue="1" operator="containsText" text="病假">
      <formula>NOT(ISERROR(SEARCH("病假",S19)))</formula>
    </cfRule>
    <cfRule type="containsText" dxfId="2404" priority="3157" stopIfTrue="1" operator="containsText" text="大假">
      <formula>NOT(ISERROR(SEARCH("大假",S19)))</formula>
    </cfRule>
    <cfRule type="containsText" dxfId="2403" priority="3389" stopIfTrue="1" operator="containsText" text="無薪">
      <formula>NOT(ISERROR(SEARCH("無薪",S19)))</formula>
    </cfRule>
    <cfRule type="containsText" dxfId="2402" priority="3390" stopIfTrue="1" operator="containsText" text="TIL">
      <formula>NOT(ISERROR(SEARCH("TIL",S19)))</formula>
    </cfRule>
    <cfRule type="containsText" dxfId="2401" priority="3391" stopIfTrue="1" operator="containsText" text="疫苗">
      <formula>NOT(ISERROR(SEARCH("疫苗",S19)))</formula>
    </cfRule>
    <cfRule type="containsText" dxfId="2400" priority="3392" stopIfTrue="1" operator="containsText" text="勞假">
      <formula>NOT(ISERROR(SEARCH("勞假",S19)))</formula>
    </cfRule>
    <cfRule type="containsText" dxfId="2399" priority="3393" stopIfTrue="1" operator="containsText" text="補假">
      <formula>NOT(ISERROR(SEARCH("補假",S19)))</formula>
    </cfRule>
    <cfRule type="containsText" dxfId="2398" priority="3394" stopIfTrue="1" operator="containsText" text="例假">
      <formula>NOT(ISERROR(SEARCH("例假",S19)))</formula>
    </cfRule>
    <cfRule type="containsText" dxfId="2397" priority="3395" stopIfTrue="1" operator="containsText" text="病假">
      <formula>NOT(ISERROR(SEARCH("病假",S19)))</formula>
    </cfRule>
    <cfRule type="containsText" dxfId="2396" priority="3396" stopIfTrue="1" operator="containsText" text="大假">
      <formula>NOT(ISERROR(SEARCH("大假",S19)))</formula>
    </cfRule>
    <cfRule type="containsText" dxfId="2395" priority="3397" stopIfTrue="1" operator="containsText" text="無薪">
      <formula>NOT(ISERROR(SEARCH("無薪",S19)))</formula>
    </cfRule>
    <cfRule type="containsText" dxfId="2394" priority="3398" stopIfTrue="1" operator="containsText" text="TIL">
      <formula>NOT(ISERROR(SEARCH("TIL",S19)))</formula>
    </cfRule>
    <cfRule type="containsText" dxfId="2393" priority="3399" stopIfTrue="1" operator="containsText" text="疫苗">
      <formula>NOT(ISERROR(SEARCH("疫苗",S19)))</formula>
    </cfRule>
    <cfRule type="containsText" dxfId="2392" priority="3400" stopIfTrue="1" operator="containsText" text="勞假">
      <formula>NOT(ISERROR(SEARCH("勞假",S19)))</formula>
    </cfRule>
    <cfRule type="containsText" dxfId="2391" priority="3401" stopIfTrue="1" operator="containsText" text="補假">
      <formula>NOT(ISERROR(SEARCH("補假",S19)))</formula>
    </cfRule>
    <cfRule type="containsText" dxfId="2390" priority="3402" stopIfTrue="1" operator="containsText" text="例假">
      <formula>NOT(ISERROR(SEARCH("例假",S19)))</formula>
    </cfRule>
    <cfRule type="containsText" dxfId="2389" priority="3403" stopIfTrue="1" operator="containsText" text="病假">
      <formula>NOT(ISERROR(SEARCH("病假",S19)))</formula>
    </cfRule>
    <cfRule type="containsText" dxfId="2388" priority="3404" stopIfTrue="1" operator="containsText" text="大假">
      <formula>NOT(ISERROR(SEARCH("大假",S19)))</formula>
    </cfRule>
    <cfRule type="containsText" dxfId="2387" priority="3405" stopIfTrue="1" operator="containsText" text="TIL">
      <formula>NOT(ISERROR(SEARCH("TIL",S19)))</formula>
    </cfRule>
    <cfRule type="cellIs" dxfId="2386" priority="3406" stopIfTrue="1" operator="equal">
      <formula>"NP"</formula>
    </cfRule>
    <cfRule type="cellIs" dxfId="2385" priority="3407" stopIfTrue="1" operator="equal">
      <formula>"RD"</formula>
    </cfRule>
    <cfRule type="containsText" dxfId="2384" priority="3408" stopIfTrue="1" operator="containsText" text="TIL">
      <formula>NOT(ISERROR(SEARCH("TIL",S19)))</formula>
    </cfRule>
    <cfRule type="containsText" dxfId="2383" priority="3409" stopIfTrue="1" operator="containsText" text="疫苗">
      <formula>NOT(ISERROR(SEARCH("疫苗",S19)))</formula>
    </cfRule>
    <cfRule type="containsText" dxfId="2382" priority="3410" stopIfTrue="1" operator="containsText" text="勞假">
      <formula>NOT(ISERROR(SEARCH("勞假",S19)))</formula>
    </cfRule>
    <cfRule type="containsText" dxfId="2381" priority="3411" stopIfTrue="1" operator="containsText" text="補假">
      <formula>NOT(ISERROR(SEARCH("補假",S19)))</formula>
    </cfRule>
    <cfRule type="containsText" dxfId="2380" priority="3412" stopIfTrue="1" operator="containsText" text="例假">
      <formula>NOT(ISERROR(SEARCH("例假",S19)))</formula>
    </cfRule>
    <cfRule type="containsText" dxfId="2379" priority="3413" stopIfTrue="1" operator="containsText" text="病假">
      <formula>NOT(ISERROR(SEARCH("病假",S19)))</formula>
    </cfRule>
    <cfRule type="containsText" dxfId="2378" priority="3414" stopIfTrue="1" operator="containsText" text="大假">
      <formula>NOT(ISERROR(SEARCH("大假",S19)))</formula>
    </cfRule>
    <cfRule type="containsText" dxfId="2377" priority="3415" stopIfTrue="1" operator="containsText" text="TIL">
      <formula>NOT(ISERROR(SEARCH("TIL",S19)))</formula>
    </cfRule>
    <cfRule type="containsText" dxfId="2376" priority="3416" stopIfTrue="1" operator="containsText" text="疫苗">
      <formula>NOT(ISERROR(SEARCH("疫苗",S19)))</formula>
    </cfRule>
    <cfRule type="containsText" dxfId="2375" priority="3417" stopIfTrue="1" operator="containsText" text="勞假">
      <formula>NOT(ISERROR(SEARCH("勞假",S19)))</formula>
    </cfRule>
    <cfRule type="containsText" dxfId="2374" priority="3418" stopIfTrue="1" operator="containsText" text="補假">
      <formula>NOT(ISERROR(SEARCH("補假",S19)))</formula>
    </cfRule>
    <cfRule type="containsText" dxfId="2373" priority="3419" stopIfTrue="1" operator="containsText" text="例假">
      <formula>NOT(ISERROR(SEARCH("例假",S19)))</formula>
    </cfRule>
    <cfRule type="containsText" dxfId="2372" priority="3420" stopIfTrue="1" operator="containsText" text="病假">
      <formula>NOT(ISERROR(SEARCH("病假",S19)))</formula>
    </cfRule>
    <cfRule type="containsText" dxfId="2371" priority="3421" stopIfTrue="1" operator="containsText" text="大假">
      <formula>NOT(ISERROR(SEARCH("大假",S19)))</formula>
    </cfRule>
    <cfRule type="containsText" dxfId="2370" priority="3422" stopIfTrue="1" operator="containsText" text="無薪">
      <formula>NOT(ISERROR(SEARCH("無薪",S19)))</formula>
    </cfRule>
    <cfRule type="containsText" dxfId="2369" priority="3423" stopIfTrue="1" operator="containsText" text="疫苗">
      <formula>NOT(ISERROR(SEARCH("疫苗",S19)))</formula>
    </cfRule>
    <cfRule type="containsText" dxfId="2368" priority="3424" stopIfTrue="1" operator="containsText" text="勞假">
      <formula>NOT(ISERROR(SEARCH("勞假",S19)))</formula>
    </cfRule>
    <cfRule type="containsText" dxfId="2367" priority="3425" stopIfTrue="1" operator="containsText" text="補假">
      <formula>NOT(ISERROR(SEARCH("補假",S19)))</formula>
    </cfRule>
    <cfRule type="containsText" dxfId="2366" priority="3426" stopIfTrue="1" operator="containsText" text="例假">
      <formula>NOT(ISERROR(SEARCH("例假",S19)))</formula>
    </cfRule>
    <cfRule type="containsText" dxfId="2365" priority="3427" stopIfTrue="1" operator="containsText" text="病假">
      <formula>NOT(ISERROR(SEARCH("病假",S19)))</formula>
    </cfRule>
    <cfRule type="containsText" dxfId="2364" priority="3428" stopIfTrue="1" operator="containsText" text="大假">
      <formula>NOT(ISERROR(SEARCH("大假",S19)))</formula>
    </cfRule>
    <cfRule type="containsText" dxfId="2363" priority="3429" stopIfTrue="1" operator="containsText" text="無薪">
      <formula>NOT(ISERROR(SEARCH("無薪",S19)))</formula>
    </cfRule>
    <cfRule type="containsText" dxfId="2362" priority="3430" stopIfTrue="1" operator="containsText" text="TIL">
      <formula>NOT(ISERROR(SEARCH("TIL",S19)))</formula>
    </cfRule>
    <cfRule type="containsText" dxfId="2361" priority="3431" stopIfTrue="1" operator="containsText" text="疫苗">
      <formula>NOT(ISERROR(SEARCH("疫苗",S19)))</formula>
    </cfRule>
    <cfRule type="containsText" dxfId="2360" priority="3432" stopIfTrue="1" operator="containsText" text="勞假">
      <formula>NOT(ISERROR(SEARCH("勞假",S19)))</formula>
    </cfRule>
    <cfRule type="containsText" dxfId="2359" priority="3433" stopIfTrue="1" operator="containsText" text="補假">
      <formula>NOT(ISERROR(SEARCH("補假",S19)))</formula>
    </cfRule>
    <cfRule type="containsText" dxfId="2358" priority="3434" stopIfTrue="1" operator="containsText" text="例假">
      <formula>NOT(ISERROR(SEARCH("例假",S19)))</formula>
    </cfRule>
    <cfRule type="containsText" dxfId="2357" priority="3435" stopIfTrue="1" operator="containsText" text="病假">
      <formula>NOT(ISERROR(SEARCH("病假",S19)))</formula>
    </cfRule>
    <cfRule type="containsText" dxfId="2356" priority="3436" stopIfTrue="1" operator="containsText" text="大假">
      <formula>NOT(ISERROR(SEARCH("大假",S19)))</formula>
    </cfRule>
    <cfRule type="containsText" dxfId="2355" priority="3437" stopIfTrue="1" operator="containsText" text="無薪">
      <formula>NOT(ISERROR(SEARCH("無薪",S19)))</formula>
    </cfRule>
    <cfRule type="containsText" dxfId="2354" priority="3438" stopIfTrue="1" operator="containsText" text="TIL">
      <formula>NOT(ISERROR(SEARCH("TIL",S19)))</formula>
    </cfRule>
    <cfRule type="containsText" dxfId="2353" priority="3439" stopIfTrue="1" operator="containsText" text="疫苗">
      <formula>NOT(ISERROR(SEARCH("疫苗",S19)))</formula>
    </cfRule>
    <cfRule type="containsText" dxfId="2352" priority="3440" stopIfTrue="1" operator="containsText" text="勞假">
      <formula>NOT(ISERROR(SEARCH("勞假",S19)))</formula>
    </cfRule>
    <cfRule type="containsText" dxfId="2351" priority="3441" stopIfTrue="1" operator="containsText" text="補假">
      <formula>NOT(ISERROR(SEARCH("補假",S19)))</formula>
    </cfRule>
    <cfRule type="containsText" dxfId="2350" priority="3442" stopIfTrue="1" operator="containsText" text="例假">
      <formula>NOT(ISERROR(SEARCH("例假",S19)))</formula>
    </cfRule>
    <cfRule type="containsText" dxfId="2349" priority="3443" stopIfTrue="1" operator="containsText" text="病假">
      <formula>NOT(ISERROR(SEARCH("病假",S19)))</formula>
    </cfRule>
    <cfRule type="containsText" dxfId="2348" priority="3444" stopIfTrue="1" operator="containsText" text="大假">
      <formula>NOT(ISERROR(SEARCH("大假",S19)))</formula>
    </cfRule>
    <cfRule type="containsText" dxfId="2347" priority="3445" stopIfTrue="1" operator="containsText" text="無薪">
      <formula>NOT(ISERROR(SEARCH("無薪",S19)))</formula>
    </cfRule>
    <cfRule type="cellIs" dxfId="2346" priority="3446" operator="equal">
      <formula>"NC"</formula>
    </cfRule>
    <cfRule type="cellIs" dxfId="2345" priority="3447" operator="equal">
      <formula>"nd"</formula>
    </cfRule>
    <cfRule type="cellIs" dxfId="2344" priority="3448" operator="equal">
      <formula>0</formula>
    </cfRule>
    <cfRule type="cellIs" dxfId="2343" priority="3449" operator="equal">
      <formula>"R"</formula>
    </cfRule>
    <cfRule type="cellIs" dxfId="2342" priority="3450" operator="equal">
      <formula>"NH12"</formula>
    </cfRule>
    <cfRule type="cellIs" dxfId="2341" priority="3451" operator="equal">
      <formula>"Nh11"</formula>
    </cfRule>
    <cfRule type="containsText" dxfId="2340" priority="3452" stopIfTrue="1" operator="containsText" text="TIL">
      <formula>NOT(ISERROR(SEARCH("TIL",S19)))</formula>
    </cfRule>
    <cfRule type="containsText" dxfId="2339" priority="3453" stopIfTrue="1" operator="containsText" text="疫苗">
      <formula>NOT(ISERROR(SEARCH("疫苗",S19)))</formula>
    </cfRule>
    <cfRule type="containsText" dxfId="2338" priority="3454" stopIfTrue="1" operator="containsText" text="勞假">
      <formula>NOT(ISERROR(SEARCH("勞假",S19)))</formula>
    </cfRule>
    <cfRule type="containsText" dxfId="2337" priority="3455" stopIfTrue="1" operator="containsText" text="補假">
      <formula>NOT(ISERROR(SEARCH("補假",S19)))</formula>
    </cfRule>
    <cfRule type="containsText" dxfId="2336" priority="3456" stopIfTrue="1" operator="containsText" text="例假">
      <formula>NOT(ISERROR(SEARCH("例假",S19)))</formula>
    </cfRule>
    <cfRule type="containsText" dxfId="2335" priority="3457" stopIfTrue="1" operator="containsText" text="病假">
      <formula>NOT(ISERROR(SEARCH("病假",S19)))</formula>
    </cfRule>
    <cfRule type="containsText" dxfId="2334" priority="3458" stopIfTrue="1" operator="containsText" text="大假">
      <formula>NOT(ISERROR(SEARCH("大假",S19)))</formula>
    </cfRule>
    <cfRule type="containsText" dxfId="2333" priority="3459" stopIfTrue="1" operator="containsText" text="無薪">
      <formula>NOT(ISERROR(SEARCH("無薪",S19)))</formula>
    </cfRule>
    <cfRule type="containsText" dxfId="2332" priority="3460" stopIfTrue="1" operator="containsText" text="TIL">
      <formula>NOT(ISERROR(SEARCH("TIL",S19)))</formula>
    </cfRule>
    <cfRule type="containsText" dxfId="2331" priority="3461" stopIfTrue="1" operator="containsText" text="疫苗">
      <formula>NOT(ISERROR(SEARCH("疫苗",S19)))</formula>
    </cfRule>
    <cfRule type="containsText" dxfId="2330" priority="3462" stopIfTrue="1" operator="containsText" text="勞假">
      <formula>NOT(ISERROR(SEARCH("勞假",S19)))</formula>
    </cfRule>
    <cfRule type="containsText" dxfId="2329" priority="3463" stopIfTrue="1" operator="containsText" text="補假">
      <formula>NOT(ISERROR(SEARCH("補假",S19)))</formula>
    </cfRule>
    <cfRule type="containsText" dxfId="2328" priority="3464" stopIfTrue="1" operator="containsText" text="例假">
      <formula>NOT(ISERROR(SEARCH("例假",S19)))</formula>
    </cfRule>
    <cfRule type="containsText" dxfId="2327" priority="3465" stopIfTrue="1" operator="containsText" text="病假">
      <formula>NOT(ISERROR(SEARCH("病假",S19)))</formula>
    </cfRule>
    <cfRule type="containsText" dxfId="2326" priority="3466" stopIfTrue="1" operator="containsText" text="大假">
      <formula>NOT(ISERROR(SEARCH("大假",S19)))</formula>
    </cfRule>
    <cfRule type="containsText" dxfId="2325" priority="3467" stopIfTrue="1" operator="containsText" text="無薪">
      <formula>NOT(ISERROR(SEARCH("無薪",S19)))</formula>
    </cfRule>
    <cfRule type="containsText" dxfId="2324" priority="3468" stopIfTrue="1" operator="containsText" text="疫苗">
      <formula>NOT(ISERROR(SEARCH("疫苗",S19)))</formula>
    </cfRule>
    <cfRule type="containsText" dxfId="2323" priority="3469" stopIfTrue="1" operator="containsText" text="勞假">
      <formula>NOT(ISERROR(SEARCH("勞假",S19)))</formula>
    </cfRule>
    <cfRule type="containsText" dxfId="2322" priority="3470" stopIfTrue="1" operator="containsText" text="補假">
      <formula>NOT(ISERROR(SEARCH("補假",S19)))</formula>
    </cfRule>
    <cfRule type="containsText" dxfId="2321" priority="3471" stopIfTrue="1" operator="containsText" text="例假">
      <formula>NOT(ISERROR(SEARCH("例假",S19)))</formula>
    </cfRule>
    <cfRule type="containsText" dxfId="2320" priority="3472" stopIfTrue="1" operator="containsText" text="病假">
      <formula>NOT(ISERROR(SEARCH("病假",S19)))</formula>
    </cfRule>
    <cfRule type="containsText" dxfId="2319" priority="3473" stopIfTrue="1" operator="containsText" text="大假">
      <formula>NOT(ISERROR(SEARCH("大假",S19)))</formula>
    </cfRule>
  </conditionalFormatting>
  <conditionalFormatting sqref="S41:AE41">
    <cfRule type="containsText" dxfId="2318" priority="2644" operator="containsText" text="RD">
      <formula>NOT(ISERROR(SEARCH("RD",S41)))</formula>
    </cfRule>
    <cfRule type="containsText" dxfId="2317" priority="2645" operator="containsText" text="NP">
      <formula>NOT(ISERROR(SEARCH("NP",S41)))</formula>
    </cfRule>
  </conditionalFormatting>
  <conditionalFormatting sqref="S42:AE42">
    <cfRule type="containsText" dxfId="2316" priority="1921" stopIfTrue="1" operator="containsText" text="無薪">
      <formula>NOT(ISERROR(SEARCH("無薪",S42)))</formula>
    </cfRule>
    <cfRule type="containsText" dxfId="2315" priority="1922" stopIfTrue="1" operator="containsText" text="TIL">
      <formula>NOT(ISERROR(SEARCH("TIL",S42)))</formula>
    </cfRule>
    <cfRule type="containsText" dxfId="2314" priority="1923" stopIfTrue="1" operator="containsText" text="疫苗">
      <formula>NOT(ISERROR(SEARCH("疫苗",S42)))</formula>
    </cfRule>
    <cfRule type="containsText" dxfId="2313" priority="1924" stopIfTrue="1" operator="containsText" text="勞假">
      <formula>NOT(ISERROR(SEARCH("勞假",S42)))</formula>
    </cfRule>
    <cfRule type="containsText" dxfId="2312" priority="1925" stopIfTrue="1" operator="containsText" text="補假">
      <formula>NOT(ISERROR(SEARCH("補假",S42)))</formula>
    </cfRule>
    <cfRule type="containsText" dxfId="2311" priority="1926" stopIfTrue="1" operator="containsText" text="例假">
      <formula>NOT(ISERROR(SEARCH("例假",S42)))</formula>
    </cfRule>
    <cfRule type="containsText" dxfId="2310" priority="1927" stopIfTrue="1" operator="containsText" text="病假">
      <formula>NOT(ISERROR(SEARCH("病假",S42)))</formula>
    </cfRule>
    <cfRule type="containsText" dxfId="2309" priority="1928" stopIfTrue="1" operator="containsText" text="大假">
      <formula>NOT(ISERROR(SEARCH("大假",S42)))</formula>
    </cfRule>
    <cfRule type="containsText" dxfId="2308" priority="1929" stopIfTrue="1" operator="containsText" text="無薪">
      <formula>NOT(ISERROR(SEARCH("無薪",S42)))</formula>
    </cfRule>
    <cfRule type="containsText" dxfId="2307" priority="1930" stopIfTrue="1" operator="containsText" text="TIL">
      <formula>NOT(ISERROR(SEARCH("TIL",S42)))</formula>
    </cfRule>
    <cfRule type="containsText" dxfId="2306" priority="1931" stopIfTrue="1" operator="containsText" text="疫苗">
      <formula>NOT(ISERROR(SEARCH("疫苗",S42)))</formula>
    </cfRule>
    <cfRule type="containsText" dxfId="2305" priority="1932" stopIfTrue="1" operator="containsText" text="勞假">
      <formula>NOT(ISERROR(SEARCH("勞假",S42)))</formula>
    </cfRule>
    <cfRule type="containsText" dxfId="2304" priority="1933" stopIfTrue="1" operator="containsText" text="補假">
      <formula>NOT(ISERROR(SEARCH("補假",S42)))</formula>
    </cfRule>
    <cfRule type="containsText" dxfId="2303" priority="1934" stopIfTrue="1" operator="containsText" text="例假">
      <formula>NOT(ISERROR(SEARCH("例假",S42)))</formula>
    </cfRule>
    <cfRule type="containsText" dxfId="2302" priority="1935" stopIfTrue="1" operator="containsText" text="病假">
      <formula>NOT(ISERROR(SEARCH("病假",S42)))</formula>
    </cfRule>
    <cfRule type="containsText" dxfId="2301" priority="1936" stopIfTrue="1" operator="containsText" text="大假">
      <formula>NOT(ISERROR(SEARCH("大假",S42)))</formula>
    </cfRule>
    <cfRule type="containsText" dxfId="2300" priority="1937" stopIfTrue="1" operator="containsText" text="TIL">
      <formula>NOT(ISERROR(SEARCH("TIL",S42)))</formula>
    </cfRule>
    <cfRule type="cellIs" dxfId="2299" priority="1938" stopIfTrue="1" operator="equal">
      <formula>"NP"</formula>
    </cfRule>
    <cfRule type="cellIs" dxfId="2298" priority="1939" stopIfTrue="1" operator="equal">
      <formula>"RD"</formula>
    </cfRule>
    <cfRule type="containsText" dxfId="2297" priority="1940" stopIfTrue="1" operator="containsText" text="TIL">
      <formula>NOT(ISERROR(SEARCH("TIL",S42)))</formula>
    </cfRule>
    <cfRule type="containsText" dxfId="2296" priority="1941" stopIfTrue="1" operator="containsText" text="疫苗">
      <formula>NOT(ISERROR(SEARCH("疫苗",S42)))</formula>
    </cfRule>
    <cfRule type="containsText" dxfId="2295" priority="1942" stopIfTrue="1" operator="containsText" text="勞假">
      <formula>NOT(ISERROR(SEARCH("勞假",S42)))</formula>
    </cfRule>
    <cfRule type="containsText" dxfId="2294" priority="1943" stopIfTrue="1" operator="containsText" text="補假">
      <formula>NOT(ISERROR(SEARCH("補假",S42)))</formula>
    </cfRule>
    <cfRule type="containsText" dxfId="2293" priority="1944" stopIfTrue="1" operator="containsText" text="例假">
      <formula>NOT(ISERROR(SEARCH("例假",S42)))</formula>
    </cfRule>
    <cfRule type="containsText" dxfId="2292" priority="1945" stopIfTrue="1" operator="containsText" text="病假">
      <formula>NOT(ISERROR(SEARCH("病假",S42)))</formula>
    </cfRule>
    <cfRule type="containsText" dxfId="2291" priority="1946" stopIfTrue="1" operator="containsText" text="大假">
      <formula>NOT(ISERROR(SEARCH("大假",S42)))</formula>
    </cfRule>
    <cfRule type="containsText" dxfId="2290" priority="1947" stopIfTrue="1" operator="containsText" text="TIL">
      <formula>NOT(ISERROR(SEARCH("TIL",S42)))</formula>
    </cfRule>
    <cfRule type="containsText" dxfId="2289" priority="1948" stopIfTrue="1" operator="containsText" text="疫苗">
      <formula>NOT(ISERROR(SEARCH("疫苗",S42)))</formula>
    </cfRule>
    <cfRule type="containsText" dxfId="2288" priority="1949" stopIfTrue="1" operator="containsText" text="勞假">
      <formula>NOT(ISERROR(SEARCH("勞假",S42)))</formula>
    </cfRule>
    <cfRule type="containsText" dxfId="2287" priority="1950" stopIfTrue="1" operator="containsText" text="補假">
      <formula>NOT(ISERROR(SEARCH("補假",S42)))</formula>
    </cfRule>
    <cfRule type="containsText" dxfId="2286" priority="1951" stopIfTrue="1" operator="containsText" text="例假">
      <formula>NOT(ISERROR(SEARCH("例假",S42)))</formula>
    </cfRule>
    <cfRule type="containsText" dxfId="2285" priority="1952" stopIfTrue="1" operator="containsText" text="病假">
      <formula>NOT(ISERROR(SEARCH("病假",S42)))</formula>
    </cfRule>
    <cfRule type="containsText" dxfId="2284" priority="1953" stopIfTrue="1" operator="containsText" text="大假">
      <formula>NOT(ISERROR(SEARCH("大假",S42)))</formula>
    </cfRule>
    <cfRule type="containsText" dxfId="2283" priority="1954" stopIfTrue="1" operator="containsText" text="無薪">
      <formula>NOT(ISERROR(SEARCH("無薪",S42)))</formula>
    </cfRule>
    <cfRule type="containsText" dxfId="2282" priority="1955" stopIfTrue="1" operator="containsText" text="疫苗">
      <formula>NOT(ISERROR(SEARCH("疫苗",S42)))</formula>
    </cfRule>
    <cfRule type="containsText" dxfId="2281" priority="1956" stopIfTrue="1" operator="containsText" text="勞假">
      <formula>NOT(ISERROR(SEARCH("勞假",S42)))</formula>
    </cfRule>
    <cfRule type="containsText" dxfId="2280" priority="1957" stopIfTrue="1" operator="containsText" text="補假">
      <formula>NOT(ISERROR(SEARCH("補假",S42)))</formula>
    </cfRule>
    <cfRule type="containsText" dxfId="2279" priority="1958" stopIfTrue="1" operator="containsText" text="例假">
      <formula>NOT(ISERROR(SEARCH("例假",S42)))</formula>
    </cfRule>
    <cfRule type="containsText" dxfId="2278" priority="1959" stopIfTrue="1" operator="containsText" text="病假">
      <formula>NOT(ISERROR(SEARCH("病假",S42)))</formula>
    </cfRule>
    <cfRule type="containsText" dxfId="2277" priority="1960" stopIfTrue="1" operator="containsText" text="大假">
      <formula>NOT(ISERROR(SEARCH("大假",S42)))</formula>
    </cfRule>
    <cfRule type="containsText" dxfId="2276" priority="1961" stopIfTrue="1" operator="containsText" text="無薪">
      <formula>NOT(ISERROR(SEARCH("無薪",S42)))</formula>
    </cfRule>
    <cfRule type="containsText" dxfId="2275" priority="1962" stopIfTrue="1" operator="containsText" text="TIL">
      <formula>NOT(ISERROR(SEARCH("TIL",S42)))</formula>
    </cfRule>
    <cfRule type="containsText" dxfId="2274" priority="1963" stopIfTrue="1" operator="containsText" text="疫苗">
      <formula>NOT(ISERROR(SEARCH("疫苗",S42)))</formula>
    </cfRule>
    <cfRule type="containsText" dxfId="2273" priority="1964" stopIfTrue="1" operator="containsText" text="勞假">
      <formula>NOT(ISERROR(SEARCH("勞假",S42)))</formula>
    </cfRule>
    <cfRule type="containsText" dxfId="2272" priority="1965" stopIfTrue="1" operator="containsText" text="補假">
      <formula>NOT(ISERROR(SEARCH("補假",S42)))</formula>
    </cfRule>
    <cfRule type="containsText" dxfId="2271" priority="1966" stopIfTrue="1" operator="containsText" text="例假">
      <formula>NOT(ISERROR(SEARCH("例假",S42)))</formula>
    </cfRule>
    <cfRule type="containsText" dxfId="2270" priority="1967" stopIfTrue="1" operator="containsText" text="病假">
      <formula>NOT(ISERROR(SEARCH("病假",S42)))</formula>
    </cfRule>
    <cfRule type="containsText" dxfId="2269" priority="1968" stopIfTrue="1" operator="containsText" text="大假">
      <formula>NOT(ISERROR(SEARCH("大假",S42)))</formula>
    </cfRule>
    <cfRule type="containsText" dxfId="2268" priority="1969" stopIfTrue="1" operator="containsText" text="無薪">
      <formula>NOT(ISERROR(SEARCH("無薪",S42)))</formula>
    </cfRule>
    <cfRule type="containsText" dxfId="2267" priority="1970" stopIfTrue="1" operator="containsText" text="TIL">
      <formula>NOT(ISERROR(SEARCH("TIL",S42)))</formula>
    </cfRule>
    <cfRule type="containsText" dxfId="2266" priority="1971" stopIfTrue="1" operator="containsText" text="疫苗">
      <formula>NOT(ISERROR(SEARCH("疫苗",S42)))</formula>
    </cfRule>
    <cfRule type="containsText" dxfId="2265" priority="1972" stopIfTrue="1" operator="containsText" text="勞假">
      <formula>NOT(ISERROR(SEARCH("勞假",S42)))</formula>
    </cfRule>
    <cfRule type="containsText" dxfId="2264" priority="1973" stopIfTrue="1" operator="containsText" text="補假">
      <formula>NOT(ISERROR(SEARCH("補假",S42)))</formula>
    </cfRule>
    <cfRule type="containsText" dxfId="2263" priority="1974" stopIfTrue="1" operator="containsText" text="例假">
      <formula>NOT(ISERROR(SEARCH("例假",S42)))</formula>
    </cfRule>
    <cfRule type="containsText" dxfId="2262" priority="1975" stopIfTrue="1" operator="containsText" text="病假">
      <formula>NOT(ISERROR(SEARCH("病假",S42)))</formula>
    </cfRule>
    <cfRule type="containsText" dxfId="2261" priority="1976" stopIfTrue="1" operator="containsText" text="大假">
      <formula>NOT(ISERROR(SEARCH("大假",S42)))</formula>
    </cfRule>
    <cfRule type="containsText" dxfId="2260" priority="1977" stopIfTrue="1" operator="containsText" text="無薪">
      <formula>NOT(ISERROR(SEARCH("無薪",S42)))</formula>
    </cfRule>
    <cfRule type="cellIs" dxfId="2259" priority="1978" operator="equal">
      <formula>"NC"</formula>
    </cfRule>
    <cfRule type="cellIs" dxfId="2258" priority="1979" operator="equal">
      <formula>"nd"</formula>
    </cfRule>
    <cfRule type="cellIs" dxfId="2257" priority="1980" operator="equal">
      <formula>0</formula>
    </cfRule>
    <cfRule type="cellIs" dxfId="2256" priority="1981" operator="equal">
      <formula>"R"</formula>
    </cfRule>
    <cfRule type="cellIs" dxfId="2255" priority="1982" operator="equal">
      <formula>"NH12"</formula>
    </cfRule>
    <cfRule type="cellIs" dxfId="2254" priority="1983" operator="equal">
      <formula>"Nh11"</formula>
    </cfRule>
    <cfRule type="containsText" dxfId="2253" priority="1984" stopIfTrue="1" operator="containsText" text="TIL">
      <formula>NOT(ISERROR(SEARCH("TIL",S42)))</formula>
    </cfRule>
    <cfRule type="containsText" dxfId="2252" priority="1985" stopIfTrue="1" operator="containsText" text="疫苗">
      <formula>NOT(ISERROR(SEARCH("疫苗",S42)))</formula>
    </cfRule>
    <cfRule type="containsText" dxfId="2251" priority="1986" stopIfTrue="1" operator="containsText" text="勞假">
      <formula>NOT(ISERROR(SEARCH("勞假",S42)))</formula>
    </cfRule>
    <cfRule type="containsText" dxfId="2250" priority="1987" stopIfTrue="1" operator="containsText" text="補假">
      <formula>NOT(ISERROR(SEARCH("補假",S42)))</formula>
    </cfRule>
    <cfRule type="containsText" dxfId="2249" priority="1988" stopIfTrue="1" operator="containsText" text="例假">
      <formula>NOT(ISERROR(SEARCH("例假",S42)))</formula>
    </cfRule>
    <cfRule type="containsText" dxfId="2248" priority="1989" stopIfTrue="1" operator="containsText" text="病假">
      <formula>NOT(ISERROR(SEARCH("病假",S42)))</formula>
    </cfRule>
    <cfRule type="containsText" dxfId="2247" priority="1990" stopIfTrue="1" operator="containsText" text="大假">
      <formula>NOT(ISERROR(SEARCH("大假",S42)))</formula>
    </cfRule>
    <cfRule type="containsText" dxfId="2246" priority="1991" stopIfTrue="1" operator="containsText" text="無薪">
      <formula>NOT(ISERROR(SEARCH("無薪",S42)))</formula>
    </cfRule>
    <cfRule type="containsText" dxfId="2245" priority="1992" stopIfTrue="1" operator="containsText" text="TIL">
      <formula>NOT(ISERROR(SEARCH("TIL",S42)))</formula>
    </cfRule>
    <cfRule type="containsText" dxfId="2244" priority="1993" stopIfTrue="1" operator="containsText" text="疫苗">
      <formula>NOT(ISERROR(SEARCH("疫苗",S42)))</formula>
    </cfRule>
    <cfRule type="containsText" dxfId="2243" priority="1994" stopIfTrue="1" operator="containsText" text="勞假">
      <formula>NOT(ISERROR(SEARCH("勞假",S42)))</formula>
    </cfRule>
    <cfRule type="containsText" dxfId="2242" priority="1995" stopIfTrue="1" operator="containsText" text="補假">
      <formula>NOT(ISERROR(SEARCH("補假",S42)))</formula>
    </cfRule>
    <cfRule type="containsText" dxfId="2241" priority="1996" stopIfTrue="1" operator="containsText" text="例假">
      <formula>NOT(ISERROR(SEARCH("例假",S42)))</formula>
    </cfRule>
    <cfRule type="containsText" dxfId="2240" priority="1997" stopIfTrue="1" operator="containsText" text="病假">
      <formula>NOT(ISERROR(SEARCH("病假",S42)))</formula>
    </cfRule>
    <cfRule type="containsText" dxfId="2239" priority="1998" stopIfTrue="1" operator="containsText" text="大假">
      <formula>NOT(ISERROR(SEARCH("大假",S42)))</formula>
    </cfRule>
    <cfRule type="containsText" dxfId="2238" priority="1999" stopIfTrue="1" operator="containsText" text="無薪">
      <formula>NOT(ISERROR(SEARCH("無薪",S42)))</formula>
    </cfRule>
    <cfRule type="containsText" dxfId="2237" priority="2000" stopIfTrue="1" operator="containsText" text="疫苗">
      <formula>NOT(ISERROR(SEARCH("疫苗",S42)))</formula>
    </cfRule>
    <cfRule type="containsText" dxfId="2236" priority="2001" stopIfTrue="1" operator="containsText" text="勞假">
      <formula>NOT(ISERROR(SEARCH("勞假",S42)))</formula>
    </cfRule>
    <cfRule type="containsText" dxfId="2235" priority="2002" stopIfTrue="1" operator="containsText" text="補假">
      <formula>NOT(ISERROR(SEARCH("補假",S42)))</formula>
    </cfRule>
    <cfRule type="containsText" dxfId="2234" priority="2003" stopIfTrue="1" operator="containsText" text="例假">
      <formula>NOT(ISERROR(SEARCH("例假",S42)))</formula>
    </cfRule>
    <cfRule type="containsText" dxfId="2233" priority="2004" stopIfTrue="1" operator="containsText" text="病假">
      <formula>NOT(ISERROR(SEARCH("病假",S42)))</formula>
    </cfRule>
    <cfRule type="containsText" dxfId="2232" priority="2005" stopIfTrue="1" operator="containsText" text="大假">
      <formula>NOT(ISERROR(SEARCH("大假",S42)))</formula>
    </cfRule>
    <cfRule type="cellIs" dxfId="2231" priority="2006" operator="equal">
      <formula>"NSH"</formula>
    </cfRule>
    <cfRule type="containsText" dxfId="2230" priority="2010" operator="containsText" text="RD">
      <formula>NOT(ISERROR(SEARCH("RD",S42)))</formula>
    </cfRule>
    <cfRule type="containsText" dxfId="2229" priority="2011" operator="containsText" text="NP">
      <formula>NOT(ISERROR(SEARCH("NP",S42)))</formula>
    </cfRule>
  </conditionalFormatting>
  <conditionalFormatting sqref="S43:AE43 E43:Q43">
    <cfRule type="cellIs" dxfId="2228" priority="3250" operator="equal">
      <formula>"NSH"</formula>
    </cfRule>
  </conditionalFormatting>
  <conditionalFormatting sqref="S43:AE43">
    <cfRule type="containsText" dxfId="2227" priority="3158" stopIfTrue="1" operator="containsText" text="無薪">
      <formula>NOT(ISERROR(SEARCH("無薪",S43)))</formula>
    </cfRule>
    <cfRule type="containsText" dxfId="2226" priority="3159" stopIfTrue="1" operator="containsText" text="TIL">
      <formula>NOT(ISERROR(SEARCH("TIL",S43)))</formula>
    </cfRule>
    <cfRule type="containsText" dxfId="2225" priority="3160" stopIfTrue="1" operator="containsText" text="疫苗">
      <formula>NOT(ISERROR(SEARCH("疫苗",S43)))</formula>
    </cfRule>
    <cfRule type="containsText" dxfId="2224" priority="3161" stopIfTrue="1" operator="containsText" text="勞假">
      <formula>NOT(ISERROR(SEARCH("勞假",S43)))</formula>
    </cfRule>
    <cfRule type="containsText" dxfId="2223" priority="3162" stopIfTrue="1" operator="containsText" text="補假">
      <formula>NOT(ISERROR(SEARCH("補假",S43)))</formula>
    </cfRule>
    <cfRule type="containsText" dxfId="2222" priority="3163" stopIfTrue="1" operator="containsText" text="例假">
      <formula>NOT(ISERROR(SEARCH("例假",S43)))</formula>
    </cfRule>
    <cfRule type="containsText" dxfId="2221" priority="3164" stopIfTrue="1" operator="containsText" text="病假">
      <formula>NOT(ISERROR(SEARCH("病假",S43)))</formula>
    </cfRule>
    <cfRule type="containsText" dxfId="2220" priority="3165" stopIfTrue="1" operator="containsText" text="大假">
      <formula>NOT(ISERROR(SEARCH("大假",S43)))</formula>
    </cfRule>
    <cfRule type="containsText" dxfId="2219" priority="3166" stopIfTrue="1" operator="containsText" text="無薪">
      <formula>NOT(ISERROR(SEARCH("無薪",S43)))</formula>
    </cfRule>
    <cfRule type="containsText" dxfId="2218" priority="3167" stopIfTrue="1" operator="containsText" text="TIL">
      <formula>NOT(ISERROR(SEARCH("TIL",S43)))</formula>
    </cfRule>
    <cfRule type="containsText" dxfId="2217" priority="3168" stopIfTrue="1" operator="containsText" text="疫苗">
      <formula>NOT(ISERROR(SEARCH("疫苗",S43)))</formula>
    </cfRule>
    <cfRule type="containsText" dxfId="2216" priority="3169" stopIfTrue="1" operator="containsText" text="勞假">
      <formula>NOT(ISERROR(SEARCH("勞假",S43)))</formula>
    </cfRule>
    <cfRule type="containsText" dxfId="2215" priority="3170" stopIfTrue="1" operator="containsText" text="補假">
      <formula>NOT(ISERROR(SEARCH("補假",S43)))</formula>
    </cfRule>
    <cfRule type="containsText" dxfId="2214" priority="3171" stopIfTrue="1" operator="containsText" text="例假">
      <formula>NOT(ISERROR(SEARCH("例假",S43)))</formula>
    </cfRule>
    <cfRule type="containsText" dxfId="2213" priority="3172" stopIfTrue="1" operator="containsText" text="病假">
      <formula>NOT(ISERROR(SEARCH("病假",S43)))</formula>
    </cfRule>
    <cfRule type="containsText" dxfId="2212" priority="3173" stopIfTrue="1" operator="containsText" text="大假">
      <formula>NOT(ISERROR(SEARCH("大假",S43)))</formula>
    </cfRule>
    <cfRule type="containsText" dxfId="2211" priority="3174" stopIfTrue="1" operator="containsText" text="TIL">
      <formula>NOT(ISERROR(SEARCH("TIL",S43)))</formula>
    </cfRule>
    <cfRule type="cellIs" dxfId="2210" priority="3175" stopIfTrue="1" operator="equal">
      <formula>"NP"</formula>
    </cfRule>
    <cfRule type="cellIs" dxfId="2209" priority="3176" stopIfTrue="1" operator="equal">
      <formula>"RD"</formula>
    </cfRule>
    <cfRule type="containsText" dxfId="2208" priority="3177" stopIfTrue="1" operator="containsText" text="TIL">
      <formula>NOT(ISERROR(SEARCH("TIL",S43)))</formula>
    </cfRule>
    <cfRule type="containsText" dxfId="2207" priority="3178" stopIfTrue="1" operator="containsText" text="疫苗">
      <formula>NOT(ISERROR(SEARCH("疫苗",S43)))</formula>
    </cfRule>
    <cfRule type="containsText" dxfId="2206" priority="3179" stopIfTrue="1" operator="containsText" text="勞假">
      <formula>NOT(ISERROR(SEARCH("勞假",S43)))</formula>
    </cfRule>
    <cfRule type="containsText" dxfId="2205" priority="3180" stopIfTrue="1" operator="containsText" text="補假">
      <formula>NOT(ISERROR(SEARCH("補假",S43)))</formula>
    </cfRule>
    <cfRule type="containsText" dxfId="2204" priority="3181" stopIfTrue="1" operator="containsText" text="例假">
      <formula>NOT(ISERROR(SEARCH("例假",S43)))</formula>
    </cfRule>
    <cfRule type="containsText" dxfId="2203" priority="3182" stopIfTrue="1" operator="containsText" text="病假">
      <formula>NOT(ISERROR(SEARCH("病假",S43)))</formula>
    </cfRule>
    <cfRule type="containsText" dxfId="2202" priority="3183" stopIfTrue="1" operator="containsText" text="大假">
      <formula>NOT(ISERROR(SEARCH("大假",S43)))</formula>
    </cfRule>
    <cfRule type="containsText" dxfId="2201" priority="3184" stopIfTrue="1" operator="containsText" text="TIL">
      <formula>NOT(ISERROR(SEARCH("TIL",S43)))</formula>
    </cfRule>
    <cfRule type="containsText" dxfId="2200" priority="3185" stopIfTrue="1" operator="containsText" text="疫苗">
      <formula>NOT(ISERROR(SEARCH("疫苗",S43)))</formula>
    </cfRule>
    <cfRule type="containsText" dxfId="2199" priority="3186" stopIfTrue="1" operator="containsText" text="勞假">
      <formula>NOT(ISERROR(SEARCH("勞假",S43)))</formula>
    </cfRule>
    <cfRule type="containsText" dxfId="2198" priority="3187" stopIfTrue="1" operator="containsText" text="補假">
      <formula>NOT(ISERROR(SEARCH("補假",S43)))</formula>
    </cfRule>
    <cfRule type="containsText" dxfId="2197" priority="3188" stopIfTrue="1" operator="containsText" text="例假">
      <formula>NOT(ISERROR(SEARCH("例假",S43)))</formula>
    </cfRule>
    <cfRule type="containsText" dxfId="2196" priority="3189" stopIfTrue="1" operator="containsText" text="病假">
      <formula>NOT(ISERROR(SEARCH("病假",S43)))</formula>
    </cfRule>
    <cfRule type="containsText" dxfId="2195" priority="3190" stopIfTrue="1" operator="containsText" text="大假">
      <formula>NOT(ISERROR(SEARCH("大假",S43)))</formula>
    </cfRule>
    <cfRule type="containsText" dxfId="2194" priority="3191" stopIfTrue="1" operator="containsText" text="無薪">
      <formula>NOT(ISERROR(SEARCH("無薪",S43)))</formula>
    </cfRule>
    <cfRule type="containsText" dxfId="2193" priority="3192" stopIfTrue="1" operator="containsText" text="疫苗">
      <formula>NOT(ISERROR(SEARCH("疫苗",S43)))</formula>
    </cfRule>
    <cfRule type="containsText" dxfId="2192" priority="3193" stopIfTrue="1" operator="containsText" text="勞假">
      <formula>NOT(ISERROR(SEARCH("勞假",S43)))</formula>
    </cfRule>
    <cfRule type="containsText" dxfId="2191" priority="3194" stopIfTrue="1" operator="containsText" text="補假">
      <formula>NOT(ISERROR(SEARCH("補假",S43)))</formula>
    </cfRule>
    <cfRule type="containsText" dxfId="2190" priority="3195" stopIfTrue="1" operator="containsText" text="例假">
      <formula>NOT(ISERROR(SEARCH("例假",S43)))</formula>
    </cfRule>
    <cfRule type="containsText" dxfId="2189" priority="3196" stopIfTrue="1" operator="containsText" text="病假">
      <formula>NOT(ISERROR(SEARCH("病假",S43)))</formula>
    </cfRule>
    <cfRule type="containsText" dxfId="2188" priority="3197" stopIfTrue="1" operator="containsText" text="大假">
      <formula>NOT(ISERROR(SEARCH("大假",S43)))</formula>
    </cfRule>
    <cfRule type="containsText" dxfId="2187" priority="3198" stopIfTrue="1" operator="containsText" text="無薪">
      <formula>NOT(ISERROR(SEARCH("無薪",S43)))</formula>
    </cfRule>
    <cfRule type="containsText" dxfId="2186" priority="3199" stopIfTrue="1" operator="containsText" text="TIL">
      <formula>NOT(ISERROR(SEARCH("TIL",S43)))</formula>
    </cfRule>
    <cfRule type="containsText" dxfId="2185" priority="3200" stopIfTrue="1" operator="containsText" text="疫苗">
      <formula>NOT(ISERROR(SEARCH("疫苗",S43)))</formula>
    </cfRule>
    <cfRule type="containsText" dxfId="2184" priority="3201" stopIfTrue="1" operator="containsText" text="勞假">
      <formula>NOT(ISERROR(SEARCH("勞假",S43)))</formula>
    </cfRule>
    <cfRule type="containsText" dxfId="2183" priority="3202" stopIfTrue="1" operator="containsText" text="補假">
      <formula>NOT(ISERROR(SEARCH("補假",S43)))</formula>
    </cfRule>
    <cfRule type="containsText" dxfId="2182" priority="3203" stopIfTrue="1" operator="containsText" text="例假">
      <formula>NOT(ISERROR(SEARCH("例假",S43)))</formula>
    </cfRule>
    <cfRule type="containsText" dxfId="2181" priority="3204" stopIfTrue="1" operator="containsText" text="病假">
      <formula>NOT(ISERROR(SEARCH("病假",S43)))</formula>
    </cfRule>
    <cfRule type="containsText" dxfId="2180" priority="3205" stopIfTrue="1" operator="containsText" text="大假">
      <formula>NOT(ISERROR(SEARCH("大假",S43)))</formula>
    </cfRule>
    <cfRule type="containsText" dxfId="2179" priority="3206" stopIfTrue="1" operator="containsText" text="無薪">
      <formula>NOT(ISERROR(SEARCH("無薪",S43)))</formula>
    </cfRule>
    <cfRule type="containsText" dxfId="2178" priority="3207" stopIfTrue="1" operator="containsText" text="TIL">
      <formula>NOT(ISERROR(SEARCH("TIL",S43)))</formula>
    </cfRule>
    <cfRule type="containsText" dxfId="2177" priority="3208" stopIfTrue="1" operator="containsText" text="疫苗">
      <formula>NOT(ISERROR(SEARCH("疫苗",S43)))</formula>
    </cfRule>
    <cfRule type="containsText" dxfId="2176" priority="3209" stopIfTrue="1" operator="containsText" text="勞假">
      <formula>NOT(ISERROR(SEARCH("勞假",S43)))</formula>
    </cfRule>
    <cfRule type="containsText" dxfId="2175" priority="3210" stopIfTrue="1" operator="containsText" text="補假">
      <formula>NOT(ISERROR(SEARCH("補假",S43)))</formula>
    </cfRule>
    <cfRule type="containsText" dxfId="2174" priority="3211" stopIfTrue="1" operator="containsText" text="例假">
      <formula>NOT(ISERROR(SEARCH("例假",S43)))</formula>
    </cfRule>
    <cfRule type="containsText" dxfId="2173" priority="3212" stopIfTrue="1" operator="containsText" text="病假">
      <formula>NOT(ISERROR(SEARCH("病假",S43)))</formula>
    </cfRule>
    <cfRule type="containsText" dxfId="2172" priority="3213" stopIfTrue="1" operator="containsText" text="大假">
      <formula>NOT(ISERROR(SEARCH("大假",S43)))</formula>
    </cfRule>
    <cfRule type="containsText" dxfId="2171" priority="3214" stopIfTrue="1" operator="containsText" text="無薪">
      <formula>NOT(ISERROR(SEARCH("無薪",S43)))</formula>
    </cfRule>
    <cfRule type="cellIs" dxfId="2170" priority="3215" operator="equal">
      <formula>"NC"</formula>
    </cfRule>
    <cfRule type="cellIs" dxfId="2169" priority="3216" operator="equal">
      <formula>"nd"</formula>
    </cfRule>
    <cfRule type="cellIs" dxfId="2168" priority="3217" operator="equal">
      <formula>0</formula>
    </cfRule>
    <cfRule type="cellIs" dxfId="2167" priority="3218" operator="equal">
      <formula>"R"</formula>
    </cfRule>
    <cfRule type="cellIs" dxfId="2166" priority="3219" operator="equal">
      <formula>"NH12"</formula>
    </cfRule>
    <cfRule type="cellIs" dxfId="2165" priority="3220" operator="equal">
      <formula>"Nh11"</formula>
    </cfRule>
    <cfRule type="containsText" dxfId="2164" priority="3221" stopIfTrue="1" operator="containsText" text="TIL">
      <formula>NOT(ISERROR(SEARCH("TIL",S43)))</formula>
    </cfRule>
    <cfRule type="containsText" dxfId="2163" priority="3222" stopIfTrue="1" operator="containsText" text="疫苗">
      <formula>NOT(ISERROR(SEARCH("疫苗",S43)))</formula>
    </cfRule>
    <cfRule type="containsText" dxfId="2162" priority="3223" stopIfTrue="1" operator="containsText" text="勞假">
      <formula>NOT(ISERROR(SEARCH("勞假",S43)))</formula>
    </cfRule>
    <cfRule type="containsText" dxfId="2161" priority="3224" stopIfTrue="1" operator="containsText" text="補假">
      <formula>NOT(ISERROR(SEARCH("補假",S43)))</formula>
    </cfRule>
    <cfRule type="containsText" dxfId="2160" priority="3225" stopIfTrue="1" operator="containsText" text="例假">
      <formula>NOT(ISERROR(SEARCH("例假",S43)))</formula>
    </cfRule>
    <cfRule type="containsText" dxfId="2159" priority="3226" stopIfTrue="1" operator="containsText" text="病假">
      <formula>NOT(ISERROR(SEARCH("病假",S43)))</formula>
    </cfRule>
    <cfRule type="containsText" dxfId="2158" priority="3227" stopIfTrue="1" operator="containsText" text="大假">
      <formula>NOT(ISERROR(SEARCH("大假",S43)))</formula>
    </cfRule>
    <cfRule type="containsText" dxfId="2157" priority="3228" stopIfTrue="1" operator="containsText" text="無薪">
      <formula>NOT(ISERROR(SEARCH("無薪",S43)))</formula>
    </cfRule>
    <cfRule type="containsText" dxfId="2156" priority="3229" stopIfTrue="1" operator="containsText" text="TIL">
      <formula>NOT(ISERROR(SEARCH("TIL",S43)))</formula>
    </cfRule>
    <cfRule type="containsText" dxfId="2155" priority="3230" stopIfTrue="1" operator="containsText" text="疫苗">
      <formula>NOT(ISERROR(SEARCH("疫苗",S43)))</formula>
    </cfRule>
    <cfRule type="containsText" dxfId="2154" priority="3231" stopIfTrue="1" operator="containsText" text="勞假">
      <formula>NOT(ISERROR(SEARCH("勞假",S43)))</formula>
    </cfRule>
    <cfRule type="containsText" dxfId="2153" priority="3232" stopIfTrue="1" operator="containsText" text="補假">
      <formula>NOT(ISERROR(SEARCH("補假",S43)))</formula>
    </cfRule>
    <cfRule type="containsText" dxfId="2152" priority="3233" stopIfTrue="1" operator="containsText" text="例假">
      <formula>NOT(ISERROR(SEARCH("例假",S43)))</formula>
    </cfRule>
    <cfRule type="containsText" dxfId="2151" priority="3234" stopIfTrue="1" operator="containsText" text="病假">
      <formula>NOT(ISERROR(SEARCH("病假",S43)))</formula>
    </cfRule>
    <cfRule type="containsText" dxfId="2150" priority="3235" stopIfTrue="1" operator="containsText" text="大假">
      <formula>NOT(ISERROR(SEARCH("大假",S43)))</formula>
    </cfRule>
    <cfRule type="containsText" dxfId="2149" priority="3236" stopIfTrue="1" operator="containsText" text="無薪">
      <formula>NOT(ISERROR(SEARCH("無薪",S43)))</formula>
    </cfRule>
    <cfRule type="containsText" dxfId="2148" priority="3237" stopIfTrue="1" operator="containsText" text="疫苗">
      <formula>NOT(ISERROR(SEARCH("疫苗",S43)))</formula>
    </cfRule>
    <cfRule type="containsText" dxfId="2147" priority="3238" stopIfTrue="1" operator="containsText" text="勞假">
      <formula>NOT(ISERROR(SEARCH("勞假",S43)))</formula>
    </cfRule>
    <cfRule type="containsText" dxfId="2146" priority="3239" stopIfTrue="1" operator="containsText" text="補假">
      <formula>NOT(ISERROR(SEARCH("補假",S43)))</formula>
    </cfRule>
    <cfRule type="containsText" dxfId="2145" priority="3240" stopIfTrue="1" operator="containsText" text="例假">
      <formula>NOT(ISERROR(SEARCH("例假",S43)))</formula>
    </cfRule>
    <cfRule type="containsText" dxfId="2144" priority="3241" stopIfTrue="1" operator="containsText" text="病假">
      <formula>NOT(ISERROR(SEARCH("病假",S43)))</formula>
    </cfRule>
    <cfRule type="containsText" dxfId="2143" priority="3242" stopIfTrue="1" operator="containsText" text="大假">
      <formula>NOT(ISERROR(SEARCH("大假",S43)))</formula>
    </cfRule>
    <cfRule type="containsText" dxfId="2142" priority="3257" operator="containsText" text="RD">
      <formula>NOT(ISERROR(SEARCH("RD",S43)))</formula>
    </cfRule>
    <cfRule type="containsText" dxfId="2141" priority="3258" operator="containsText" text="NP">
      <formula>NOT(ISERROR(SEARCH("NP",S43)))</formula>
    </cfRule>
  </conditionalFormatting>
  <conditionalFormatting sqref="T11:AD11">
    <cfRule type="containsText" dxfId="2140" priority="2448" operator="containsText" text="RD">
      <formula>NOT(ISERROR(SEARCH("RD",T11)))</formula>
    </cfRule>
    <cfRule type="containsText" dxfId="2139" priority="2449" operator="containsText" text="NP">
      <formula>NOT(ISERROR(SEARCH("NP",T11)))</formula>
    </cfRule>
    <cfRule type="cellIs" dxfId="2138" priority="2450" operator="equal">
      <formula>"VO"</formula>
    </cfRule>
    <cfRule type="cellIs" dxfId="2137" priority="2451" operator="equal">
      <formula>"CW"</formula>
    </cfRule>
    <cfRule type="cellIs" dxfId="2136" priority="2452" operator="equal">
      <formula>"CF"</formula>
    </cfRule>
    <cfRule type="containsText" dxfId="2135" priority="2453" stopIfTrue="1" operator="containsText" text="無薪">
      <formula>NOT(ISERROR(SEARCH("無薪",T11)))</formula>
    </cfRule>
    <cfRule type="containsText" dxfId="2134" priority="2454" stopIfTrue="1" operator="containsText" text="TIL">
      <formula>NOT(ISERROR(SEARCH("TIL",T11)))</formula>
    </cfRule>
    <cfRule type="containsText" dxfId="2133" priority="2455" stopIfTrue="1" operator="containsText" text="疫苗">
      <formula>NOT(ISERROR(SEARCH("疫苗",T11)))</formula>
    </cfRule>
    <cfRule type="containsText" dxfId="2132" priority="2456" stopIfTrue="1" operator="containsText" text="勞假">
      <formula>NOT(ISERROR(SEARCH("勞假",T11)))</formula>
    </cfRule>
    <cfRule type="containsText" dxfId="2131" priority="2457" stopIfTrue="1" operator="containsText" text="補假">
      <formula>NOT(ISERROR(SEARCH("補假",T11)))</formula>
    </cfRule>
    <cfRule type="containsText" dxfId="2130" priority="2458" stopIfTrue="1" operator="containsText" text="例假">
      <formula>NOT(ISERROR(SEARCH("例假",T11)))</formula>
    </cfRule>
    <cfRule type="containsText" dxfId="2129" priority="2459" stopIfTrue="1" operator="containsText" text="病假">
      <formula>NOT(ISERROR(SEARCH("病假",T11)))</formula>
    </cfRule>
    <cfRule type="containsText" dxfId="2128" priority="2460" stopIfTrue="1" operator="containsText" text="大假">
      <formula>NOT(ISERROR(SEARCH("大假",T11)))</formula>
    </cfRule>
    <cfRule type="containsText" dxfId="2127" priority="2461" stopIfTrue="1" operator="containsText" text="無薪">
      <formula>NOT(ISERROR(SEARCH("無薪",T11)))</formula>
    </cfRule>
    <cfRule type="containsText" dxfId="2126" priority="2462" stopIfTrue="1" operator="containsText" text="TIL">
      <formula>NOT(ISERROR(SEARCH("TIL",T11)))</formula>
    </cfRule>
    <cfRule type="containsText" dxfId="2125" priority="2463" stopIfTrue="1" operator="containsText" text="疫苗">
      <formula>NOT(ISERROR(SEARCH("疫苗",T11)))</formula>
    </cfRule>
    <cfRule type="containsText" dxfId="2124" priority="2464" stopIfTrue="1" operator="containsText" text="勞假">
      <formula>NOT(ISERROR(SEARCH("勞假",T11)))</formula>
    </cfRule>
    <cfRule type="containsText" dxfId="2123" priority="2465" stopIfTrue="1" operator="containsText" text="補假">
      <formula>NOT(ISERROR(SEARCH("補假",T11)))</formula>
    </cfRule>
    <cfRule type="containsText" dxfId="2122" priority="2466" stopIfTrue="1" operator="containsText" text="例假">
      <formula>NOT(ISERROR(SEARCH("例假",T11)))</formula>
    </cfRule>
    <cfRule type="containsText" dxfId="2121" priority="2467" stopIfTrue="1" operator="containsText" text="病假">
      <formula>NOT(ISERROR(SEARCH("病假",T11)))</formula>
    </cfRule>
    <cfRule type="containsText" dxfId="2120" priority="2468" stopIfTrue="1" operator="containsText" text="大假">
      <formula>NOT(ISERROR(SEARCH("大假",T11)))</formula>
    </cfRule>
    <cfRule type="containsText" dxfId="2119" priority="2469" stopIfTrue="1" operator="containsText" text="TIL">
      <formula>NOT(ISERROR(SEARCH("TIL",T11)))</formula>
    </cfRule>
    <cfRule type="cellIs" dxfId="2118" priority="2470" stopIfTrue="1" operator="equal">
      <formula>"NP"</formula>
    </cfRule>
    <cfRule type="cellIs" dxfId="2117" priority="2471" stopIfTrue="1" operator="equal">
      <formula>"RD"</formula>
    </cfRule>
    <cfRule type="containsText" dxfId="2116" priority="2472" stopIfTrue="1" operator="containsText" text="TIL">
      <formula>NOT(ISERROR(SEARCH("TIL",T11)))</formula>
    </cfRule>
    <cfRule type="containsText" dxfId="2115" priority="2473" stopIfTrue="1" operator="containsText" text="疫苗">
      <formula>NOT(ISERROR(SEARCH("疫苗",T11)))</formula>
    </cfRule>
    <cfRule type="containsText" dxfId="2114" priority="2474" stopIfTrue="1" operator="containsText" text="勞假">
      <formula>NOT(ISERROR(SEARCH("勞假",T11)))</formula>
    </cfRule>
    <cfRule type="containsText" dxfId="2113" priority="2475" stopIfTrue="1" operator="containsText" text="補假">
      <formula>NOT(ISERROR(SEARCH("補假",T11)))</formula>
    </cfRule>
    <cfRule type="containsText" dxfId="2112" priority="2476" stopIfTrue="1" operator="containsText" text="例假">
      <formula>NOT(ISERROR(SEARCH("例假",T11)))</formula>
    </cfRule>
    <cfRule type="containsText" dxfId="2111" priority="2477" stopIfTrue="1" operator="containsText" text="病假">
      <formula>NOT(ISERROR(SEARCH("病假",T11)))</formula>
    </cfRule>
    <cfRule type="containsText" dxfId="2110" priority="2478" stopIfTrue="1" operator="containsText" text="大假">
      <formula>NOT(ISERROR(SEARCH("大假",T11)))</formula>
    </cfRule>
    <cfRule type="containsText" dxfId="2109" priority="2479" stopIfTrue="1" operator="containsText" text="TIL">
      <formula>NOT(ISERROR(SEARCH("TIL",T11)))</formula>
    </cfRule>
    <cfRule type="containsText" dxfId="2108" priority="2480" stopIfTrue="1" operator="containsText" text="疫苗">
      <formula>NOT(ISERROR(SEARCH("疫苗",T11)))</formula>
    </cfRule>
    <cfRule type="containsText" dxfId="2107" priority="2481" stopIfTrue="1" operator="containsText" text="勞假">
      <formula>NOT(ISERROR(SEARCH("勞假",T11)))</formula>
    </cfRule>
    <cfRule type="containsText" dxfId="2106" priority="2482" stopIfTrue="1" operator="containsText" text="補假">
      <formula>NOT(ISERROR(SEARCH("補假",T11)))</formula>
    </cfRule>
    <cfRule type="containsText" dxfId="2105" priority="2483" stopIfTrue="1" operator="containsText" text="例假">
      <formula>NOT(ISERROR(SEARCH("例假",T11)))</formula>
    </cfRule>
    <cfRule type="containsText" dxfId="2104" priority="2484" stopIfTrue="1" operator="containsText" text="病假">
      <formula>NOT(ISERROR(SEARCH("病假",T11)))</formula>
    </cfRule>
    <cfRule type="containsText" dxfId="2103" priority="2485" stopIfTrue="1" operator="containsText" text="大假">
      <formula>NOT(ISERROR(SEARCH("大假",T11)))</formula>
    </cfRule>
    <cfRule type="containsText" dxfId="2102" priority="2486" stopIfTrue="1" operator="containsText" text="無薪">
      <formula>NOT(ISERROR(SEARCH("無薪",T11)))</formula>
    </cfRule>
    <cfRule type="containsText" dxfId="2101" priority="2487" stopIfTrue="1" operator="containsText" text="疫苗">
      <formula>NOT(ISERROR(SEARCH("疫苗",T11)))</formula>
    </cfRule>
    <cfRule type="containsText" dxfId="2100" priority="2488" stopIfTrue="1" operator="containsText" text="勞假">
      <formula>NOT(ISERROR(SEARCH("勞假",T11)))</formula>
    </cfRule>
    <cfRule type="containsText" dxfId="2099" priority="2489" stopIfTrue="1" operator="containsText" text="補假">
      <formula>NOT(ISERROR(SEARCH("補假",T11)))</formula>
    </cfRule>
    <cfRule type="containsText" dxfId="2098" priority="2490" stopIfTrue="1" operator="containsText" text="例假">
      <formula>NOT(ISERROR(SEARCH("例假",T11)))</formula>
    </cfRule>
    <cfRule type="containsText" dxfId="2097" priority="2491" stopIfTrue="1" operator="containsText" text="病假">
      <formula>NOT(ISERROR(SEARCH("病假",T11)))</formula>
    </cfRule>
    <cfRule type="containsText" dxfId="2096" priority="2492" stopIfTrue="1" operator="containsText" text="大假">
      <formula>NOT(ISERROR(SEARCH("大假",T11)))</formula>
    </cfRule>
    <cfRule type="containsText" dxfId="2095" priority="2493" stopIfTrue="1" operator="containsText" text="無薪">
      <formula>NOT(ISERROR(SEARCH("無薪",T11)))</formula>
    </cfRule>
    <cfRule type="containsText" dxfId="2094" priority="2494" stopIfTrue="1" operator="containsText" text="TIL">
      <formula>NOT(ISERROR(SEARCH("TIL",T11)))</formula>
    </cfRule>
    <cfRule type="containsText" dxfId="2093" priority="2495" stopIfTrue="1" operator="containsText" text="疫苗">
      <formula>NOT(ISERROR(SEARCH("疫苗",T11)))</formula>
    </cfRule>
    <cfRule type="containsText" dxfId="2092" priority="2496" stopIfTrue="1" operator="containsText" text="勞假">
      <formula>NOT(ISERROR(SEARCH("勞假",T11)))</formula>
    </cfRule>
    <cfRule type="containsText" dxfId="2091" priority="2497" stopIfTrue="1" operator="containsText" text="補假">
      <formula>NOT(ISERROR(SEARCH("補假",T11)))</formula>
    </cfRule>
    <cfRule type="containsText" dxfId="2090" priority="2498" stopIfTrue="1" operator="containsText" text="例假">
      <formula>NOT(ISERROR(SEARCH("例假",T11)))</formula>
    </cfRule>
    <cfRule type="containsText" dxfId="2089" priority="2499" stopIfTrue="1" operator="containsText" text="病假">
      <formula>NOT(ISERROR(SEARCH("病假",T11)))</formula>
    </cfRule>
    <cfRule type="containsText" dxfId="2088" priority="2500" stopIfTrue="1" operator="containsText" text="大假">
      <formula>NOT(ISERROR(SEARCH("大假",T11)))</formula>
    </cfRule>
    <cfRule type="containsText" dxfId="2087" priority="2501" stopIfTrue="1" operator="containsText" text="無薪">
      <formula>NOT(ISERROR(SEARCH("無薪",T11)))</formula>
    </cfRule>
    <cfRule type="containsText" dxfId="2086" priority="2502" stopIfTrue="1" operator="containsText" text="TIL">
      <formula>NOT(ISERROR(SEARCH("TIL",T11)))</formula>
    </cfRule>
    <cfRule type="containsText" dxfId="2085" priority="2503" stopIfTrue="1" operator="containsText" text="疫苗">
      <formula>NOT(ISERROR(SEARCH("疫苗",T11)))</formula>
    </cfRule>
    <cfRule type="containsText" dxfId="2084" priority="2504" stopIfTrue="1" operator="containsText" text="勞假">
      <formula>NOT(ISERROR(SEARCH("勞假",T11)))</formula>
    </cfRule>
    <cfRule type="containsText" dxfId="2083" priority="2505" stopIfTrue="1" operator="containsText" text="補假">
      <formula>NOT(ISERROR(SEARCH("補假",T11)))</formula>
    </cfRule>
    <cfRule type="containsText" dxfId="2082" priority="2506" stopIfTrue="1" operator="containsText" text="例假">
      <formula>NOT(ISERROR(SEARCH("例假",T11)))</formula>
    </cfRule>
    <cfRule type="containsText" dxfId="2081" priority="2507" stopIfTrue="1" operator="containsText" text="病假">
      <formula>NOT(ISERROR(SEARCH("病假",T11)))</formula>
    </cfRule>
    <cfRule type="containsText" dxfId="2080" priority="2508" stopIfTrue="1" operator="containsText" text="大假">
      <formula>NOT(ISERROR(SEARCH("大假",T11)))</formula>
    </cfRule>
    <cfRule type="containsText" dxfId="2079" priority="2509" stopIfTrue="1" operator="containsText" text="無薪">
      <formula>NOT(ISERROR(SEARCH("無薪",T11)))</formula>
    </cfRule>
    <cfRule type="cellIs" dxfId="2078" priority="2510" operator="equal">
      <formula>"NC"</formula>
    </cfRule>
    <cfRule type="cellIs" dxfId="2077" priority="2511" operator="equal">
      <formula>"nd"</formula>
    </cfRule>
    <cfRule type="cellIs" dxfId="2076" priority="2512" operator="equal">
      <formula>0</formula>
    </cfRule>
    <cfRule type="cellIs" dxfId="2075" priority="2513" operator="equal">
      <formula>"R"</formula>
    </cfRule>
    <cfRule type="cellIs" dxfId="2074" priority="2514" operator="equal">
      <formula>"NH12"</formula>
    </cfRule>
    <cfRule type="cellIs" dxfId="2073" priority="2515" operator="equal">
      <formula>"Nh11"</formula>
    </cfRule>
    <cfRule type="containsText" dxfId="2072" priority="2516" stopIfTrue="1" operator="containsText" text="TIL">
      <formula>NOT(ISERROR(SEARCH("TIL",T11)))</formula>
    </cfRule>
    <cfRule type="containsText" dxfId="2071" priority="2517" stopIfTrue="1" operator="containsText" text="疫苗">
      <formula>NOT(ISERROR(SEARCH("疫苗",T11)))</formula>
    </cfRule>
    <cfRule type="containsText" dxfId="2070" priority="2518" stopIfTrue="1" operator="containsText" text="勞假">
      <formula>NOT(ISERROR(SEARCH("勞假",T11)))</formula>
    </cfRule>
    <cfRule type="containsText" dxfId="2069" priority="2519" stopIfTrue="1" operator="containsText" text="補假">
      <formula>NOT(ISERROR(SEARCH("補假",T11)))</formula>
    </cfRule>
    <cfRule type="containsText" dxfId="2068" priority="2520" stopIfTrue="1" operator="containsText" text="例假">
      <formula>NOT(ISERROR(SEARCH("例假",T11)))</formula>
    </cfRule>
    <cfRule type="containsText" dxfId="2067" priority="2521" stopIfTrue="1" operator="containsText" text="病假">
      <formula>NOT(ISERROR(SEARCH("病假",T11)))</formula>
    </cfRule>
    <cfRule type="containsText" dxfId="2066" priority="2522" stopIfTrue="1" operator="containsText" text="大假">
      <formula>NOT(ISERROR(SEARCH("大假",T11)))</formula>
    </cfRule>
    <cfRule type="containsText" dxfId="2065" priority="2523" stopIfTrue="1" operator="containsText" text="無薪">
      <formula>NOT(ISERROR(SEARCH("無薪",T11)))</formula>
    </cfRule>
    <cfRule type="containsText" dxfId="2064" priority="2524" stopIfTrue="1" operator="containsText" text="TIL">
      <formula>NOT(ISERROR(SEARCH("TIL",T11)))</formula>
    </cfRule>
    <cfRule type="containsText" dxfId="2063" priority="2525" stopIfTrue="1" operator="containsText" text="疫苗">
      <formula>NOT(ISERROR(SEARCH("疫苗",T11)))</formula>
    </cfRule>
    <cfRule type="containsText" dxfId="2062" priority="2526" stopIfTrue="1" operator="containsText" text="勞假">
      <formula>NOT(ISERROR(SEARCH("勞假",T11)))</formula>
    </cfRule>
    <cfRule type="containsText" dxfId="2061" priority="2527" stopIfTrue="1" operator="containsText" text="補假">
      <formula>NOT(ISERROR(SEARCH("補假",T11)))</formula>
    </cfRule>
    <cfRule type="containsText" dxfId="2060" priority="2528" stopIfTrue="1" operator="containsText" text="例假">
      <formula>NOT(ISERROR(SEARCH("例假",T11)))</formula>
    </cfRule>
    <cfRule type="containsText" dxfId="2059" priority="2529" stopIfTrue="1" operator="containsText" text="病假">
      <formula>NOT(ISERROR(SEARCH("病假",T11)))</formula>
    </cfRule>
    <cfRule type="containsText" dxfId="2058" priority="2530" stopIfTrue="1" operator="containsText" text="大假">
      <formula>NOT(ISERROR(SEARCH("大假",T11)))</formula>
    </cfRule>
    <cfRule type="containsText" dxfId="2057" priority="2531" stopIfTrue="1" operator="containsText" text="無薪">
      <formula>NOT(ISERROR(SEARCH("無薪",T11)))</formula>
    </cfRule>
    <cfRule type="containsText" dxfId="2056" priority="2532" stopIfTrue="1" operator="containsText" text="疫苗">
      <formula>NOT(ISERROR(SEARCH("疫苗",T11)))</formula>
    </cfRule>
    <cfRule type="containsText" dxfId="2055" priority="2533" stopIfTrue="1" operator="containsText" text="勞假">
      <formula>NOT(ISERROR(SEARCH("勞假",T11)))</formula>
    </cfRule>
    <cfRule type="containsText" dxfId="2054" priority="2534" stopIfTrue="1" operator="containsText" text="補假">
      <formula>NOT(ISERROR(SEARCH("補假",T11)))</formula>
    </cfRule>
    <cfRule type="containsText" dxfId="2053" priority="2535" stopIfTrue="1" operator="containsText" text="例假">
      <formula>NOT(ISERROR(SEARCH("例假",T11)))</formula>
    </cfRule>
    <cfRule type="containsText" dxfId="2052" priority="2536" stopIfTrue="1" operator="containsText" text="病假">
      <formula>NOT(ISERROR(SEARCH("病假",T11)))</formula>
    </cfRule>
    <cfRule type="containsText" dxfId="2051" priority="2537" stopIfTrue="1" operator="containsText" text="大假">
      <formula>NOT(ISERROR(SEARCH("大假",T11)))</formula>
    </cfRule>
  </conditionalFormatting>
  <conditionalFormatting sqref="U11">
    <cfRule type="cellIs" dxfId="2050" priority="1813" operator="equal">
      <formula>"VO"</formula>
    </cfRule>
    <cfRule type="cellIs" dxfId="2049" priority="1814" operator="equal">
      <formula>"CW"</formula>
    </cfRule>
    <cfRule type="cellIs" dxfId="2048" priority="1815" operator="equal">
      <formula>"CF"</formula>
    </cfRule>
    <cfRule type="containsText" dxfId="2047" priority="1816" stopIfTrue="1" operator="containsText" text="無薪">
      <formula>NOT(ISERROR(SEARCH("無薪",U11)))</formula>
    </cfRule>
    <cfRule type="containsText" dxfId="2046" priority="1817" stopIfTrue="1" operator="containsText" text="TIL">
      <formula>NOT(ISERROR(SEARCH("TIL",U11)))</formula>
    </cfRule>
    <cfRule type="containsText" dxfId="2045" priority="1818" stopIfTrue="1" operator="containsText" text="疫苗">
      <formula>NOT(ISERROR(SEARCH("疫苗",U11)))</formula>
    </cfRule>
    <cfRule type="containsText" dxfId="2044" priority="1819" stopIfTrue="1" operator="containsText" text="勞假">
      <formula>NOT(ISERROR(SEARCH("勞假",U11)))</formula>
    </cfRule>
    <cfRule type="containsText" dxfId="2043" priority="1820" stopIfTrue="1" operator="containsText" text="補假">
      <formula>NOT(ISERROR(SEARCH("補假",U11)))</formula>
    </cfRule>
    <cfRule type="containsText" dxfId="2042" priority="1821" stopIfTrue="1" operator="containsText" text="例假">
      <formula>NOT(ISERROR(SEARCH("例假",U11)))</formula>
    </cfRule>
    <cfRule type="containsText" dxfId="2041" priority="1822" stopIfTrue="1" operator="containsText" text="病假">
      <formula>NOT(ISERROR(SEARCH("病假",U11)))</formula>
    </cfRule>
    <cfRule type="containsText" dxfId="2040" priority="1823" stopIfTrue="1" operator="containsText" text="大假">
      <formula>NOT(ISERROR(SEARCH("大假",U11)))</formula>
    </cfRule>
    <cfRule type="containsText" dxfId="2039" priority="1824" stopIfTrue="1" operator="containsText" text="無薪">
      <formula>NOT(ISERROR(SEARCH("無薪",U11)))</formula>
    </cfRule>
    <cfRule type="containsText" dxfId="2038" priority="1825" stopIfTrue="1" operator="containsText" text="TIL">
      <formula>NOT(ISERROR(SEARCH("TIL",U11)))</formula>
    </cfRule>
    <cfRule type="containsText" dxfId="2037" priority="1826" stopIfTrue="1" operator="containsText" text="疫苗">
      <formula>NOT(ISERROR(SEARCH("疫苗",U11)))</formula>
    </cfRule>
    <cfRule type="containsText" dxfId="2036" priority="1827" stopIfTrue="1" operator="containsText" text="勞假">
      <formula>NOT(ISERROR(SEARCH("勞假",U11)))</formula>
    </cfRule>
    <cfRule type="containsText" dxfId="2035" priority="1828" stopIfTrue="1" operator="containsText" text="補假">
      <formula>NOT(ISERROR(SEARCH("補假",U11)))</formula>
    </cfRule>
    <cfRule type="containsText" dxfId="2034" priority="1829" stopIfTrue="1" operator="containsText" text="例假">
      <formula>NOT(ISERROR(SEARCH("例假",U11)))</formula>
    </cfRule>
    <cfRule type="containsText" dxfId="2033" priority="1830" stopIfTrue="1" operator="containsText" text="病假">
      <formula>NOT(ISERROR(SEARCH("病假",U11)))</formula>
    </cfRule>
    <cfRule type="containsText" dxfId="2032" priority="1831" stopIfTrue="1" operator="containsText" text="大假">
      <formula>NOT(ISERROR(SEARCH("大假",U11)))</formula>
    </cfRule>
    <cfRule type="containsText" dxfId="2031" priority="1832" stopIfTrue="1" operator="containsText" text="TIL">
      <formula>NOT(ISERROR(SEARCH("TIL",U11)))</formula>
    </cfRule>
    <cfRule type="cellIs" dxfId="2030" priority="1833" stopIfTrue="1" operator="equal">
      <formula>"NP"</formula>
    </cfRule>
    <cfRule type="cellIs" dxfId="2029" priority="1834" stopIfTrue="1" operator="equal">
      <formula>"RD"</formula>
    </cfRule>
    <cfRule type="containsText" dxfId="2028" priority="1835" stopIfTrue="1" operator="containsText" text="TIL">
      <formula>NOT(ISERROR(SEARCH("TIL",U11)))</formula>
    </cfRule>
    <cfRule type="containsText" dxfId="2027" priority="1836" stopIfTrue="1" operator="containsText" text="疫苗">
      <formula>NOT(ISERROR(SEARCH("疫苗",U11)))</formula>
    </cfRule>
    <cfRule type="containsText" dxfId="2026" priority="1837" stopIfTrue="1" operator="containsText" text="勞假">
      <formula>NOT(ISERROR(SEARCH("勞假",U11)))</formula>
    </cfRule>
    <cfRule type="containsText" dxfId="2025" priority="1838" stopIfTrue="1" operator="containsText" text="補假">
      <formula>NOT(ISERROR(SEARCH("補假",U11)))</formula>
    </cfRule>
    <cfRule type="containsText" dxfId="2024" priority="1839" stopIfTrue="1" operator="containsText" text="例假">
      <formula>NOT(ISERROR(SEARCH("例假",U11)))</formula>
    </cfRule>
    <cfRule type="containsText" dxfId="2023" priority="1840" stopIfTrue="1" operator="containsText" text="病假">
      <formula>NOT(ISERROR(SEARCH("病假",U11)))</formula>
    </cfRule>
    <cfRule type="containsText" dxfId="2022" priority="1841" stopIfTrue="1" operator="containsText" text="大假">
      <formula>NOT(ISERROR(SEARCH("大假",U11)))</formula>
    </cfRule>
    <cfRule type="containsText" dxfId="2021" priority="1842" stopIfTrue="1" operator="containsText" text="TIL">
      <formula>NOT(ISERROR(SEARCH("TIL",U11)))</formula>
    </cfRule>
    <cfRule type="containsText" dxfId="2020" priority="1843" stopIfTrue="1" operator="containsText" text="疫苗">
      <formula>NOT(ISERROR(SEARCH("疫苗",U11)))</formula>
    </cfRule>
    <cfRule type="containsText" dxfId="2019" priority="1844" stopIfTrue="1" operator="containsText" text="勞假">
      <formula>NOT(ISERROR(SEARCH("勞假",U11)))</formula>
    </cfRule>
    <cfRule type="containsText" dxfId="2018" priority="1845" stopIfTrue="1" operator="containsText" text="補假">
      <formula>NOT(ISERROR(SEARCH("補假",U11)))</formula>
    </cfRule>
    <cfRule type="containsText" dxfId="2017" priority="1846" stopIfTrue="1" operator="containsText" text="例假">
      <formula>NOT(ISERROR(SEARCH("例假",U11)))</formula>
    </cfRule>
    <cfRule type="containsText" dxfId="2016" priority="1847" stopIfTrue="1" operator="containsText" text="病假">
      <formula>NOT(ISERROR(SEARCH("病假",U11)))</formula>
    </cfRule>
    <cfRule type="containsText" dxfId="2015" priority="1848" stopIfTrue="1" operator="containsText" text="大假">
      <formula>NOT(ISERROR(SEARCH("大假",U11)))</formula>
    </cfRule>
    <cfRule type="containsText" dxfId="2014" priority="1849" stopIfTrue="1" operator="containsText" text="無薪">
      <formula>NOT(ISERROR(SEARCH("無薪",U11)))</formula>
    </cfRule>
    <cfRule type="containsText" dxfId="2013" priority="1850" stopIfTrue="1" operator="containsText" text="疫苗">
      <formula>NOT(ISERROR(SEARCH("疫苗",U11)))</formula>
    </cfRule>
    <cfRule type="containsText" dxfId="2012" priority="1851" stopIfTrue="1" operator="containsText" text="勞假">
      <formula>NOT(ISERROR(SEARCH("勞假",U11)))</formula>
    </cfRule>
    <cfRule type="containsText" dxfId="2011" priority="1852" stopIfTrue="1" operator="containsText" text="補假">
      <formula>NOT(ISERROR(SEARCH("補假",U11)))</formula>
    </cfRule>
    <cfRule type="containsText" dxfId="2010" priority="1853" stopIfTrue="1" operator="containsText" text="例假">
      <formula>NOT(ISERROR(SEARCH("例假",U11)))</formula>
    </cfRule>
    <cfRule type="containsText" dxfId="2009" priority="1854" stopIfTrue="1" operator="containsText" text="病假">
      <formula>NOT(ISERROR(SEARCH("病假",U11)))</formula>
    </cfRule>
    <cfRule type="containsText" dxfId="2008" priority="1855" stopIfTrue="1" operator="containsText" text="大假">
      <formula>NOT(ISERROR(SEARCH("大假",U11)))</formula>
    </cfRule>
    <cfRule type="containsText" dxfId="2007" priority="1856" stopIfTrue="1" operator="containsText" text="無薪">
      <formula>NOT(ISERROR(SEARCH("無薪",U11)))</formula>
    </cfRule>
    <cfRule type="containsText" dxfId="2006" priority="1857" stopIfTrue="1" operator="containsText" text="TIL">
      <formula>NOT(ISERROR(SEARCH("TIL",U11)))</formula>
    </cfRule>
    <cfRule type="containsText" dxfId="2005" priority="1858" stopIfTrue="1" operator="containsText" text="疫苗">
      <formula>NOT(ISERROR(SEARCH("疫苗",U11)))</formula>
    </cfRule>
    <cfRule type="containsText" dxfId="2004" priority="1859" stopIfTrue="1" operator="containsText" text="勞假">
      <formula>NOT(ISERROR(SEARCH("勞假",U11)))</formula>
    </cfRule>
    <cfRule type="containsText" dxfId="2003" priority="1860" stopIfTrue="1" operator="containsText" text="補假">
      <formula>NOT(ISERROR(SEARCH("補假",U11)))</formula>
    </cfRule>
    <cfRule type="containsText" dxfId="2002" priority="1861" stopIfTrue="1" operator="containsText" text="例假">
      <formula>NOT(ISERROR(SEARCH("例假",U11)))</formula>
    </cfRule>
    <cfRule type="containsText" dxfId="2001" priority="1862" stopIfTrue="1" operator="containsText" text="病假">
      <formula>NOT(ISERROR(SEARCH("病假",U11)))</formula>
    </cfRule>
    <cfRule type="containsText" dxfId="2000" priority="1863" stopIfTrue="1" operator="containsText" text="大假">
      <formula>NOT(ISERROR(SEARCH("大假",U11)))</formula>
    </cfRule>
    <cfRule type="containsText" dxfId="1999" priority="1864" stopIfTrue="1" operator="containsText" text="無薪">
      <formula>NOT(ISERROR(SEARCH("無薪",U11)))</formula>
    </cfRule>
    <cfRule type="containsText" dxfId="1998" priority="1865" stopIfTrue="1" operator="containsText" text="TIL">
      <formula>NOT(ISERROR(SEARCH("TIL",U11)))</formula>
    </cfRule>
    <cfRule type="containsText" dxfId="1997" priority="1866" stopIfTrue="1" operator="containsText" text="疫苗">
      <formula>NOT(ISERROR(SEARCH("疫苗",U11)))</formula>
    </cfRule>
    <cfRule type="containsText" dxfId="1996" priority="1867" stopIfTrue="1" operator="containsText" text="勞假">
      <formula>NOT(ISERROR(SEARCH("勞假",U11)))</formula>
    </cfRule>
    <cfRule type="containsText" dxfId="1995" priority="1868" stopIfTrue="1" operator="containsText" text="補假">
      <formula>NOT(ISERROR(SEARCH("補假",U11)))</formula>
    </cfRule>
    <cfRule type="containsText" dxfId="1994" priority="1869" stopIfTrue="1" operator="containsText" text="例假">
      <formula>NOT(ISERROR(SEARCH("例假",U11)))</formula>
    </cfRule>
    <cfRule type="containsText" dxfId="1993" priority="1870" stopIfTrue="1" operator="containsText" text="病假">
      <formula>NOT(ISERROR(SEARCH("病假",U11)))</formula>
    </cfRule>
    <cfRule type="containsText" dxfId="1992" priority="1871" stopIfTrue="1" operator="containsText" text="大假">
      <formula>NOT(ISERROR(SEARCH("大假",U11)))</formula>
    </cfRule>
    <cfRule type="containsText" dxfId="1991" priority="1872" stopIfTrue="1" operator="containsText" text="無薪">
      <formula>NOT(ISERROR(SEARCH("無薪",U11)))</formula>
    </cfRule>
    <cfRule type="cellIs" dxfId="1990" priority="1873" operator="equal">
      <formula>"NC"</formula>
    </cfRule>
    <cfRule type="cellIs" dxfId="1989" priority="1874" operator="equal">
      <formula>"nd"</formula>
    </cfRule>
    <cfRule type="cellIs" dxfId="1988" priority="1875" operator="equal">
      <formula>0</formula>
    </cfRule>
    <cfRule type="cellIs" dxfId="1987" priority="1876" operator="equal">
      <formula>"R"</formula>
    </cfRule>
    <cfRule type="cellIs" dxfId="1986" priority="1877" operator="equal">
      <formula>"NH12"</formula>
    </cfRule>
    <cfRule type="cellIs" dxfId="1985" priority="1878" operator="equal">
      <formula>"Nh11"</formula>
    </cfRule>
    <cfRule type="containsText" dxfId="1984" priority="1879" stopIfTrue="1" operator="containsText" text="TIL">
      <formula>NOT(ISERROR(SEARCH("TIL",U11)))</formula>
    </cfRule>
    <cfRule type="containsText" dxfId="1983" priority="1880" stopIfTrue="1" operator="containsText" text="疫苗">
      <formula>NOT(ISERROR(SEARCH("疫苗",U11)))</formula>
    </cfRule>
    <cfRule type="containsText" dxfId="1982" priority="1881" stopIfTrue="1" operator="containsText" text="勞假">
      <formula>NOT(ISERROR(SEARCH("勞假",U11)))</formula>
    </cfRule>
    <cfRule type="containsText" dxfId="1981" priority="1882" stopIfTrue="1" operator="containsText" text="補假">
      <formula>NOT(ISERROR(SEARCH("補假",U11)))</formula>
    </cfRule>
    <cfRule type="containsText" dxfId="1980" priority="1883" stopIfTrue="1" operator="containsText" text="例假">
      <formula>NOT(ISERROR(SEARCH("例假",U11)))</formula>
    </cfRule>
    <cfRule type="containsText" dxfId="1979" priority="1884" stopIfTrue="1" operator="containsText" text="病假">
      <formula>NOT(ISERROR(SEARCH("病假",U11)))</formula>
    </cfRule>
    <cfRule type="containsText" dxfId="1978" priority="1885" stopIfTrue="1" operator="containsText" text="大假">
      <formula>NOT(ISERROR(SEARCH("大假",U11)))</formula>
    </cfRule>
    <cfRule type="containsText" dxfId="1977" priority="1886" stopIfTrue="1" operator="containsText" text="無薪">
      <formula>NOT(ISERROR(SEARCH("無薪",U11)))</formula>
    </cfRule>
    <cfRule type="containsText" dxfId="1976" priority="1887" stopIfTrue="1" operator="containsText" text="TIL">
      <formula>NOT(ISERROR(SEARCH("TIL",U11)))</formula>
    </cfRule>
    <cfRule type="containsText" dxfId="1975" priority="1888" stopIfTrue="1" operator="containsText" text="疫苗">
      <formula>NOT(ISERROR(SEARCH("疫苗",U11)))</formula>
    </cfRule>
    <cfRule type="containsText" dxfId="1974" priority="1889" stopIfTrue="1" operator="containsText" text="勞假">
      <formula>NOT(ISERROR(SEARCH("勞假",U11)))</formula>
    </cfRule>
    <cfRule type="containsText" dxfId="1973" priority="1890" stopIfTrue="1" operator="containsText" text="補假">
      <formula>NOT(ISERROR(SEARCH("補假",U11)))</formula>
    </cfRule>
    <cfRule type="containsText" dxfId="1972" priority="1891" stopIfTrue="1" operator="containsText" text="例假">
      <formula>NOT(ISERROR(SEARCH("例假",U11)))</formula>
    </cfRule>
    <cfRule type="containsText" dxfId="1971" priority="1892" stopIfTrue="1" operator="containsText" text="病假">
      <formula>NOT(ISERROR(SEARCH("病假",U11)))</formula>
    </cfRule>
    <cfRule type="containsText" dxfId="1970" priority="1893" stopIfTrue="1" operator="containsText" text="大假">
      <formula>NOT(ISERROR(SEARCH("大假",U11)))</formula>
    </cfRule>
    <cfRule type="containsText" dxfId="1969" priority="1894" stopIfTrue="1" operator="containsText" text="無薪">
      <formula>NOT(ISERROR(SEARCH("無薪",U11)))</formula>
    </cfRule>
    <cfRule type="containsText" dxfId="1968" priority="1895" stopIfTrue="1" operator="containsText" text="疫苗">
      <formula>NOT(ISERROR(SEARCH("疫苗",U11)))</formula>
    </cfRule>
    <cfRule type="containsText" dxfId="1967" priority="1896" stopIfTrue="1" operator="containsText" text="勞假">
      <formula>NOT(ISERROR(SEARCH("勞假",U11)))</formula>
    </cfRule>
    <cfRule type="containsText" dxfId="1966" priority="1897" stopIfTrue="1" operator="containsText" text="補假">
      <formula>NOT(ISERROR(SEARCH("補假",U11)))</formula>
    </cfRule>
    <cfRule type="containsText" dxfId="1965" priority="1898" stopIfTrue="1" operator="containsText" text="例假">
      <formula>NOT(ISERROR(SEARCH("例假",U11)))</formula>
    </cfRule>
    <cfRule type="containsText" dxfId="1964" priority="1899" stopIfTrue="1" operator="containsText" text="病假">
      <formula>NOT(ISERROR(SEARCH("病假",U11)))</formula>
    </cfRule>
    <cfRule type="containsText" dxfId="1963" priority="1900" stopIfTrue="1" operator="containsText" text="大假">
      <formula>NOT(ISERROR(SEARCH("大假",U11)))</formula>
    </cfRule>
  </conditionalFormatting>
  <conditionalFormatting sqref="U11:AE11">
    <cfRule type="containsText" dxfId="1962" priority="2794" operator="containsText" text="RD">
      <formula>NOT(ISERROR(SEARCH("RD",U11)))</formula>
    </cfRule>
    <cfRule type="containsText" dxfId="1961" priority="2795" operator="containsText" text="NP">
      <formula>NOT(ISERROR(SEARCH("NP",U11)))</formula>
    </cfRule>
  </conditionalFormatting>
  <conditionalFormatting sqref="X11">
    <cfRule type="cellIs" dxfId="1960" priority="1725" operator="equal">
      <formula>"VO"</formula>
    </cfRule>
    <cfRule type="cellIs" dxfId="1959" priority="1726" operator="equal">
      <formula>"CW"</formula>
    </cfRule>
    <cfRule type="cellIs" dxfId="1958" priority="1727" operator="equal">
      <formula>"CF"</formula>
    </cfRule>
    <cfRule type="containsText" dxfId="1957" priority="1728" stopIfTrue="1" operator="containsText" text="無薪">
      <formula>NOT(ISERROR(SEARCH("無薪",X11)))</formula>
    </cfRule>
    <cfRule type="containsText" dxfId="1956" priority="1729" stopIfTrue="1" operator="containsText" text="TIL">
      <formula>NOT(ISERROR(SEARCH("TIL",X11)))</formula>
    </cfRule>
    <cfRule type="containsText" dxfId="1955" priority="1730" stopIfTrue="1" operator="containsText" text="疫苗">
      <formula>NOT(ISERROR(SEARCH("疫苗",X11)))</formula>
    </cfRule>
    <cfRule type="containsText" dxfId="1954" priority="1731" stopIfTrue="1" operator="containsText" text="勞假">
      <formula>NOT(ISERROR(SEARCH("勞假",X11)))</formula>
    </cfRule>
    <cfRule type="containsText" dxfId="1953" priority="1732" stopIfTrue="1" operator="containsText" text="補假">
      <formula>NOT(ISERROR(SEARCH("補假",X11)))</formula>
    </cfRule>
    <cfRule type="containsText" dxfId="1952" priority="1733" stopIfTrue="1" operator="containsText" text="例假">
      <formula>NOT(ISERROR(SEARCH("例假",X11)))</formula>
    </cfRule>
    <cfRule type="containsText" dxfId="1951" priority="1734" stopIfTrue="1" operator="containsText" text="病假">
      <formula>NOT(ISERROR(SEARCH("病假",X11)))</formula>
    </cfRule>
    <cfRule type="containsText" dxfId="1950" priority="1735" stopIfTrue="1" operator="containsText" text="大假">
      <formula>NOT(ISERROR(SEARCH("大假",X11)))</formula>
    </cfRule>
    <cfRule type="containsText" dxfId="1949" priority="1736" stopIfTrue="1" operator="containsText" text="無薪">
      <formula>NOT(ISERROR(SEARCH("無薪",X11)))</formula>
    </cfRule>
    <cfRule type="containsText" dxfId="1948" priority="1737" stopIfTrue="1" operator="containsText" text="TIL">
      <formula>NOT(ISERROR(SEARCH("TIL",X11)))</formula>
    </cfRule>
    <cfRule type="containsText" dxfId="1947" priority="1738" stopIfTrue="1" operator="containsText" text="疫苗">
      <formula>NOT(ISERROR(SEARCH("疫苗",X11)))</formula>
    </cfRule>
    <cfRule type="containsText" dxfId="1946" priority="1739" stopIfTrue="1" operator="containsText" text="勞假">
      <formula>NOT(ISERROR(SEARCH("勞假",X11)))</formula>
    </cfRule>
    <cfRule type="containsText" dxfId="1945" priority="1740" stopIfTrue="1" operator="containsText" text="補假">
      <formula>NOT(ISERROR(SEARCH("補假",X11)))</formula>
    </cfRule>
    <cfRule type="containsText" dxfId="1944" priority="1741" stopIfTrue="1" operator="containsText" text="例假">
      <formula>NOT(ISERROR(SEARCH("例假",X11)))</formula>
    </cfRule>
    <cfRule type="containsText" dxfId="1943" priority="1742" stopIfTrue="1" operator="containsText" text="病假">
      <formula>NOT(ISERROR(SEARCH("病假",X11)))</formula>
    </cfRule>
    <cfRule type="containsText" dxfId="1942" priority="1743" stopIfTrue="1" operator="containsText" text="大假">
      <formula>NOT(ISERROR(SEARCH("大假",X11)))</formula>
    </cfRule>
    <cfRule type="containsText" dxfId="1941" priority="1744" stopIfTrue="1" operator="containsText" text="TIL">
      <formula>NOT(ISERROR(SEARCH("TIL",X11)))</formula>
    </cfRule>
    <cfRule type="cellIs" dxfId="1940" priority="1745" stopIfTrue="1" operator="equal">
      <formula>"NP"</formula>
    </cfRule>
    <cfRule type="cellIs" dxfId="1939" priority="1746" stopIfTrue="1" operator="equal">
      <formula>"RD"</formula>
    </cfRule>
    <cfRule type="containsText" dxfId="1938" priority="1747" stopIfTrue="1" operator="containsText" text="TIL">
      <formula>NOT(ISERROR(SEARCH("TIL",X11)))</formula>
    </cfRule>
    <cfRule type="containsText" dxfId="1937" priority="1748" stopIfTrue="1" operator="containsText" text="疫苗">
      <formula>NOT(ISERROR(SEARCH("疫苗",X11)))</formula>
    </cfRule>
    <cfRule type="containsText" dxfId="1936" priority="1749" stopIfTrue="1" operator="containsText" text="勞假">
      <formula>NOT(ISERROR(SEARCH("勞假",X11)))</formula>
    </cfRule>
    <cfRule type="containsText" dxfId="1935" priority="1750" stopIfTrue="1" operator="containsText" text="補假">
      <formula>NOT(ISERROR(SEARCH("補假",X11)))</formula>
    </cfRule>
    <cfRule type="containsText" dxfId="1934" priority="1751" stopIfTrue="1" operator="containsText" text="例假">
      <formula>NOT(ISERROR(SEARCH("例假",X11)))</formula>
    </cfRule>
    <cfRule type="containsText" dxfId="1933" priority="1752" stopIfTrue="1" operator="containsText" text="病假">
      <formula>NOT(ISERROR(SEARCH("病假",X11)))</formula>
    </cfRule>
    <cfRule type="containsText" dxfId="1932" priority="1753" stopIfTrue="1" operator="containsText" text="大假">
      <formula>NOT(ISERROR(SEARCH("大假",X11)))</formula>
    </cfRule>
    <cfRule type="containsText" dxfId="1931" priority="1754" stopIfTrue="1" operator="containsText" text="TIL">
      <formula>NOT(ISERROR(SEARCH("TIL",X11)))</formula>
    </cfRule>
    <cfRule type="containsText" dxfId="1930" priority="1755" stopIfTrue="1" operator="containsText" text="疫苗">
      <formula>NOT(ISERROR(SEARCH("疫苗",X11)))</formula>
    </cfRule>
    <cfRule type="containsText" dxfId="1929" priority="1756" stopIfTrue="1" operator="containsText" text="勞假">
      <formula>NOT(ISERROR(SEARCH("勞假",X11)))</formula>
    </cfRule>
    <cfRule type="containsText" dxfId="1928" priority="1757" stopIfTrue="1" operator="containsText" text="補假">
      <formula>NOT(ISERROR(SEARCH("補假",X11)))</formula>
    </cfRule>
    <cfRule type="containsText" dxfId="1927" priority="1758" stopIfTrue="1" operator="containsText" text="例假">
      <formula>NOT(ISERROR(SEARCH("例假",X11)))</formula>
    </cfRule>
    <cfRule type="containsText" dxfId="1926" priority="1759" stopIfTrue="1" operator="containsText" text="病假">
      <formula>NOT(ISERROR(SEARCH("病假",X11)))</formula>
    </cfRule>
    <cfRule type="containsText" dxfId="1925" priority="1760" stopIfTrue="1" operator="containsText" text="大假">
      <formula>NOT(ISERROR(SEARCH("大假",X11)))</formula>
    </cfRule>
    <cfRule type="containsText" dxfId="1924" priority="1761" stopIfTrue="1" operator="containsText" text="無薪">
      <formula>NOT(ISERROR(SEARCH("無薪",X11)))</formula>
    </cfRule>
    <cfRule type="containsText" dxfId="1923" priority="1762" stopIfTrue="1" operator="containsText" text="疫苗">
      <formula>NOT(ISERROR(SEARCH("疫苗",X11)))</formula>
    </cfRule>
    <cfRule type="containsText" dxfId="1922" priority="1763" stopIfTrue="1" operator="containsText" text="勞假">
      <formula>NOT(ISERROR(SEARCH("勞假",X11)))</formula>
    </cfRule>
    <cfRule type="containsText" dxfId="1921" priority="1764" stopIfTrue="1" operator="containsText" text="補假">
      <formula>NOT(ISERROR(SEARCH("補假",X11)))</formula>
    </cfRule>
    <cfRule type="containsText" dxfId="1920" priority="1765" stopIfTrue="1" operator="containsText" text="例假">
      <formula>NOT(ISERROR(SEARCH("例假",X11)))</formula>
    </cfRule>
    <cfRule type="containsText" dxfId="1919" priority="1766" stopIfTrue="1" operator="containsText" text="病假">
      <formula>NOT(ISERROR(SEARCH("病假",X11)))</formula>
    </cfRule>
    <cfRule type="containsText" dxfId="1918" priority="1767" stopIfTrue="1" operator="containsText" text="大假">
      <formula>NOT(ISERROR(SEARCH("大假",X11)))</formula>
    </cfRule>
    <cfRule type="containsText" dxfId="1917" priority="1768" stopIfTrue="1" operator="containsText" text="無薪">
      <formula>NOT(ISERROR(SEARCH("無薪",X11)))</formula>
    </cfRule>
    <cfRule type="containsText" dxfId="1916" priority="1769" stopIfTrue="1" operator="containsText" text="TIL">
      <formula>NOT(ISERROR(SEARCH("TIL",X11)))</formula>
    </cfRule>
    <cfRule type="containsText" dxfId="1915" priority="1770" stopIfTrue="1" operator="containsText" text="疫苗">
      <formula>NOT(ISERROR(SEARCH("疫苗",X11)))</formula>
    </cfRule>
    <cfRule type="containsText" dxfId="1914" priority="1771" stopIfTrue="1" operator="containsText" text="勞假">
      <formula>NOT(ISERROR(SEARCH("勞假",X11)))</formula>
    </cfRule>
    <cfRule type="containsText" dxfId="1913" priority="1772" stopIfTrue="1" operator="containsText" text="補假">
      <formula>NOT(ISERROR(SEARCH("補假",X11)))</formula>
    </cfRule>
    <cfRule type="containsText" dxfId="1912" priority="1773" stopIfTrue="1" operator="containsText" text="例假">
      <formula>NOT(ISERROR(SEARCH("例假",X11)))</formula>
    </cfRule>
    <cfRule type="containsText" dxfId="1911" priority="1774" stopIfTrue="1" operator="containsText" text="病假">
      <formula>NOT(ISERROR(SEARCH("病假",X11)))</formula>
    </cfRule>
    <cfRule type="containsText" dxfId="1910" priority="1775" stopIfTrue="1" operator="containsText" text="大假">
      <formula>NOT(ISERROR(SEARCH("大假",X11)))</formula>
    </cfRule>
    <cfRule type="containsText" dxfId="1909" priority="1776" stopIfTrue="1" operator="containsText" text="無薪">
      <formula>NOT(ISERROR(SEARCH("無薪",X11)))</formula>
    </cfRule>
    <cfRule type="containsText" dxfId="1908" priority="1777" stopIfTrue="1" operator="containsText" text="TIL">
      <formula>NOT(ISERROR(SEARCH("TIL",X11)))</formula>
    </cfRule>
    <cfRule type="containsText" dxfId="1907" priority="1778" stopIfTrue="1" operator="containsText" text="疫苗">
      <formula>NOT(ISERROR(SEARCH("疫苗",X11)))</formula>
    </cfRule>
    <cfRule type="containsText" dxfId="1906" priority="1779" stopIfTrue="1" operator="containsText" text="勞假">
      <formula>NOT(ISERROR(SEARCH("勞假",X11)))</formula>
    </cfRule>
    <cfRule type="containsText" dxfId="1905" priority="1780" stopIfTrue="1" operator="containsText" text="補假">
      <formula>NOT(ISERROR(SEARCH("補假",X11)))</formula>
    </cfRule>
    <cfRule type="containsText" dxfId="1904" priority="1781" stopIfTrue="1" operator="containsText" text="例假">
      <formula>NOT(ISERROR(SEARCH("例假",X11)))</formula>
    </cfRule>
    <cfRule type="containsText" dxfId="1903" priority="1782" stopIfTrue="1" operator="containsText" text="病假">
      <formula>NOT(ISERROR(SEARCH("病假",X11)))</formula>
    </cfRule>
    <cfRule type="containsText" dxfId="1902" priority="1783" stopIfTrue="1" operator="containsText" text="大假">
      <formula>NOT(ISERROR(SEARCH("大假",X11)))</formula>
    </cfRule>
    <cfRule type="containsText" dxfId="1901" priority="1784" stopIfTrue="1" operator="containsText" text="無薪">
      <formula>NOT(ISERROR(SEARCH("無薪",X11)))</formula>
    </cfRule>
    <cfRule type="cellIs" dxfId="1900" priority="1785" operator="equal">
      <formula>"NC"</formula>
    </cfRule>
    <cfRule type="cellIs" dxfId="1899" priority="1786" operator="equal">
      <formula>"nd"</formula>
    </cfRule>
    <cfRule type="cellIs" dxfId="1898" priority="1787" operator="equal">
      <formula>0</formula>
    </cfRule>
    <cfRule type="cellIs" dxfId="1897" priority="1788" operator="equal">
      <formula>"R"</formula>
    </cfRule>
    <cfRule type="cellIs" dxfId="1896" priority="1789" operator="equal">
      <formula>"NH12"</formula>
    </cfRule>
    <cfRule type="cellIs" dxfId="1895" priority="1790" operator="equal">
      <formula>"Nh11"</formula>
    </cfRule>
    <cfRule type="containsText" dxfId="1894" priority="1791" stopIfTrue="1" operator="containsText" text="TIL">
      <formula>NOT(ISERROR(SEARCH("TIL",X11)))</formula>
    </cfRule>
    <cfRule type="containsText" dxfId="1893" priority="1792" stopIfTrue="1" operator="containsText" text="疫苗">
      <formula>NOT(ISERROR(SEARCH("疫苗",X11)))</formula>
    </cfRule>
    <cfRule type="containsText" dxfId="1892" priority="1793" stopIfTrue="1" operator="containsText" text="勞假">
      <formula>NOT(ISERROR(SEARCH("勞假",X11)))</formula>
    </cfRule>
    <cfRule type="containsText" dxfId="1891" priority="1794" stopIfTrue="1" operator="containsText" text="補假">
      <formula>NOT(ISERROR(SEARCH("補假",X11)))</formula>
    </cfRule>
    <cfRule type="containsText" dxfId="1890" priority="1795" stopIfTrue="1" operator="containsText" text="例假">
      <formula>NOT(ISERROR(SEARCH("例假",X11)))</formula>
    </cfRule>
    <cfRule type="containsText" dxfId="1889" priority="1796" stopIfTrue="1" operator="containsText" text="病假">
      <formula>NOT(ISERROR(SEARCH("病假",X11)))</formula>
    </cfRule>
    <cfRule type="containsText" dxfId="1888" priority="1797" stopIfTrue="1" operator="containsText" text="大假">
      <formula>NOT(ISERROR(SEARCH("大假",X11)))</formula>
    </cfRule>
    <cfRule type="containsText" dxfId="1887" priority="1798" stopIfTrue="1" operator="containsText" text="無薪">
      <formula>NOT(ISERROR(SEARCH("無薪",X11)))</formula>
    </cfRule>
    <cfRule type="containsText" dxfId="1886" priority="1799" stopIfTrue="1" operator="containsText" text="TIL">
      <formula>NOT(ISERROR(SEARCH("TIL",X11)))</formula>
    </cfRule>
    <cfRule type="containsText" dxfId="1885" priority="1800" stopIfTrue="1" operator="containsText" text="疫苗">
      <formula>NOT(ISERROR(SEARCH("疫苗",X11)))</formula>
    </cfRule>
    <cfRule type="containsText" dxfId="1884" priority="1801" stopIfTrue="1" operator="containsText" text="勞假">
      <formula>NOT(ISERROR(SEARCH("勞假",X11)))</formula>
    </cfRule>
    <cfRule type="containsText" dxfId="1883" priority="1802" stopIfTrue="1" operator="containsText" text="補假">
      <formula>NOT(ISERROR(SEARCH("補假",X11)))</formula>
    </cfRule>
    <cfRule type="containsText" dxfId="1882" priority="1803" stopIfTrue="1" operator="containsText" text="例假">
      <formula>NOT(ISERROR(SEARCH("例假",X11)))</formula>
    </cfRule>
    <cfRule type="containsText" dxfId="1881" priority="1804" stopIfTrue="1" operator="containsText" text="病假">
      <formula>NOT(ISERROR(SEARCH("病假",X11)))</formula>
    </cfRule>
    <cfRule type="containsText" dxfId="1880" priority="1805" stopIfTrue="1" operator="containsText" text="大假">
      <formula>NOT(ISERROR(SEARCH("大假",X11)))</formula>
    </cfRule>
    <cfRule type="containsText" dxfId="1879" priority="1806" stopIfTrue="1" operator="containsText" text="無薪">
      <formula>NOT(ISERROR(SEARCH("無薪",X11)))</formula>
    </cfRule>
    <cfRule type="containsText" dxfId="1878" priority="1807" stopIfTrue="1" operator="containsText" text="疫苗">
      <formula>NOT(ISERROR(SEARCH("疫苗",X11)))</formula>
    </cfRule>
    <cfRule type="containsText" dxfId="1877" priority="1808" stopIfTrue="1" operator="containsText" text="勞假">
      <formula>NOT(ISERROR(SEARCH("勞假",X11)))</formula>
    </cfRule>
    <cfRule type="containsText" dxfId="1876" priority="1809" stopIfTrue="1" operator="containsText" text="補假">
      <formula>NOT(ISERROR(SEARCH("補假",X11)))</formula>
    </cfRule>
    <cfRule type="containsText" dxfId="1875" priority="1810" stopIfTrue="1" operator="containsText" text="例假">
      <formula>NOT(ISERROR(SEARCH("例假",X11)))</formula>
    </cfRule>
    <cfRule type="containsText" dxfId="1874" priority="1811" stopIfTrue="1" operator="containsText" text="病假">
      <formula>NOT(ISERROR(SEARCH("病假",X11)))</formula>
    </cfRule>
    <cfRule type="containsText" dxfId="1873" priority="1812" stopIfTrue="1" operator="containsText" text="大假">
      <formula>NOT(ISERROR(SEARCH("大假",X11)))</formula>
    </cfRule>
  </conditionalFormatting>
  <conditionalFormatting sqref="X43:Z43">
    <cfRule type="containsText" dxfId="1872" priority="2103" operator="containsText" text="RD">
      <formula>NOT(ISERROR(SEARCH("RD",X43)))</formula>
    </cfRule>
    <cfRule type="containsText" dxfId="1871" priority="2104" operator="containsText" text="NP">
      <formula>NOT(ISERROR(SEARCH("NP",X43)))</formula>
    </cfRule>
  </conditionalFormatting>
  <conditionalFormatting sqref="X18:AE18">
    <cfRule type="containsText" dxfId="1870" priority="2105" stopIfTrue="1" operator="containsText" text="TIL">
      <formula>NOT(ISERROR(SEARCH("TIL",X18)))</formula>
    </cfRule>
    <cfRule type="containsText" dxfId="1869" priority="2106" stopIfTrue="1" operator="containsText" text="疫苗">
      <formula>NOT(ISERROR(SEARCH("疫苗",X18)))</formula>
    </cfRule>
    <cfRule type="containsText" dxfId="1868" priority="2107" stopIfTrue="1" operator="containsText" text="勞假">
      <formula>NOT(ISERROR(SEARCH("勞假",X18)))</formula>
    </cfRule>
    <cfRule type="containsText" dxfId="1867" priority="2108" stopIfTrue="1" operator="containsText" text="補假">
      <formula>NOT(ISERROR(SEARCH("補假",X18)))</formula>
    </cfRule>
    <cfRule type="containsText" dxfId="1866" priority="2109" stopIfTrue="1" operator="containsText" text="例假">
      <formula>NOT(ISERROR(SEARCH("例假",X18)))</formula>
    </cfRule>
    <cfRule type="containsText" dxfId="1865" priority="2110" stopIfTrue="1" operator="containsText" text="病假">
      <formula>NOT(ISERROR(SEARCH("病假",X18)))</formula>
    </cfRule>
    <cfRule type="containsText" dxfId="1864" priority="2111" stopIfTrue="1" operator="containsText" text="大假">
      <formula>NOT(ISERROR(SEARCH("大假",X18)))</formula>
    </cfRule>
    <cfRule type="containsText" dxfId="1863" priority="2112" stopIfTrue="1" operator="containsText" text="無薪">
      <formula>NOT(ISERROR(SEARCH("無薪",X18)))</formula>
    </cfRule>
    <cfRule type="containsText" dxfId="1862" priority="2113" stopIfTrue="1" operator="containsText" text="TIL">
      <formula>NOT(ISERROR(SEARCH("TIL",X18)))</formula>
    </cfRule>
    <cfRule type="containsText" dxfId="1861" priority="2114" stopIfTrue="1" operator="containsText" text="疫苗">
      <formula>NOT(ISERROR(SEARCH("疫苗",X18)))</formula>
    </cfRule>
    <cfRule type="containsText" dxfId="1860" priority="2115" stopIfTrue="1" operator="containsText" text="勞假">
      <formula>NOT(ISERROR(SEARCH("勞假",X18)))</formula>
    </cfRule>
    <cfRule type="containsText" dxfId="1859" priority="2116" stopIfTrue="1" operator="containsText" text="補假">
      <formula>NOT(ISERROR(SEARCH("補假",X18)))</formula>
    </cfRule>
    <cfRule type="containsText" dxfId="1858" priority="2117" stopIfTrue="1" operator="containsText" text="例假">
      <formula>NOT(ISERROR(SEARCH("例假",X18)))</formula>
    </cfRule>
    <cfRule type="containsText" dxfId="1857" priority="2118" stopIfTrue="1" operator="containsText" text="病假">
      <formula>NOT(ISERROR(SEARCH("病假",X18)))</formula>
    </cfRule>
    <cfRule type="containsText" dxfId="1856" priority="2119" stopIfTrue="1" operator="containsText" text="大假">
      <formula>NOT(ISERROR(SEARCH("大假",X18)))</formula>
    </cfRule>
    <cfRule type="containsText" dxfId="1855" priority="2120" stopIfTrue="1" operator="containsText" text="TIL">
      <formula>NOT(ISERROR(SEARCH("TIL",X18)))</formula>
    </cfRule>
    <cfRule type="cellIs" dxfId="1854" priority="2121" stopIfTrue="1" operator="equal">
      <formula>"NP"</formula>
    </cfRule>
    <cfRule type="cellIs" dxfId="1853" priority="2122" stopIfTrue="1" operator="equal">
      <formula>"RD"</formula>
    </cfRule>
    <cfRule type="containsText" dxfId="1852" priority="2123" stopIfTrue="1" operator="containsText" text="TIL">
      <formula>NOT(ISERROR(SEARCH("TIL",X18)))</formula>
    </cfRule>
    <cfRule type="containsText" dxfId="1851" priority="2124" stopIfTrue="1" operator="containsText" text="疫苗">
      <formula>NOT(ISERROR(SEARCH("疫苗",X18)))</formula>
    </cfRule>
    <cfRule type="containsText" dxfId="1850" priority="2125" stopIfTrue="1" operator="containsText" text="勞假">
      <formula>NOT(ISERROR(SEARCH("勞假",X18)))</formula>
    </cfRule>
    <cfRule type="containsText" dxfId="1849" priority="2126" stopIfTrue="1" operator="containsText" text="補假">
      <formula>NOT(ISERROR(SEARCH("補假",X18)))</formula>
    </cfRule>
    <cfRule type="containsText" dxfId="1848" priority="2127" stopIfTrue="1" operator="containsText" text="例假">
      <formula>NOT(ISERROR(SEARCH("例假",X18)))</formula>
    </cfRule>
    <cfRule type="containsText" dxfId="1847" priority="2128" stopIfTrue="1" operator="containsText" text="病假">
      <formula>NOT(ISERROR(SEARCH("病假",X18)))</formula>
    </cfRule>
    <cfRule type="containsText" dxfId="1846" priority="2129" stopIfTrue="1" operator="containsText" text="大假">
      <formula>NOT(ISERROR(SEARCH("大假",X18)))</formula>
    </cfRule>
    <cfRule type="containsText" dxfId="1845" priority="2130" stopIfTrue="1" operator="containsText" text="TIL">
      <formula>NOT(ISERROR(SEARCH("TIL",X18)))</formula>
    </cfRule>
    <cfRule type="containsText" dxfId="1844" priority="2131" stopIfTrue="1" operator="containsText" text="疫苗">
      <formula>NOT(ISERROR(SEARCH("疫苗",X18)))</formula>
    </cfRule>
    <cfRule type="containsText" dxfId="1843" priority="2132" stopIfTrue="1" operator="containsText" text="勞假">
      <formula>NOT(ISERROR(SEARCH("勞假",X18)))</formula>
    </cfRule>
    <cfRule type="containsText" dxfId="1842" priority="2133" stopIfTrue="1" operator="containsText" text="補假">
      <formula>NOT(ISERROR(SEARCH("補假",X18)))</formula>
    </cfRule>
    <cfRule type="containsText" dxfId="1841" priority="2134" stopIfTrue="1" operator="containsText" text="例假">
      <formula>NOT(ISERROR(SEARCH("例假",X18)))</formula>
    </cfRule>
    <cfRule type="containsText" dxfId="1840" priority="2135" stopIfTrue="1" operator="containsText" text="病假">
      <formula>NOT(ISERROR(SEARCH("病假",X18)))</formula>
    </cfRule>
    <cfRule type="containsText" dxfId="1839" priority="2136" stopIfTrue="1" operator="containsText" text="大假">
      <formula>NOT(ISERROR(SEARCH("大假",X18)))</formula>
    </cfRule>
    <cfRule type="containsText" dxfId="1838" priority="2137" stopIfTrue="1" operator="containsText" text="無薪">
      <formula>NOT(ISERROR(SEARCH("無薪",X18)))</formula>
    </cfRule>
    <cfRule type="containsText" dxfId="1837" priority="2138" stopIfTrue="1" operator="containsText" text="疫苗">
      <formula>NOT(ISERROR(SEARCH("疫苗",X18)))</formula>
    </cfRule>
    <cfRule type="containsText" dxfId="1836" priority="2139" stopIfTrue="1" operator="containsText" text="勞假">
      <formula>NOT(ISERROR(SEARCH("勞假",X18)))</formula>
    </cfRule>
    <cfRule type="containsText" dxfId="1835" priority="2140" stopIfTrue="1" operator="containsText" text="補假">
      <formula>NOT(ISERROR(SEARCH("補假",X18)))</formula>
    </cfRule>
    <cfRule type="containsText" dxfId="1834" priority="2141" stopIfTrue="1" operator="containsText" text="例假">
      <formula>NOT(ISERROR(SEARCH("例假",X18)))</formula>
    </cfRule>
    <cfRule type="containsText" dxfId="1833" priority="2142" stopIfTrue="1" operator="containsText" text="病假">
      <formula>NOT(ISERROR(SEARCH("病假",X18)))</formula>
    </cfRule>
    <cfRule type="containsText" dxfId="1832" priority="2143" stopIfTrue="1" operator="containsText" text="大假">
      <formula>NOT(ISERROR(SEARCH("大假",X18)))</formula>
    </cfRule>
    <cfRule type="containsText" dxfId="1831" priority="2144" stopIfTrue="1" operator="containsText" text="無薪">
      <formula>NOT(ISERROR(SEARCH("無薪",X18)))</formula>
    </cfRule>
    <cfRule type="containsText" dxfId="1830" priority="2145" stopIfTrue="1" operator="containsText" text="TIL">
      <formula>NOT(ISERROR(SEARCH("TIL",X18)))</formula>
    </cfRule>
    <cfRule type="containsText" dxfId="1829" priority="2146" stopIfTrue="1" operator="containsText" text="疫苗">
      <formula>NOT(ISERROR(SEARCH("疫苗",X18)))</formula>
    </cfRule>
    <cfRule type="containsText" dxfId="1828" priority="2147" stopIfTrue="1" operator="containsText" text="勞假">
      <formula>NOT(ISERROR(SEARCH("勞假",X18)))</formula>
    </cfRule>
    <cfRule type="containsText" dxfId="1827" priority="2148" stopIfTrue="1" operator="containsText" text="補假">
      <formula>NOT(ISERROR(SEARCH("補假",X18)))</formula>
    </cfRule>
    <cfRule type="containsText" dxfId="1826" priority="2149" stopIfTrue="1" operator="containsText" text="例假">
      <formula>NOT(ISERROR(SEARCH("例假",X18)))</formula>
    </cfRule>
    <cfRule type="containsText" dxfId="1825" priority="2150" stopIfTrue="1" operator="containsText" text="病假">
      <formula>NOT(ISERROR(SEARCH("病假",X18)))</formula>
    </cfRule>
    <cfRule type="containsText" dxfId="1824" priority="2151" stopIfTrue="1" operator="containsText" text="大假">
      <formula>NOT(ISERROR(SEARCH("大假",X18)))</formula>
    </cfRule>
    <cfRule type="containsText" dxfId="1823" priority="2152" stopIfTrue="1" operator="containsText" text="無薪">
      <formula>NOT(ISERROR(SEARCH("無薪",X18)))</formula>
    </cfRule>
    <cfRule type="containsText" dxfId="1822" priority="2153" stopIfTrue="1" operator="containsText" text="TIL">
      <formula>NOT(ISERROR(SEARCH("TIL",X18)))</formula>
    </cfRule>
    <cfRule type="containsText" dxfId="1821" priority="2154" stopIfTrue="1" operator="containsText" text="疫苗">
      <formula>NOT(ISERROR(SEARCH("疫苗",X18)))</formula>
    </cfRule>
    <cfRule type="containsText" dxfId="1820" priority="2155" stopIfTrue="1" operator="containsText" text="勞假">
      <formula>NOT(ISERROR(SEARCH("勞假",X18)))</formula>
    </cfRule>
    <cfRule type="containsText" dxfId="1819" priority="2156" stopIfTrue="1" operator="containsText" text="補假">
      <formula>NOT(ISERROR(SEARCH("補假",X18)))</formula>
    </cfRule>
    <cfRule type="containsText" dxfId="1818" priority="2157" stopIfTrue="1" operator="containsText" text="例假">
      <formula>NOT(ISERROR(SEARCH("例假",X18)))</formula>
    </cfRule>
    <cfRule type="containsText" dxfId="1817" priority="2158" stopIfTrue="1" operator="containsText" text="病假">
      <formula>NOT(ISERROR(SEARCH("病假",X18)))</formula>
    </cfRule>
    <cfRule type="containsText" dxfId="1816" priority="2159" stopIfTrue="1" operator="containsText" text="大假">
      <formula>NOT(ISERROR(SEARCH("大假",X18)))</formula>
    </cfRule>
    <cfRule type="containsText" dxfId="1815" priority="2160" stopIfTrue="1" operator="containsText" text="無薪">
      <formula>NOT(ISERROR(SEARCH("無薪",X18)))</formula>
    </cfRule>
    <cfRule type="cellIs" dxfId="1814" priority="2161" operator="equal">
      <formula>"NC"</formula>
    </cfRule>
    <cfRule type="cellIs" dxfId="1813" priority="2162" operator="equal">
      <formula>"nd"</formula>
    </cfRule>
    <cfRule type="cellIs" dxfId="1812" priority="2163" operator="equal">
      <formula>0</formula>
    </cfRule>
    <cfRule type="cellIs" dxfId="1811" priority="2164" operator="equal">
      <formula>"R"</formula>
    </cfRule>
    <cfRule type="cellIs" dxfId="1810" priority="2165" operator="equal">
      <formula>"NH12"</formula>
    </cfRule>
    <cfRule type="cellIs" dxfId="1809" priority="2166" operator="equal">
      <formula>"Nh11"</formula>
    </cfRule>
    <cfRule type="containsText" dxfId="1808" priority="2167" stopIfTrue="1" operator="containsText" text="TIL">
      <formula>NOT(ISERROR(SEARCH("TIL",X18)))</formula>
    </cfRule>
    <cfRule type="containsText" dxfId="1807" priority="2168" stopIfTrue="1" operator="containsText" text="疫苗">
      <formula>NOT(ISERROR(SEARCH("疫苗",X18)))</formula>
    </cfRule>
    <cfRule type="containsText" dxfId="1806" priority="2169" stopIfTrue="1" operator="containsText" text="勞假">
      <formula>NOT(ISERROR(SEARCH("勞假",X18)))</formula>
    </cfRule>
    <cfRule type="containsText" dxfId="1805" priority="2170" stopIfTrue="1" operator="containsText" text="補假">
      <formula>NOT(ISERROR(SEARCH("補假",X18)))</formula>
    </cfRule>
    <cfRule type="containsText" dxfId="1804" priority="2171" stopIfTrue="1" operator="containsText" text="例假">
      <formula>NOT(ISERROR(SEARCH("例假",X18)))</formula>
    </cfRule>
    <cfRule type="containsText" dxfId="1803" priority="2172" stopIfTrue="1" operator="containsText" text="病假">
      <formula>NOT(ISERROR(SEARCH("病假",X18)))</formula>
    </cfRule>
    <cfRule type="containsText" dxfId="1802" priority="2173" stopIfTrue="1" operator="containsText" text="大假">
      <formula>NOT(ISERROR(SEARCH("大假",X18)))</formula>
    </cfRule>
    <cfRule type="containsText" dxfId="1801" priority="2174" stopIfTrue="1" operator="containsText" text="無薪">
      <formula>NOT(ISERROR(SEARCH("無薪",X18)))</formula>
    </cfRule>
    <cfRule type="containsText" dxfId="1800" priority="2175" stopIfTrue="1" operator="containsText" text="TIL">
      <formula>NOT(ISERROR(SEARCH("TIL",X18)))</formula>
    </cfRule>
    <cfRule type="containsText" dxfId="1799" priority="2176" stopIfTrue="1" operator="containsText" text="疫苗">
      <formula>NOT(ISERROR(SEARCH("疫苗",X18)))</formula>
    </cfRule>
    <cfRule type="containsText" dxfId="1798" priority="2177" stopIfTrue="1" operator="containsText" text="勞假">
      <formula>NOT(ISERROR(SEARCH("勞假",X18)))</formula>
    </cfRule>
    <cfRule type="containsText" dxfId="1797" priority="2178" stopIfTrue="1" operator="containsText" text="補假">
      <formula>NOT(ISERROR(SEARCH("補假",X18)))</formula>
    </cfRule>
    <cfRule type="containsText" dxfId="1796" priority="2179" stopIfTrue="1" operator="containsText" text="例假">
      <formula>NOT(ISERROR(SEARCH("例假",X18)))</formula>
    </cfRule>
    <cfRule type="containsText" dxfId="1795" priority="2180" stopIfTrue="1" operator="containsText" text="病假">
      <formula>NOT(ISERROR(SEARCH("病假",X18)))</formula>
    </cfRule>
    <cfRule type="containsText" dxfId="1794" priority="2181" stopIfTrue="1" operator="containsText" text="大假">
      <formula>NOT(ISERROR(SEARCH("大假",X18)))</formula>
    </cfRule>
    <cfRule type="containsText" dxfId="1793" priority="2182" stopIfTrue="1" operator="containsText" text="無薪">
      <formula>NOT(ISERROR(SEARCH("無薪",X18)))</formula>
    </cfRule>
    <cfRule type="containsText" dxfId="1792" priority="2183" stopIfTrue="1" operator="containsText" text="疫苗">
      <formula>NOT(ISERROR(SEARCH("疫苗",X18)))</formula>
    </cfRule>
    <cfRule type="containsText" dxfId="1791" priority="2184" stopIfTrue="1" operator="containsText" text="勞假">
      <formula>NOT(ISERROR(SEARCH("勞假",X18)))</formula>
    </cfRule>
    <cfRule type="containsText" dxfId="1790" priority="2185" stopIfTrue="1" operator="containsText" text="補假">
      <formula>NOT(ISERROR(SEARCH("補假",X18)))</formula>
    </cfRule>
    <cfRule type="containsText" dxfId="1789" priority="2186" stopIfTrue="1" operator="containsText" text="例假">
      <formula>NOT(ISERROR(SEARCH("例假",X18)))</formula>
    </cfRule>
    <cfRule type="containsText" dxfId="1788" priority="2187" stopIfTrue="1" operator="containsText" text="病假">
      <formula>NOT(ISERROR(SEARCH("病假",X18)))</formula>
    </cfRule>
    <cfRule type="containsText" dxfId="1787" priority="2188" stopIfTrue="1" operator="containsText" text="大假">
      <formula>NOT(ISERROR(SEARCH("大假",X18)))</formula>
    </cfRule>
    <cfRule type="containsText" dxfId="1786" priority="2189" stopIfTrue="1" operator="containsText" text="無薪">
      <formula>NOT(ISERROR(SEARCH("無薪",X18)))</formula>
    </cfRule>
    <cfRule type="containsText" dxfId="1785" priority="2190" stopIfTrue="1" operator="containsText" text="TIL">
      <formula>NOT(ISERROR(SEARCH("TIL",X18)))</formula>
    </cfRule>
    <cfRule type="containsText" dxfId="1784" priority="2191" stopIfTrue="1" operator="containsText" text="疫苗">
      <formula>NOT(ISERROR(SEARCH("疫苗",X18)))</formula>
    </cfRule>
    <cfRule type="containsText" dxfId="1783" priority="2192" stopIfTrue="1" operator="containsText" text="勞假">
      <formula>NOT(ISERROR(SEARCH("勞假",X18)))</formula>
    </cfRule>
    <cfRule type="containsText" dxfId="1782" priority="2193" stopIfTrue="1" operator="containsText" text="補假">
      <formula>NOT(ISERROR(SEARCH("補假",X18)))</formula>
    </cfRule>
    <cfRule type="containsText" dxfId="1781" priority="2194" stopIfTrue="1" operator="containsText" text="例假">
      <formula>NOT(ISERROR(SEARCH("例假",X18)))</formula>
    </cfRule>
    <cfRule type="containsText" dxfId="1780" priority="2195" stopIfTrue="1" operator="containsText" text="病假">
      <formula>NOT(ISERROR(SEARCH("病假",X18)))</formula>
    </cfRule>
    <cfRule type="containsText" dxfId="1779" priority="2196" stopIfTrue="1" operator="containsText" text="大假">
      <formula>NOT(ISERROR(SEARCH("大假",X18)))</formula>
    </cfRule>
    <cfRule type="containsText" dxfId="1778" priority="2197" stopIfTrue="1" operator="containsText" text="無薪">
      <formula>NOT(ISERROR(SEARCH("無薪",X18)))</formula>
    </cfRule>
    <cfRule type="containsText" dxfId="1777" priority="2198" stopIfTrue="1" operator="containsText" text="TIL">
      <formula>NOT(ISERROR(SEARCH("TIL",X18)))</formula>
    </cfRule>
    <cfRule type="containsText" dxfId="1776" priority="2199" stopIfTrue="1" operator="containsText" text="疫苗">
      <formula>NOT(ISERROR(SEARCH("疫苗",X18)))</formula>
    </cfRule>
    <cfRule type="containsText" dxfId="1775" priority="2200" stopIfTrue="1" operator="containsText" text="勞假">
      <formula>NOT(ISERROR(SEARCH("勞假",X18)))</formula>
    </cfRule>
    <cfRule type="containsText" dxfId="1774" priority="2201" stopIfTrue="1" operator="containsText" text="補假">
      <formula>NOT(ISERROR(SEARCH("補假",X18)))</formula>
    </cfRule>
    <cfRule type="containsText" dxfId="1773" priority="2202" stopIfTrue="1" operator="containsText" text="例假">
      <formula>NOT(ISERROR(SEARCH("例假",X18)))</formula>
    </cfRule>
    <cfRule type="containsText" dxfId="1772" priority="2203" stopIfTrue="1" operator="containsText" text="病假">
      <formula>NOT(ISERROR(SEARCH("病假",X18)))</formula>
    </cfRule>
    <cfRule type="containsText" dxfId="1771" priority="2204" stopIfTrue="1" operator="containsText" text="大假">
      <formula>NOT(ISERROR(SEARCH("大假",X18)))</formula>
    </cfRule>
    <cfRule type="containsText" dxfId="1770" priority="2205" stopIfTrue="1" operator="containsText" text="TIL">
      <formula>NOT(ISERROR(SEARCH("TIL",X18)))</formula>
    </cfRule>
    <cfRule type="cellIs" dxfId="1769" priority="2206" stopIfTrue="1" operator="equal">
      <formula>"NP"</formula>
    </cfRule>
    <cfRule type="cellIs" dxfId="1768" priority="2207" stopIfTrue="1" operator="equal">
      <formula>"RD"</formula>
    </cfRule>
    <cfRule type="containsText" dxfId="1767" priority="2208" stopIfTrue="1" operator="containsText" text="TIL">
      <formula>NOT(ISERROR(SEARCH("TIL",X18)))</formula>
    </cfRule>
    <cfRule type="containsText" dxfId="1766" priority="2209" stopIfTrue="1" operator="containsText" text="疫苗">
      <formula>NOT(ISERROR(SEARCH("疫苗",X18)))</formula>
    </cfRule>
    <cfRule type="containsText" dxfId="1765" priority="2210" stopIfTrue="1" operator="containsText" text="勞假">
      <formula>NOT(ISERROR(SEARCH("勞假",X18)))</formula>
    </cfRule>
    <cfRule type="containsText" dxfId="1764" priority="2211" stopIfTrue="1" operator="containsText" text="補假">
      <formula>NOT(ISERROR(SEARCH("補假",X18)))</formula>
    </cfRule>
    <cfRule type="containsText" dxfId="1763" priority="2212" stopIfTrue="1" operator="containsText" text="例假">
      <formula>NOT(ISERROR(SEARCH("例假",X18)))</formula>
    </cfRule>
    <cfRule type="containsText" dxfId="1762" priority="2213" stopIfTrue="1" operator="containsText" text="病假">
      <formula>NOT(ISERROR(SEARCH("病假",X18)))</formula>
    </cfRule>
    <cfRule type="containsText" dxfId="1761" priority="2214" stopIfTrue="1" operator="containsText" text="大假">
      <formula>NOT(ISERROR(SEARCH("大假",X18)))</formula>
    </cfRule>
    <cfRule type="containsText" dxfId="1760" priority="2215" stopIfTrue="1" operator="containsText" text="TIL">
      <formula>NOT(ISERROR(SEARCH("TIL",X18)))</formula>
    </cfRule>
    <cfRule type="containsText" dxfId="1759" priority="2216" stopIfTrue="1" operator="containsText" text="疫苗">
      <formula>NOT(ISERROR(SEARCH("疫苗",X18)))</formula>
    </cfRule>
    <cfRule type="containsText" dxfId="1758" priority="2217" stopIfTrue="1" operator="containsText" text="勞假">
      <formula>NOT(ISERROR(SEARCH("勞假",X18)))</formula>
    </cfRule>
    <cfRule type="containsText" dxfId="1757" priority="2218" stopIfTrue="1" operator="containsText" text="補假">
      <formula>NOT(ISERROR(SEARCH("補假",X18)))</formula>
    </cfRule>
    <cfRule type="containsText" dxfId="1756" priority="2219" stopIfTrue="1" operator="containsText" text="例假">
      <formula>NOT(ISERROR(SEARCH("例假",X18)))</formula>
    </cfRule>
    <cfRule type="containsText" dxfId="1755" priority="2220" stopIfTrue="1" operator="containsText" text="病假">
      <formula>NOT(ISERROR(SEARCH("病假",X18)))</formula>
    </cfRule>
    <cfRule type="containsText" dxfId="1754" priority="2221" stopIfTrue="1" operator="containsText" text="大假">
      <formula>NOT(ISERROR(SEARCH("大假",X18)))</formula>
    </cfRule>
    <cfRule type="containsText" dxfId="1753" priority="2222" stopIfTrue="1" operator="containsText" text="無薪">
      <formula>NOT(ISERROR(SEARCH("無薪",X18)))</formula>
    </cfRule>
    <cfRule type="containsText" dxfId="1752" priority="2223" stopIfTrue="1" operator="containsText" text="疫苗">
      <formula>NOT(ISERROR(SEARCH("疫苗",X18)))</formula>
    </cfRule>
    <cfRule type="containsText" dxfId="1751" priority="2224" stopIfTrue="1" operator="containsText" text="勞假">
      <formula>NOT(ISERROR(SEARCH("勞假",X18)))</formula>
    </cfRule>
    <cfRule type="containsText" dxfId="1750" priority="2225" stopIfTrue="1" operator="containsText" text="補假">
      <formula>NOT(ISERROR(SEARCH("補假",X18)))</formula>
    </cfRule>
    <cfRule type="containsText" dxfId="1749" priority="2226" stopIfTrue="1" operator="containsText" text="例假">
      <formula>NOT(ISERROR(SEARCH("例假",X18)))</formula>
    </cfRule>
    <cfRule type="containsText" dxfId="1748" priority="2227" stopIfTrue="1" operator="containsText" text="病假">
      <formula>NOT(ISERROR(SEARCH("病假",X18)))</formula>
    </cfRule>
    <cfRule type="containsText" dxfId="1747" priority="2228" stopIfTrue="1" operator="containsText" text="大假">
      <formula>NOT(ISERROR(SEARCH("大假",X18)))</formula>
    </cfRule>
    <cfRule type="containsText" dxfId="1746" priority="2229" stopIfTrue="1" operator="containsText" text="無薪">
      <formula>NOT(ISERROR(SEARCH("無薪",X18)))</formula>
    </cfRule>
    <cfRule type="containsText" dxfId="1745" priority="2230" stopIfTrue="1" operator="containsText" text="TIL">
      <formula>NOT(ISERROR(SEARCH("TIL",X18)))</formula>
    </cfRule>
    <cfRule type="containsText" dxfId="1744" priority="2231" stopIfTrue="1" operator="containsText" text="疫苗">
      <formula>NOT(ISERROR(SEARCH("疫苗",X18)))</formula>
    </cfRule>
    <cfRule type="containsText" dxfId="1743" priority="2232" stopIfTrue="1" operator="containsText" text="勞假">
      <formula>NOT(ISERROR(SEARCH("勞假",X18)))</formula>
    </cfRule>
    <cfRule type="containsText" dxfId="1742" priority="2233" stopIfTrue="1" operator="containsText" text="補假">
      <formula>NOT(ISERROR(SEARCH("補假",X18)))</formula>
    </cfRule>
    <cfRule type="containsText" dxfId="1741" priority="2234" stopIfTrue="1" operator="containsText" text="例假">
      <formula>NOT(ISERROR(SEARCH("例假",X18)))</formula>
    </cfRule>
    <cfRule type="containsText" dxfId="1740" priority="2235" stopIfTrue="1" operator="containsText" text="病假">
      <formula>NOT(ISERROR(SEARCH("病假",X18)))</formula>
    </cfRule>
    <cfRule type="containsText" dxfId="1739" priority="2236" stopIfTrue="1" operator="containsText" text="大假">
      <formula>NOT(ISERROR(SEARCH("大假",X18)))</formula>
    </cfRule>
    <cfRule type="containsText" dxfId="1738" priority="2237" stopIfTrue="1" operator="containsText" text="無薪">
      <formula>NOT(ISERROR(SEARCH("無薪",X18)))</formula>
    </cfRule>
    <cfRule type="containsText" dxfId="1737" priority="2238" stopIfTrue="1" operator="containsText" text="TIL">
      <formula>NOT(ISERROR(SEARCH("TIL",X18)))</formula>
    </cfRule>
    <cfRule type="containsText" dxfId="1736" priority="2239" stopIfTrue="1" operator="containsText" text="疫苗">
      <formula>NOT(ISERROR(SEARCH("疫苗",X18)))</formula>
    </cfRule>
    <cfRule type="containsText" dxfId="1735" priority="2240" stopIfTrue="1" operator="containsText" text="勞假">
      <formula>NOT(ISERROR(SEARCH("勞假",X18)))</formula>
    </cfRule>
    <cfRule type="containsText" dxfId="1734" priority="2241" stopIfTrue="1" operator="containsText" text="補假">
      <formula>NOT(ISERROR(SEARCH("補假",X18)))</formula>
    </cfRule>
    <cfRule type="containsText" dxfId="1733" priority="2242" stopIfTrue="1" operator="containsText" text="例假">
      <formula>NOT(ISERROR(SEARCH("例假",X18)))</formula>
    </cfRule>
    <cfRule type="containsText" dxfId="1732" priority="2243" stopIfTrue="1" operator="containsText" text="病假">
      <formula>NOT(ISERROR(SEARCH("病假",X18)))</formula>
    </cfRule>
    <cfRule type="containsText" dxfId="1731" priority="2244" stopIfTrue="1" operator="containsText" text="大假">
      <formula>NOT(ISERROR(SEARCH("大假",X18)))</formula>
    </cfRule>
    <cfRule type="containsText" dxfId="1730" priority="2245" stopIfTrue="1" operator="containsText" text="無薪">
      <formula>NOT(ISERROR(SEARCH("無薪",X18)))</formula>
    </cfRule>
    <cfRule type="cellIs" dxfId="1729" priority="2246" operator="equal">
      <formula>"NC"</formula>
    </cfRule>
    <cfRule type="cellIs" dxfId="1728" priority="2247" operator="equal">
      <formula>"nd"</formula>
    </cfRule>
    <cfRule type="cellIs" dxfId="1727" priority="2248" operator="equal">
      <formula>0</formula>
    </cfRule>
    <cfRule type="cellIs" dxfId="1726" priority="2249" operator="equal">
      <formula>"R"</formula>
    </cfRule>
    <cfRule type="cellIs" dxfId="1725" priority="2250" operator="equal">
      <formula>"NH12"</formula>
    </cfRule>
    <cfRule type="cellIs" dxfId="1724" priority="2251" operator="equal">
      <formula>"Nh11"</formula>
    </cfRule>
    <cfRule type="containsText" dxfId="1723" priority="2252" stopIfTrue="1" operator="containsText" text="TIL">
      <formula>NOT(ISERROR(SEARCH("TIL",X18)))</formula>
    </cfRule>
    <cfRule type="containsText" dxfId="1722" priority="2253" stopIfTrue="1" operator="containsText" text="疫苗">
      <formula>NOT(ISERROR(SEARCH("疫苗",X18)))</formula>
    </cfRule>
    <cfRule type="containsText" dxfId="1721" priority="2254" stopIfTrue="1" operator="containsText" text="勞假">
      <formula>NOT(ISERROR(SEARCH("勞假",X18)))</formula>
    </cfRule>
    <cfRule type="containsText" dxfId="1720" priority="2255" stopIfTrue="1" operator="containsText" text="補假">
      <formula>NOT(ISERROR(SEARCH("補假",X18)))</formula>
    </cfRule>
    <cfRule type="containsText" dxfId="1719" priority="2256" stopIfTrue="1" operator="containsText" text="例假">
      <formula>NOT(ISERROR(SEARCH("例假",X18)))</formula>
    </cfRule>
    <cfRule type="containsText" dxfId="1718" priority="2257" stopIfTrue="1" operator="containsText" text="病假">
      <formula>NOT(ISERROR(SEARCH("病假",X18)))</formula>
    </cfRule>
    <cfRule type="containsText" dxfId="1717" priority="2258" stopIfTrue="1" operator="containsText" text="大假">
      <formula>NOT(ISERROR(SEARCH("大假",X18)))</formula>
    </cfRule>
    <cfRule type="containsText" dxfId="1716" priority="2259" stopIfTrue="1" operator="containsText" text="無薪">
      <formula>NOT(ISERROR(SEARCH("無薪",X18)))</formula>
    </cfRule>
    <cfRule type="containsText" dxfId="1715" priority="2260" stopIfTrue="1" operator="containsText" text="TIL">
      <formula>NOT(ISERROR(SEARCH("TIL",X18)))</formula>
    </cfRule>
    <cfRule type="containsText" dxfId="1714" priority="2261" stopIfTrue="1" operator="containsText" text="疫苗">
      <formula>NOT(ISERROR(SEARCH("疫苗",X18)))</formula>
    </cfRule>
    <cfRule type="containsText" dxfId="1713" priority="2262" stopIfTrue="1" operator="containsText" text="勞假">
      <formula>NOT(ISERROR(SEARCH("勞假",X18)))</formula>
    </cfRule>
    <cfRule type="containsText" dxfId="1712" priority="2263" stopIfTrue="1" operator="containsText" text="補假">
      <formula>NOT(ISERROR(SEARCH("補假",X18)))</formula>
    </cfRule>
    <cfRule type="containsText" dxfId="1711" priority="2264" stopIfTrue="1" operator="containsText" text="例假">
      <formula>NOT(ISERROR(SEARCH("例假",X18)))</formula>
    </cfRule>
    <cfRule type="containsText" dxfId="1710" priority="2265" stopIfTrue="1" operator="containsText" text="病假">
      <formula>NOT(ISERROR(SEARCH("病假",X18)))</formula>
    </cfRule>
    <cfRule type="containsText" dxfId="1709" priority="2266" stopIfTrue="1" operator="containsText" text="大假">
      <formula>NOT(ISERROR(SEARCH("大假",X18)))</formula>
    </cfRule>
    <cfRule type="containsText" dxfId="1708" priority="2267" stopIfTrue="1" operator="containsText" text="無薪">
      <formula>NOT(ISERROR(SEARCH("無薪",X18)))</formula>
    </cfRule>
    <cfRule type="containsText" dxfId="1707" priority="2268" stopIfTrue="1" operator="containsText" text="疫苗">
      <formula>NOT(ISERROR(SEARCH("疫苗",X18)))</formula>
    </cfRule>
    <cfRule type="containsText" dxfId="1706" priority="2269" stopIfTrue="1" operator="containsText" text="勞假">
      <formula>NOT(ISERROR(SEARCH("勞假",X18)))</formula>
    </cfRule>
    <cfRule type="containsText" dxfId="1705" priority="2270" stopIfTrue="1" operator="containsText" text="補假">
      <formula>NOT(ISERROR(SEARCH("補假",X18)))</formula>
    </cfRule>
    <cfRule type="containsText" dxfId="1704" priority="2271" stopIfTrue="1" operator="containsText" text="例假">
      <formula>NOT(ISERROR(SEARCH("例假",X18)))</formula>
    </cfRule>
    <cfRule type="containsText" dxfId="1703" priority="2272" stopIfTrue="1" operator="containsText" text="病假">
      <formula>NOT(ISERROR(SEARCH("病假",X18)))</formula>
    </cfRule>
    <cfRule type="containsText" dxfId="1702" priority="2273" stopIfTrue="1" operator="containsText" text="大假">
      <formula>NOT(ISERROR(SEARCH("大假",X18)))</formula>
    </cfRule>
    <cfRule type="containsText" dxfId="1701" priority="2274" stopIfTrue="1" operator="containsText" text="無薪">
      <formula>NOT(ISERROR(SEARCH("無薪",X18)))</formula>
    </cfRule>
  </conditionalFormatting>
  <conditionalFormatting sqref="Y14:Y15">
    <cfRule type="cellIs" dxfId="1700" priority="1313" stopIfTrue="1" operator="equal">
      <formula>"NP"</formula>
    </cfRule>
    <cfRule type="cellIs" dxfId="1699" priority="1314" stopIfTrue="1" operator="equal">
      <formula>"RD"</formula>
    </cfRule>
    <cfRule type="cellIs" dxfId="1698" priority="1315" operator="equal">
      <formula>"NC"</formula>
    </cfRule>
  </conditionalFormatting>
  <conditionalFormatting sqref="Y37:Y38">
    <cfRule type="cellIs" dxfId="1697" priority="1252" stopIfTrue="1" operator="equal">
      <formula>"NP"</formula>
    </cfRule>
    <cfRule type="cellIs" dxfId="1696" priority="1253" stopIfTrue="1" operator="equal">
      <formula>"RD"</formula>
    </cfRule>
    <cfRule type="cellIs" dxfId="1695" priority="1254" operator="equal">
      <formula>"NC"</formula>
    </cfRule>
  </conditionalFormatting>
  <conditionalFormatting sqref="Y43">
    <cfRule type="cellIs" dxfId="1694" priority="1370" operator="equal">
      <formula>"NSH"</formula>
    </cfRule>
    <cfRule type="cellIs" dxfId="1693" priority="1371" operator="equal">
      <formula>"VO"</formula>
    </cfRule>
    <cfRule type="cellIs" dxfId="1692" priority="1372" operator="equal">
      <formula>"CW"</formula>
    </cfRule>
    <cfRule type="cellIs" dxfId="1691" priority="1373" operator="equal">
      <formula>"CF"</formula>
    </cfRule>
    <cfRule type="containsText" dxfId="1690" priority="1374" stopIfTrue="1" operator="containsText" text="無薪">
      <formula>NOT(ISERROR(SEARCH("無薪",Y43)))</formula>
    </cfRule>
    <cfRule type="containsText" dxfId="1689" priority="1375" stopIfTrue="1" operator="containsText" text="TIL">
      <formula>NOT(ISERROR(SEARCH("TIL",Y43)))</formula>
    </cfRule>
    <cfRule type="containsText" dxfId="1688" priority="1376" stopIfTrue="1" operator="containsText" text="疫苗">
      <formula>NOT(ISERROR(SEARCH("疫苗",Y43)))</formula>
    </cfRule>
    <cfRule type="containsText" dxfId="1687" priority="1377" stopIfTrue="1" operator="containsText" text="勞假">
      <formula>NOT(ISERROR(SEARCH("勞假",Y43)))</formula>
    </cfRule>
    <cfRule type="containsText" dxfId="1686" priority="1378" stopIfTrue="1" operator="containsText" text="補假">
      <formula>NOT(ISERROR(SEARCH("補假",Y43)))</formula>
    </cfRule>
    <cfRule type="containsText" dxfId="1685" priority="1379" stopIfTrue="1" operator="containsText" text="例假">
      <formula>NOT(ISERROR(SEARCH("例假",Y43)))</formula>
    </cfRule>
    <cfRule type="containsText" dxfId="1684" priority="1380" stopIfTrue="1" operator="containsText" text="病假">
      <formula>NOT(ISERROR(SEARCH("病假",Y43)))</formula>
    </cfRule>
    <cfRule type="containsText" dxfId="1683" priority="1381" stopIfTrue="1" operator="containsText" text="大假">
      <formula>NOT(ISERROR(SEARCH("大假",Y43)))</formula>
    </cfRule>
    <cfRule type="containsText" dxfId="1682" priority="1382" stopIfTrue="1" operator="containsText" text="無薪">
      <formula>NOT(ISERROR(SEARCH("無薪",Y43)))</formula>
    </cfRule>
    <cfRule type="containsText" dxfId="1681" priority="1383" stopIfTrue="1" operator="containsText" text="TIL">
      <formula>NOT(ISERROR(SEARCH("TIL",Y43)))</formula>
    </cfRule>
    <cfRule type="containsText" dxfId="1680" priority="1384" stopIfTrue="1" operator="containsText" text="疫苗">
      <formula>NOT(ISERROR(SEARCH("疫苗",Y43)))</formula>
    </cfRule>
    <cfRule type="containsText" dxfId="1679" priority="1385" stopIfTrue="1" operator="containsText" text="勞假">
      <formula>NOT(ISERROR(SEARCH("勞假",Y43)))</formula>
    </cfRule>
    <cfRule type="containsText" dxfId="1678" priority="1386" stopIfTrue="1" operator="containsText" text="補假">
      <formula>NOT(ISERROR(SEARCH("補假",Y43)))</formula>
    </cfRule>
    <cfRule type="containsText" dxfId="1677" priority="1387" stopIfTrue="1" operator="containsText" text="例假">
      <formula>NOT(ISERROR(SEARCH("例假",Y43)))</formula>
    </cfRule>
    <cfRule type="containsText" dxfId="1676" priority="1388" stopIfTrue="1" operator="containsText" text="病假">
      <formula>NOT(ISERROR(SEARCH("病假",Y43)))</formula>
    </cfRule>
    <cfRule type="containsText" dxfId="1675" priority="1389" stopIfTrue="1" operator="containsText" text="大假">
      <formula>NOT(ISERROR(SEARCH("大假",Y43)))</formula>
    </cfRule>
    <cfRule type="containsText" dxfId="1674" priority="1390" stopIfTrue="1" operator="containsText" text="TIL">
      <formula>NOT(ISERROR(SEARCH("TIL",Y43)))</formula>
    </cfRule>
    <cfRule type="cellIs" dxfId="1673" priority="1391" stopIfTrue="1" operator="equal">
      <formula>"NP"</formula>
    </cfRule>
    <cfRule type="cellIs" dxfId="1672" priority="1392" stopIfTrue="1" operator="equal">
      <formula>"RD"</formula>
    </cfRule>
    <cfRule type="containsText" dxfId="1671" priority="1393" stopIfTrue="1" operator="containsText" text="TIL">
      <formula>NOT(ISERROR(SEARCH("TIL",Y43)))</formula>
    </cfRule>
    <cfRule type="containsText" dxfId="1670" priority="1394" stopIfTrue="1" operator="containsText" text="疫苗">
      <formula>NOT(ISERROR(SEARCH("疫苗",Y43)))</formula>
    </cfRule>
    <cfRule type="containsText" dxfId="1669" priority="1395" stopIfTrue="1" operator="containsText" text="勞假">
      <formula>NOT(ISERROR(SEARCH("勞假",Y43)))</formula>
    </cfRule>
    <cfRule type="containsText" dxfId="1668" priority="1396" stopIfTrue="1" operator="containsText" text="補假">
      <formula>NOT(ISERROR(SEARCH("補假",Y43)))</formula>
    </cfRule>
    <cfRule type="containsText" dxfId="1667" priority="1397" stopIfTrue="1" operator="containsText" text="例假">
      <formula>NOT(ISERROR(SEARCH("例假",Y43)))</formula>
    </cfRule>
    <cfRule type="containsText" dxfId="1666" priority="1398" stopIfTrue="1" operator="containsText" text="病假">
      <formula>NOT(ISERROR(SEARCH("病假",Y43)))</formula>
    </cfRule>
    <cfRule type="containsText" dxfId="1665" priority="1399" stopIfTrue="1" operator="containsText" text="大假">
      <formula>NOT(ISERROR(SEARCH("大假",Y43)))</formula>
    </cfRule>
    <cfRule type="containsText" dxfId="1664" priority="1400" stopIfTrue="1" operator="containsText" text="TIL">
      <formula>NOT(ISERROR(SEARCH("TIL",Y43)))</formula>
    </cfRule>
    <cfRule type="containsText" dxfId="1663" priority="1401" stopIfTrue="1" operator="containsText" text="疫苗">
      <formula>NOT(ISERROR(SEARCH("疫苗",Y43)))</formula>
    </cfRule>
    <cfRule type="containsText" dxfId="1662" priority="1402" stopIfTrue="1" operator="containsText" text="勞假">
      <formula>NOT(ISERROR(SEARCH("勞假",Y43)))</formula>
    </cfRule>
    <cfRule type="containsText" dxfId="1661" priority="1403" stopIfTrue="1" operator="containsText" text="補假">
      <formula>NOT(ISERROR(SEARCH("補假",Y43)))</formula>
    </cfRule>
    <cfRule type="containsText" dxfId="1660" priority="1404" stopIfTrue="1" operator="containsText" text="例假">
      <formula>NOT(ISERROR(SEARCH("例假",Y43)))</formula>
    </cfRule>
    <cfRule type="containsText" dxfId="1659" priority="1405" stopIfTrue="1" operator="containsText" text="病假">
      <formula>NOT(ISERROR(SEARCH("病假",Y43)))</formula>
    </cfRule>
    <cfRule type="containsText" dxfId="1658" priority="1406" stopIfTrue="1" operator="containsText" text="大假">
      <formula>NOT(ISERROR(SEARCH("大假",Y43)))</formula>
    </cfRule>
    <cfRule type="containsText" dxfId="1657" priority="1407" stopIfTrue="1" operator="containsText" text="無薪">
      <formula>NOT(ISERROR(SEARCH("無薪",Y43)))</formula>
    </cfRule>
    <cfRule type="containsText" dxfId="1656" priority="1408" stopIfTrue="1" operator="containsText" text="疫苗">
      <formula>NOT(ISERROR(SEARCH("疫苗",Y43)))</formula>
    </cfRule>
    <cfRule type="containsText" dxfId="1655" priority="1409" stopIfTrue="1" operator="containsText" text="勞假">
      <formula>NOT(ISERROR(SEARCH("勞假",Y43)))</formula>
    </cfRule>
    <cfRule type="containsText" dxfId="1654" priority="1410" stopIfTrue="1" operator="containsText" text="補假">
      <formula>NOT(ISERROR(SEARCH("補假",Y43)))</formula>
    </cfRule>
    <cfRule type="containsText" dxfId="1653" priority="1411" stopIfTrue="1" operator="containsText" text="例假">
      <formula>NOT(ISERROR(SEARCH("例假",Y43)))</formula>
    </cfRule>
    <cfRule type="containsText" dxfId="1652" priority="1412" stopIfTrue="1" operator="containsText" text="病假">
      <formula>NOT(ISERROR(SEARCH("病假",Y43)))</formula>
    </cfRule>
    <cfRule type="containsText" dxfId="1651" priority="1413" stopIfTrue="1" operator="containsText" text="大假">
      <formula>NOT(ISERROR(SEARCH("大假",Y43)))</formula>
    </cfRule>
    <cfRule type="containsText" dxfId="1650" priority="1414" stopIfTrue="1" operator="containsText" text="無薪">
      <formula>NOT(ISERROR(SEARCH("無薪",Y43)))</formula>
    </cfRule>
    <cfRule type="containsText" dxfId="1649" priority="1415" stopIfTrue="1" operator="containsText" text="TIL">
      <formula>NOT(ISERROR(SEARCH("TIL",Y43)))</formula>
    </cfRule>
    <cfRule type="containsText" dxfId="1648" priority="1416" stopIfTrue="1" operator="containsText" text="疫苗">
      <formula>NOT(ISERROR(SEARCH("疫苗",Y43)))</formula>
    </cfRule>
    <cfRule type="containsText" dxfId="1647" priority="1417" stopIfTrue="1" operator="containsText" text="勞假">
      <formula>NOT(ISERROR(SEARCH("勞假",Y43)))</formula>
    </cfRule>
    <cfRule type="containsText" dxfId="1646" priority="1418" stopIfTrue="1" operator="containsText" text="補假">
      <formula>NOT(ISERROR(SEARCH("補假",Y43)))</formula>
    </cfRule>
    <cfRule type="containsText" dxfId="1645" priority="1419" stopIfTrue="1" operator="containsText" text="例假">
      <formula>NOT(ISERROR(SEARCH("例假",Y43)))</formula>
    </cfRule>
    <cfRule type="containsText" dxfId="1644" priority="1420" stopIfTrue="1" operator="containsText" text="病假">
      <formula>NOT(ISERROR(SEARCH("病假",Y43)))</formula>
    </cfRule>
    <cfRule type="containsText" dxfId="1643" priority="1421" stopIfTrue="1" operator="containsText" text="大假">
      <formula>NOT(ISERROR(SEARCH("大假",Y43)))</formula>
    </cfRule>
    <cfRule type="containsText" dxfId="1642" priority="1422" stopIfTrue="1" operator="containsText" text="無薪">
      <formula>NOT(ISERROR(SEARCH("無薪",Y43)))</formula>
    </cfRule>
    <cfRule type="containsText" dxfId="1641" priority="1423" stopIfTrue="1" operator="containsText" text="TIL">
      <formula>NOT(ISERROR(SEARCH("TIL",Y43)))</formula>
    </cfRule>
    <cfRule type="containsText" dxfId="1640" priority="1424" stopIfTrue="1" operator="containsText" text="疫苗">
      <formula>NOT(ISERROR(SEARCH("疫苗",Y43)))</formula>
    </cfRule>
    <cfRule type="containsText" dxfId="1639" priority="1425" stopIfTrue="1" operator="containsText" text="勞假">
      <formula>NOT(ISERROR(SEARCH("勞假",Y43)))</formula>
    </cfRule>
    <cfRule type="containsText" dxfId="1638" priority="1426" stopIfTrue="1" operator="containsText" text="補假">
      <formula>NOT(ISERROR(SEARCH("補假",Y43)))</formula>
    </cfRule>
    <cfRule type="containsText" dxfId="1637" priority="1427" stopIfTrue="1" operator="containsText" text="例假">
      <formula>NOT(ISERROR(SEARCH("例假",Y43)))</formula>
    </cfRule>
    <cfRule type="containsText" dxfId="1636" priority="1428" stopIfTrue="1" operator="containsText" text="病假">
      <formula>NOT(ISERROR(SEARCH("病假",Y43)))</formula>
    </cfRule>
    <cfRule type="containsText" dxfId="1635" priority="1429" stopIfTrue="1" operator="containsText" text="大假">
      <formula>NOT(ISERROR(SEARCH("大假",Y43)))</formula>
    </cfRule>
    <cfRule type="containsText" dxfId="1634" priority="1430" stopIfTrue="1" operator="containsText" text="無薪">
      <formula>NOT(ISERROR(SEARCH("無薪",Y43)))</formula>
    </cfRule>
    <cfRule type="cellIs" dxfId="1633" priority="1431" operator="equal">
      <formula>"NC"</formula>
    </cfRule>
    <cfRule type="cellIs" dxfId="1632" priority="1432" operator="equal">
      <formula>"nd"</formula>
    </cfRule>
    <cfRule type="cellIs" dxfId="1631" priority="1433" operator="equal">
      <formula>0</formula>
    </cfRule>
    <cfRule type="cellIs" dxfId="1630" priority="1434" operator="equal">
      <formula>"R"</formula>
    </cfRule>
    <cfRule type="cellIs" dxfId="1629" priority="1435" operator="equal">
      <formula>"NH12"</formula>
    </cfRule>
    <cfRule type="cellIs" dxfId="1628" priority="1436" operator="equal">
      <formula>"Nh11"</formula>
    </cfRule>
    <cfRule type="containsText" dxfId="1627" priority="1437" stopIfTrue="1" operator="containsText" text="TIL">
      <formula>NOT(ISERROR(SEARCH("TIL",Y43)))</formula>
    </cfRule>
    <cfRule type="containsText" dxfId="1626" priority="1438" stopIfTrue="1" operator="containsText" text="疫苗">
      <formula>NOT(ISERROR(SEARCH("疫苗",Y43)))</formula>
    </cfRule>
    <cfRule type="containsText" dxfId="1625" priority="1439" stopIfTrue="1" operator="containsText" text="勞假">
      <formula>NOT(ISERROR(SEARCH("勞假",Y43)))</formula>
    </cfRule>
    <cfRule type="containsText" dxfId="1624" priority="1440" stopIfTrue="1" operator="containsText" text="補假">
      <formula>NOT(ISERROR(SEARCH("補假",Y43)))</formula>
    </cfRule>
    <cfRule type="containsText" dxfId="1623" priority="1441" stopIfTrue="1" operator="containsText" text="例假">
      <formula>NOT(ISERROR(SEARCH("例假",Y43)))</formula>
    </cfRule>
    <cfRule type="containsText" dxfId="1622" priority="1442" stopIfTrue="1" operator="containsText" text="病假">
      <formula>NOT(ISERROR(SEARCH("病假",Y43)))</formula>
    </cfRule>
    <cfRule type="containsText" dxfId="1621" priority="1443" stopIfTrue="1" operator="containsText" text="大假">
      <formula>NOT(ISERROR(SEARCH("大假",Y43)))</formula>
    </cfRule>
    <cfRule type="containsText" dxfId="1620" priority="1444" stopIfTrue="1" operator="containsText" text="無薪">
      <formula>NOT(ISERROR(SEARCH("無薪",Y43)))</formula>
    </cfRule>
    <cfRule type="containsText" dxfId="1619" priority="1445" stopIfTrue="1" operator="containsText" text="TIL">
      <formula>NOT(ISERROR(SEARCH("TIL",Y43)))</formula>
    </cfRule>
    <cfRule type="containsText" dxfId="1618" priority="1446" stopIfTrue="1" operator="containsText" text="疫苗">
      <formula>NOT(ISERROR(SEARCH("疫苗",Y43)))</formula>
    </cfRule>
    <cfRule type="containsText" dxfId="1617" priority="1447" stopIfTrue="1" operator="containsText" text="勞假">
      <formula>NOT(ISERROR(SEARCH("勞假",Y43)))</formula>
    </cfRule>
    <cfRule type="containsText" dxfId="1616" priority="1448" stopIfTrue="1" operator="containsText" text="補假">
      <formula>NOT(ISERROR(SEARCH("補假",Y43)))</formula>
    </cfRule>
    <cfRule type="containsText" dxfId="1615" priority="1449" stopIfTrue="1" operator="containsText" text="例假">
      <formula>NOT(ISERROR(SEARCH("例假",Y43)))</formula>
    </cfRule>
    <cfRule type="containsText" dxfId="1614" priority="1450" stopIfTrue="1" operator="containsText" text="病假">
      <formula>NOT(ISERROR(SEARCH("病假",Y43)))</formula>
    </cfRule>
    <cfRule type="containsText" dxfId="1613" priority="1451" stopIfTrue="1" operator="containsText" text="大假">
      <formula>NOT(ISERROR(SEARCH("大假",Y43)))</formula>
    </cfRule>
    <cfRule type="containsText" dxfId="1612" priority="1452" stopIfTrue="1" operator="containsText" text="無薪">
      <formula>NOT(ISERROR(SEARCH("無薪",Y43)))</formula>
    </cfRule>
    <cfRule type="containsText" dxfId="1611" priority="1453" stopIfTrue="1" operator="containsText" text="疫苗">
      <formula>NOT(ISERROR(SEARCH("疫苗",Y43)))</formula>
    </cfRule>
    <cfRule type="containsText" dxfId="1610" priority="1454" stopIfTrue="1" operator="containsText" text="勞假">
      <formula>NOT(ISERROR(SEARCH("勞假",Y43)))</formula>
    </cfRule>
    <cfRule type="containsText" dxfId="1609" priority="1455" stopIfTrue="1" operator="containsText" text="補假">
      <formula>NOT(ISERROR(SEARCH("補假",Y43)))</formula>
    </cfRule>
    <cfRule type="containsText" dxfId="1608" priority="1456" stopIfTrue="1" operator="containsText" text="例假">
      <formula>NOT(ISERROR(SEARCH("例假",Y43)))</formula>
    </cfRule>
    <cfRule type="containsText" dxfId="1607" priority="1457" stopIfTrue="1" operator="containsText" text="病假">
      <formula>NOT(ISERROR(SEARCH("病假",Y43)))</formula>
    </cfRule>
    <cfRule type="containsText" dxfId="1606" priority="1458" stopIfTrue="1" operator="containsText" text="大假">
      <formula>NOT(ISERROR(SEARCH("大假",Y43)))</formula>
    </cfRule>
    <cfRule type="containsText" dxfId="1605" priority="1459" stopIfTrue="1" operator="containsText" text="無薪">
      <formula>NOT(ISERROR(SEARCH("無薪",Y43)))</formula>
    </cfRule>
    <cfRule type="containsText" dxfId="1604" priority="1460" stopIfTrue="1" operator="containsText" text="TIL">
      <formula>NOT(ISERROR(SEARCH("TIL",Y43)))</formula>
    </cfRule>
    <cfRule type="containsText" dxfId="1603" priority="1461" stopIfTrue="1" operator="containsText" text="疫苗">
      <formula>NOT(ISERROR(SEARCH("疫苗",Y43)))</formula>
    </cfRule>
    <cfRule type="containsText" dxfId="1602" priority="1462" stopIfTrue="1" operator="containsText" text="勞假">
      <formula>NOT(ISERROR(SEARCH("勞假",Y43)))</formula>
    </cfRule>
    <cfRule type="containsText" dxfId="1601" priority="1463" stopIfTrue="1" operator="containsText" text="補假">
      <formula>NOT(ISERROR(SEARCH("補假",Y43)))</formula>
    </cfRule>
    <cfRule type="containsText" dxfId="1600" priority="1464" stopIfTrue="1" operator="containsText" text="例假">
      <formula>NOT(ISERROR(SEARCH("例假",Y43)))</formula>
    </cfRule>
    <cfRule type="containsText" dxfId="1599" priority="1465" stopIfTrue="1" operator="containsText" text="病假">
      <formula>NOT(ISERROR(SEARCH("病假",Y43)))</formula>
    </cfRule>
    <cfRule type="containsText" dxfId="1598" priority="1466" stopIfTrue="1" operator="containsText" text="大假">
      <formula>NOT(ISERROR(SEARCH("大假",Y43)))</formula>
    </cfRule>
    <cfRule type="containsText" dxfId="1597" priority="1467" stopIfTrue="1" operator="containsText" text="無薪">
      <formula>NOT(ISERROR(SEARCH("無薪",Y43)))</formula>
    </cfRule>
    <cfRule type="containsText" dxfId="1596" priority="1468" stopIfTrue="1" operator="containsText" text="TIL">
      <formula>NOT(ISERROR(SEARCH("TIL",Y43)))</formula>
    </cfRule>
    <cfRule type="containsText" dxfId="1595" priority="1469" stopIfTrue="1" operator="containsText" text="疫苗">
      <formula>NOT(ISERROR(SEARCH("疫苗",Y43)))</formula>
    </cfRule>
    <cfRule type="containsText" dxfId="1594" priority="1470" stopIfTrue="1" operator="containsText" text="勞假">
      <formula>NOT(ISERROR(SEARCH("勞假",Y43)))</formula>
    </cfRule>
    <cfRule type="containsText" dxfId="1593" priority="1471" stopIfTrue="1" operator="containsText" text="補假">
      <formula>NOT(ISERROR(SEARCH("補假",Y43)))</formula>
    </cfRule>
    <cfRule type="containsText" dxfId="1592" priority="1472" stopIfTrue="1" operator="containsText" text="例假">
      <formula>NOT(ISERROR(SEARCH("例假",Y43)))</formula>
    </cfRule>
    <cfRule type="containsText" dxfId="1591" priority="1473" stopIfTrue="1" operator="containsText" text="病假">
      <formula>NOT(ISERROR(SEARCH("病假",Y43)))</formula>
    </cfRule>
    <cfRule type="containsText" dxfId="1590" priority="1474" stopIfTrue="1" operator="containsText" text="大假">
      <formula>NOT(ISERROR(SEARCH("大假",Y43)))</formula>
    </cfRule>
    <cfRule type="containsText" dxfId="1589" priority="1475" stopIfTrue="1" operator="containsText" text="TIL">
      <formula>NOT(ISERROR(SEARCH("TIL",Y43)))</formula>
    </cfRule>
    <cfRule type="cellIs" dxfId="1588" priority="1476" stopIfTrue="1" operator="equal">
      <formula>"NP"</formula>
    </cfRule>
    <cfRule type="cellIs" dxfId="1587" priority="1477" stopIfTrue="1" operator="equal">
      <formula>"RD"</formula>
    </cfRule>
    <cfRule type="containsText" dxfId="1586" priority="1478" stopIfTrue="1" operator="containsText" text="TIL">
      <formula>NOT(ISERROR(SEARCH("TIL",Y43)))</formula>
    </cfRule>
    <cfRule type="containsText" dxfId="1585" priority="1479" stopIfTrue="1" operator="containsText" text="疫苗">
      <formula>NOT(ISERROR(SEARCH("疫苗",Y43)))</formula>
    </cfRule>
    <cfRule type="containsText" dxfId="1584" priority="1480" stopIfTrue="1" operator="containsText" text="勞假">
      <formula>NOT(ISERROR(SEARCH("勞假",Y43)))</formula>
    </cfRule>
    <cfRule type="containsText" dxfId="1583" priority="1481" stopIfTrue="1" operator="containsText" text="補假">
      <formula>NOT(ISERROR(SEARCH("補假",Y43)))</formula>
    </cfRule>
    <cfRule type="containsText" dxfId="1582" priority="1482" stopIfTrue="1" operator="containsText" text="例假">
      <formula>NOT(ISERROR(SEARCH("例假",Y43)))</formula>
    </cfRule>
    <cfRule type="containsText" dxfId="1581" priority="1483" stopIfTrue="1" operator="containsText" text="病假">
      <formula>NOT(ISERROR(SEARCH("病假",Y43)))</formula>
    </cfRule>
    <cfRule type="containsText" dxfId="1580" priority="1484" stopIfTrue="1" operator="containsText" text="大假">
      <formula>NOT(ISERROR(SEARCH("大假",Y43)))</formula>
    </cfRule>
    <cfRule type="containsText" dxfId="1579" priority="1485" stopIfTrue="1" operator="containsText" text="TIL">
      <formula>NOT(ISERROR(SEARCH("TIL",Y43)))</formula>
    </cfRule>
    <cfRule type="containsText" dxfId="1578" priority="1486" stopIfTrue="1" operator="containsText" text="疫苗">
      <formula>NOT(ISERROR(SEARCH("疫苗",Y43)))</formula>
    </cfRule>
    <cfRule type="containsText" dxfId="1577" priority="1487" stopIfTrue="1" operator="containsText" text="勞假">
      <formula>NOT(ISERROR(SEARCH("勞假",Y43)))</formula>
    </cfRule>
    <cfRule type="containsText" dxfId="1576" priority="1488" stopIfTrue="1" operator="containsText" text="補假">
      <formula>NOT(ISERROR(SEARCH("補假",Y43)))</formula>
    </cfRule>
    <cfRule type="containsText" dxfId="1575" priority="1489" stopIfTrue="1" operator="containsText" text="例假">
      <formula>NOT(ISERROR(SEARCH("例假",Y43)))</formula>
    </cfRule>
    <cfRule type="containsText" dxfId="1574" priority="1490" stopIfTrue="1" operator="containsText" text="病假">
      <formula>NOT(ISERROR(SEARCH("病假",Y43)))</formula>
    </cfRule>
    <cfRule type="containsText" dxfId="1573" priority="1491" stopIfTrue="1" operator="containsText" text="大假">
      <formula>NOT(ISERROR(SEARCH("大假",Y43)))</formula>
    </cfRule>
    <cfRule type="containsText" dxfId="1572" priority="1492" stopIfTrue="1" operator="containsText" text="無薪">
      <formula>NOT(ISERROR(SEARCH("無薪",Y43)))</formula>
    </cfRule>
    <cfRule type="containsText" dxfId="1571" priority="1493" stopIfTrue="1" operator="containsText" text="疫苗">
      <formula>NOT(ISERROR(SEARCH("疫苗",Y43)))</formula>
    </cfRule>
    <cfRule type="containsText" dxfId="1570" priority="1494" stopIfTrue="1" operator="containsText" text="勞假">
      <formula>NOT(ISERROR(SEARCH("勞假",Y43)))</formula>
    </cfRule>
    <cfRule type="containsText" dxfId="1569" priority="1495" stopIfTrue="1" operator="containsText" text="補假">
      <formula>NOT(ISERROR(SEARCH("補假",Y43)))</formula>
    </cfRule>
    <cfRule type="containsText" dxfId="1568" priority="1496" stopIfTrue="1" operator="containsText" text="例假">
      <formula>NOT(ISERROR(SEARCH("例假",Y43)))</formula>
    </cfRule>
    <cfRule type="containsText" dxfId="1567" priority="1497" stopIfTrue="1" operator="containsText" text="病假">
      <formula>NOT(ISERROR(SEARCH("病假",Y43)))</formula>
    </cfRule>
    <cfRule type="containsText" dxfId="1566" priority="1498" stopIfTrue="1" operator="containsText" text="大假">
      <formula>NOT(ISERROR(SEARCH("大假",Y43)))</formula>
    </cfRule>
    <cfRule type="containsText" dxfId="1565" priority="1499" stopIfTrue="1" operator="containsText" text="無薪">
      <formula>NOT(ISERROR(SEARCH("無薪",Y43)))</formula>
    </cfRule>
    <cfRule type="containsText" dxfId="1564" priority="1500" stopIfTrue="1" operator="containsText" text="TIL">
      <formula>NOT(ISERROR(SEARCH("TIL",Y43)))</formula>
    </cfRule>
    <cfRule type="containsText" dxfId="1563" priority="1501" stopIfTrue="1" operator="containsText" text="疫苗">
      <formula>NOT(ISERROR(SEARCH("疫苗",Y43)))</formula>
    </cfRule>
    <cfRule type="containsText" dxfId="1562" priority="1502" stopIfTrue="1" operator="containsText" text="勞假">
      <formula>NOT(ISERROR(SEARCH("勞假",Y43)))</formula>
    </cfRule>
    <cfRule type="containsText" dxfId="1561" priority="1503" stopIfTrue="1" operator="containsText" text="補假">
      <formula>NOT(ISERROR(SEARCH("補假",Y43)))</formula>
    </cfRule>
    <cfRule type="containsText" dxfId="1560" priority="1504" stopIfTrue="1" operator="containsText" text="例假">
      <formula>NOT(ISERROR(SEARCH("例假",Y43)))</formula>
    </cfRule>
    <cfRule type="containsText" dxfId="1559" priority="1505" stopIfTrue="1" operator="containsText" text="病假">
      <formula>NOT(ISERROR(SEARCH("病假",Y43)))</formula>
    </cfRule>
    <cfRule type="containsText" dxfId="1558" priority="1506" stopIfTrue="1" operator="containsText" text="大假">
      <formula>NOT(ISERROR(SEARCH("大假",Y43)))</formula>
    </cfRule>
    <cfRule type="containsText" dxfId="1557" priority="1507" stopIfTrue="1" operator="containsText" text="無薪">
      <formula>NOT(ISERROR(SEARCH("無薪",Y43)))</formula>
    </cfRule>
    <cfRule type="containsText" dxfId="1556" priority="1508" stopIfTrue="1" operator="containsText" text="TIL">
      <formula>NOT(ISERROR(SEARCH("TIL",Y43)))</formula>
    </cfRule>
    <cfRule type="containsText" dxfId="1555" priority="1509" stopIfTrue="1" operator="containsText" text="疫苗">
      <formula>NOT(ISERROR(SEARCH("疫苗",Y43)))</formula>
    </cfRule>
    <cfRule type="containsText" dxfId="1554" priority="1510" stopIfTrue="1" operator="containsText" text="勞假">
      <formula>NOT(ISERROR(SEARCH("勞假",Y43)))</formula>
    </cfRule>
    <cfRule type="containsText" dxfId="1553" priority="1511" stopIfTrue="1" operator="containsText" text="補假">
      <formula>NOT(ISERROR(SEARCH("補假",Y43)))</formula>
    </cfRule>
    <cfRule type="containsText" dxfId="1552" priority="1512" stopIfTrue="1" operator="containsText" text="例假">
      <formula>NOT(ISERROR(SEARCH("例假",Y43)))</formula>
    </cfRule>
    <cfRule type="containsText" dxfId="1551" priority="1513" stopIfTrue="1" operator="containsText" text="病假">
      <formula>NOT(ISERROR(SEARCH("病假",Y43)))</formula>
    </cfRule>
    <cfRule type="containsText" dxfId="1550" priority="1514" stopIfTrue="1" operator="containsText" text="大假">
      <formula>NOT(ISERROR(SEARCH("大假",Y43)))</formula>
    </cfRule>
    <cfRule type="containsText" dxfId="1549" priority="1515" stopIfTrue="1" operator="containsText" text="無薪">
      <formula>NOT(ISERROR(SEARCH("無薪",Y43)))</formula>
    </cfRule>
    <cfRule type="cellIs" dxfId="1548" priority="1516" operator="equal">
      <formula>"NC"</formula>
    </cfRule>
    <cfRule type="cellIs" dxfId="1547" priority="1517" operator="equal">
      <formula>"nd"</formula>
    </cfRule>
    <cfRule type="cellIs" dxfId="1546" priority="1518" operator="equal">
      <formula>0</formula>
    </cfRule>
    <cfRule type="cellIs" dxfId="1545" priority="1519" operator="equal">
      <formula>"R"</formula>
    </cfRule>
    <cfRule type="cellIs" dxfId="1544" priority="1520" operator="equal">
      <formula>"NH12"</formula>
    </cfRule>
    <cfRule type="cellIs" dxfId="1543" priority="1521" operator="equal">
      <formula>"Nh11"</formula>
    </cfRule>
    <cfRule type="containsText" dxfId="1542" priority="1522" stopIfTrue="1" operator="containsText" text="TIL">
      <formula>NOT(ISERROR(SEARCH("TIL",Y43)))</formula>
    </cfRule>
    <cfRule type="containsText" dxfId="1541" priority="1523" stopIfTrue="1" operator="containsText" text="疫苗">
      <formula>NOT(ISERROR(SEARCH("疫苗",Y43)))</formula>
    </cfRule>
    <cfRule type="containsText" dxfId="1540" priority="1524" stopIfTrue="1" operator="containsText" text="勞假">
      <formula>NOT(ISERROR(SEARCH("勞假",Y43)))</formula>
    </cfRule>
    <cfRule type="containsText" dxfId="1539" priority="1525" stopIfTrue="1" operator="containsText" text="補假">
      <formula>NOT(ISERROR(SEARCH("補假",Y43)))</formula>
    </cfRule>
    <cfRule type="containsText" dxfId="1538" priority="1526" stopIfTrue="1" operator="containsText" text="例假">
      <formula>NOT(ISERROR(SEARCH("例假",Y43)))</formula>
    </cfRule>
    <cfRule type="containsText" dxfId="1537" priority="1527" stopIfTrue="1" operator="containsText" text="病假">
      <formula>NOT(ISERROR(SEARCH("病假",Y43)))</formula>
    </cfRule>
    <cfRule type="containsText" dxfId="1536" priority="1528" stopIfTrue="1" operator="containsText" text="大假">
      <formula>NOT(ISERROR(SEARCH("大假",Y43)))</formula>
    </cfRule>
    <cfRule type="containsText" dxfId="1535" priority="1529" stopIfTrue="1" operator="containsText" text="無薪">
      <formula>NOT(ISERROR(SEARCH("無薪",Y43)))</formula>
    </cfRule>
    <cfRule type="containsText" dxfId="1534" priority="1530" stopIfTrue="1" operator="containsText" text="TIL">
      <formula>NOT(ISERROR(SEARCH("TIL",Y43)))</formula>
    </cfRule>
    <cfRule type="containsText" dxfId="1533" priority="1531" stopIfTrue="1" operator="containsText" text="疫苗">
      <formula>NOT(ISERROR(SEARCH("疫苗",Y43)))</formula>
    </cfRule>
    <cfRule type="containsText" dxfId="1532" priority="1532" stopIfTrue="1" operator="containsText" text="勞假">
      <formula>NOT(ISERROR(SEARCH("勞假",Y43)))</formula>
    </cfRule>
    <cfRule type="containsText" dxfId="1531" priority="1533" stopIfTrue="1" operator="containsText" text="補假">
      <formula>NOT(ISERROR(SEARCH("補假",Y43)))</formula>
    </cfRule>
    <cfRule type="containsText" dxfId="1530" priority="1534" stopIfTrue="1" operator="containsText" text="例假">
      <formula>NOT(ISERROR(SEARCH("例假",Y43)))</formula>
    </cfRule>
    <cfRule type="containsText" dxfId="1529" priority="1535" stopIfTrue="1" operator="containsText" text="病假">
      <formula>NOT(ISERROR(SEARCH("病假",Y43)))</formula>
    </cfRule>
    <cfRule type="containsText" dxfId="1528" priority="1536" stopIfTrue="1" operator="containsText" text="大假">
      <formula>NOT(ISERROR(SEARCH("大假",Y43)))</formula>
    </cfRule>
    <cfRule type="containsText" dxfId="1527" priority="1537" stopIfTrue="1" operator="containsText" text="無薪">
      <formula>NOT(ISERROR(SEARCH("無薪",Y43)))</formula>
    </cfRule>
    <cfRule type="containsText" dxfId="1526" priority="1538" stopIfTrue="1" operator="containsText" text="疫苗">
      <formula>NOT(ISERROR(SEARCH("疫苗",Y43)))</formula>
    </cfRule>
    <cfRule type="containsText" dxfId="1525" priority="1539" stopIfTrue="1" operator="containsText" text="勞假">
      <formula>NOT(ISERROR(SEARCH("勞假",Y43)))</formula>
    </cfRule>
    <cfRule type="containsText" dxfId="1524" priority="1540" stopIfTrue="1" operator="containsText" text="補假">
      <formula>NOT(ISERROR(SEARCH("補假",Y43)))</formula>
    </cfRule>
    <cfRule type="containsText" dxfId="1523" priority="1541" stopIfTrue="1" operator="containsText" text="例假">
      <formula>NOT(ISERROR(SEARCH("例假",Y43)))</formula>
    </cfRule>
    <cfRule type="containsText" dxfId="1522" priority="1542" stopIfTrue="1" operator="containsText" text="病假">
      <formula>NOT(ISERROR(SEARCH("病假",Y43)))</formula>
    </cfRule>
    <cfRule type="containsText" dxfId="1521" priority="1543" stopIfTrue="1" operator="containsText" text="大假">
      <formula>NOT(ISERROR(SEARCH("大假",Y43)))</formula>
    </cfRule>
    <cfRule type="containsText" dxfId="1520" priority="1544" operator="containsText" text="RD">
      <formula>NOT(ISERROR(SEARCH("RD",Y43)))</formula>
    </cfRule>
    <cfRule type="containsText" dxfId="1519" priority="1545" operator="containsText" text="NP">
      <formula>NOT(ISERROR(SEARCH("NP",Y43)))</formula>
    </cfRule>
  </conditionalFormatting>
  <conditionalFormatting sqref="Y46">
    <cfRule type="cellIs" dxfId="1518" priority="1168" stopIfTrue="1" operator="equal">
      <formula>"NP"</formula>
    </cfRule>
    <cfRule type="cellIs" dxfId="1517" priority="1169" stopIfTrue="1" operator="equal">
      <formula>"RD"</formula>
    </cfRule>
    <cfRule type="cellIs" dxfId="1516" priority="1170" operator="equal">
      <formula>"NC"</formula>
    </cfRule>
  </conditionalFormatting>
  <conditionalFormatting sqref="Z19:AE19">
    <cfRule type="containsText" dxfId="1515" priority="2278" stopIfTrue="1" operator="containsText" text="無薪">
      <formula>NOT(ISERROR(SEARCH("無薪",Z19)))</formula>
    </cfRule>
    <cfRule type="containsText" dxfId="1514" priority="2279" stopIfTrue="1" operator="containsText" text="TIL">
      <formula>NOT(ISERROR(SEARCH("TIL",Z19)))</formula>
    </cfRule>
    <cfRule type="containsText" dxfId="1513" priority="2280" stopIfTrue="1" operator="containsText" text="疫苗">
      <formula>NOT(ISERROR(SEARCH("疫苗",Z19)))</formula>
    </cfRule>
    <cfRule type="containsText" dxfId="1512" priority="2281" stopIfTrue="1" operator="containsText" text="勞假">
      <formula>NOT(ISERROR(SEARCH("勞假",Z19)))</formula>
    </cfRule>
    <cfRule type="containsText" dxfId="1511" priority="2282" stopIfTrue="1" operator="containsText" text="補假">
      <formula>NOT(ISERROR(SEARCH("補假",Z19)))</formula>
    </cfRule>
    <cfRule type="containsText" dxfId="1510" priority="2283" stopIfTrue="1" operator="containsText" text="例假">
      <formula>NOT(ISERROR(SEARCH("例假",Z19)))</formula>
    </cfRule>
    <cfRule type="containsText" dxfId="1509" priority="2284" stopIfTrue="1" operator="containsText" text="病假">
      <formula>NOT(ISERROR(SEARCH("病假",Z19)))</formula>
    </cfRule>
    <cfRule type="containsText" dxfId="1508" priority="2285" stopIfTrue="1" operator="containsText" text="大假">
      <formula>NOT(ISERROR(SEARCH("大假",Z19)))</formula>
    </cfRule>
    <cfRule type="containsText" dxfId="1507" priority="2286" stopIfTrue="1" operator="containsText" text="無薪">
      <formula>NOT(ISERROR(SEARCH("無薪",Z19)))</formula>
    </cfRule>
    <cfRule type="containsText" dxfId="1506" priority="2287" stopIfTrue="1" operator="containsText" text="TIL">
      <formula>NOT(ISERROR(SEARCH("TIL",Z19)))</formula>
    </cfRule>
    <cfRule type="containsText" dxfId="1505" priority="2288" stopIfTrue="1" operator="containsText" text="疫苗">
      <formula>NOT(ISERROR(SEARCH("疫苗",Z19)))</formula>
    </cfRule>
    <cfRule type="containsText" dxfId="1504" priority="2289" stopIfTrue="1" operator="containsText" text="勞假">
      <formula>NOT(ISERROR(SEARCH("勞假",Z19)))</formula>
    </cfRule>
    <cfRule type="containsText" dxfId="1503" priority="2290" stopIfTrue="1" operator="containsText" text="補假">
      <formula>NOT(ISERROR(SEARCH("補假",Z19)))</formula>
    </cfRule>
    <cfRule type="containsText" dxfId="1502" priority="2291" stopIfTrue="1" operator="containsText" text="例假">
      <formula>NOT(ISERROR(SEARCH("例假",Z19)))</formula>
    </cfRule>
    <cfRule type="containsText" dxfId="1501" priority="2292" stopIfTrue="1" operator="containsText" text="病假">
      <formula>NOT(ISERROR(SEARCH("病假",Z19)))</formula>
    </cfRule>
    <cfRule type="containsText" dxfId="1500" priority="2293" stopIfTrue="1" operator="containsText" text="大假">
      <formula>NOT(ISERROR(SEARCH("大假",Z19)))</formula>
    </cfRule>
    <cfRule type="containsText" dxfId="1499" priority="2294" stopIfTrue="1" operator="containsText" text="TIL">
      <formula>NOT(ISERROR(SEARCH("TIL",Z19)))</formula>
    </cfRule>
    <cfRule type="cellIs" dxfId="1498" priority="2295" stopIfTrue="1" operator="equal">
      <formula>"NP"</formula>
    </cfRule>
    <cfRule type="cellIs" dxfId="1497" priority="2296" stopIfTrue="1" operator="equal">
      <formula>"RD"</formula>
    </cfRule>
    <cfRule type="containsText" dxfId="1496" priority="2297" stopIfTrue="1" operator="containsText" text="TIL">
      <formula>NOT(ISERROR(SEARCH("TIL",Z19)))</formula>
    </cfRule>
    <cfRule type="containsText" dxfId="1495" priority="2298" stopIfTrue="1" operator="containsText" text="疫苗">
      <formula>NOT(ISERROR(SEARCH("疫苗",Z19)))</formula>
    </cfRule>
    <cfRule type="containsText" dxfId="1494" priority="2299" stopIfTrue="1" operator="containsText" text="勞假">
      <formula>NOT(ISERROR(SEARCH("勞假",Z19)))</formula>
    </cfRule>
    <cfRule type="containsText" dxfId="1493" priority="2300" stopIfTrue="1" operator="containsText" text="補假">
      <formula>NOT(ISERROR(SEARCH("補假",Z19)))</formula>
    </cfRule>
    <cfRule type="containsText" dxfId="1492" priority="2301" stopIfTrue="1" operator="containsText" text="例假">
      <formula>NOT(ISERROR(SEARCH("例假",Z19)))</formula>
    </cfRule>
    <cfRule type="containsText" dxfId="1491" priority="2302" stopIfTrue="1" operator="containsText" text="病假">
      <formula>NOT(ISERROR(SEARCH("病假",Z19)))</formula>
    </cfRule>
    <cfRule type="containsText" dxfId="1490" priority="2303" stopIfTrue="1" operator="containsText" text="大假">
      <formula>NOT(ISERROR(SEARCH("大假",Z19)))</formula>
    </cfRule>
    <cfRule type="containsText" dxfId="1489" priority="2304" stopIfTrue="1" operator="containsText" text="TIL">
      <formula>NOT(ISERROR(SEARCH("TIL",Z19)))</formula>
    </cfRule>
    <cfRule type="containsText" dxfId="1488" priority="2305" stopIfTrue="1" operator="containsText" text="疫苗">
      <formula>NOT(ISERROR(SEARCH("疫苗",Z19)))</formula>
    </cfRule>
    <cfRule type="containsText" dxfId="1487" priority="2306" stopIfTrue="1" operator="containsText" text="勞假">
      <formula>NOT(ISERROR(SEARCH("勞假",Z19)))</formula>
    </cfRule>
    <cfRule type="containsText" dxfId="1486" priority="2307" stopIfTrue="1" operator="containsText" text="補假">
      <formula>NOT(ISERROR(SEARCH("補假",Z19)))</formula>
    </cfRule>
    <cfRule type="containsText" dxfId="1485" priority="2308" stopIfTrue="1" operator="containsText" text="例假">
      <formula>NOT(ISERROR(SEARCH("例假",Z19)))</formula>
    </cfRule>
    <cfRule type="containsText" dxfId="1484" priority="2309" stopIfTrue="1" operator="containsText" text="病假">
      <formula>NOT(ISERROR(SEARCH("病假",Z19)))</formula>
    </cfRule>
    <cfRule type="containsText" dxfId="1483" priority="2310" stopIfTrue="1" operator="containsText" text="大假">
      <formula>NOT(ISERROR(SEARCH("大假",Z19)))</formula>
    </cfRule>
    <cfRule type="containsText" dxfId="1482" priority="2311" stopIfTrue="1" operator="containsText" text="無薪">
      <formula>NOT(ISERROR(SEARCH("無薪",Z19)))</formula>
    </cfRule>
    <cfRule type="containsText" dxfId="1481" priority="2312" stopIfTrue="1" operator="containsText" text="疫苗">
      <formula>NOT(ISERROR(SEARCH("疫苗",Z19)))</formula>
    </cfRule>
    <cfRule type="containsText" dxfId="1480" priority="2313" stopIfTrue="1" operator="containsText" text="勞假">
      <formula>NOT(ISERROR(SEARCH("勞假",Z19)))</formula>
    </cfRule>
    <cfRule type="containsText" dxfId="1479" priority="2314" stopIfTrue="1" operator="containsText" text="補假">
      <formula>NOT(ISERROR(SEARCH("補假",Z19)))</formula>
    </cfRule>
    <cfRule type="containsText" dxfId="1478" priority="2315" stopIfTrue="1" operator="containsText" text="例假">
      <formula>NOT(ISERROR(SEARCH("例假",Z19)))</formula>
    </cfRule>
    <cfRule type="containsText" dxfId="1477" priority="2316" stopIfTrue="1" operator="containsText" text="病假">
      <formula>NOT(ISERROR(SEARCH("病假",Z19)))</formula>
    </cfRule>
    <cfRule type="containsText" dxfId="1476" priority="2317" stopIfTrue="1" operator="containsText" text="大假">
      <formula>NOT(ISERROR(SEARCH("大假",Z19)))</formula>
    </cfRule>
    <cfRule type="containsText" dxfId="1475" priority="2318" stopIfTrue="1" operator="containsText" text="無薪">
      <formula>NOT(ISERROR(SEARCH("無薪",Z19)))</formula>
    </cfRule>
    <cfRule type="containsText" dxfId="1474" priority="2319" stopIfTrue="1" operator="containsText" text="TIL">
      <formula>NOT(ISERROR(SEARCH("TIL",Z19)))</formula>
    </cfRule>
    <cfRule type="containsText" dxfId="1473" priority="2320" stopIfTrue="1" operator="containsText" text="疫苗">
      <formula>NOT(ISERROR(SEARCH("疫苗",Z19)))</formula>
    </cfRule>
    <cfRule type="containsText" dxfId="1472" priority="2321" stopIfTrue="1" operator="containsText" text="勞假">
      <formula>NOT(ISERROR(SEARCH("勞假",Z19)))</formula>
    </cfRule>
    <cfRule type="containsText" dxfId="1471" priority="2322" stopIfTrue="1" operator="containsText" text="補假">
      <formula>NOT(ISERROR(SEARCH("補假",Z19)))</formula>
    </cfRule>
    <cfRule type="containsText" dxfId="1470" priority="2323" stopIfTrue="1" operator="containsText" text="例假">
      <formula>NOT(ISERROR(SEARCH("例假",Z19)))</formula>
    </cfRule>
    <cfRule type="containsText" dxfId="1469" priority="2324" stopIfTrue="1" operator="containsText" text="病假">
      <formula>NOT(ISERROR(SEARCH("病假",Z19)))</formula>
    </cfRule>
    <cfRule type="containsText" dxfId="1468" priority="2325" stopIfTrue="1" operator="containsText" text="大假">
      <formula>NOT(ISERROR(SEARCH("大假",Z19)))</formula>
    </cfRule>
    <cfRule type="containsText" dxfId="1467" priority="2326" stopIfTrue="1" operator="containsText" text="無薪">
      <formula>NOT(ISERROR(SEARCH("無薪",Z19)))</formula>
    </cfRule>
    <cfRule type="containsText" dxfId="1466" priority="2327" stopIfTrue="1" operator="containsText" text="TIL">
      <formula>NOT(ISERROR(SEARCH("TIL",Z19)))</formula>
    </cfRule>
    <cfRule type="containsText" dxfId="1465" priority="2328" stopIfTrue="1" operator="containsText" text="疫苗">
      <formula>NOT(ISERROR(SEARCH("疫苗",Z19)))</formula>
    </cfRule>
    <cfRule type="containsText" dxfId="1464" priority="2329" stopIfTrue="1" operator="containsText" text="勞假">
      <formula>NOT(ISERROR(SEARCH("勞假",Z19)))</formula>
    </cfRule>
    <cfRule type="containsText" dxfId="1463" priority="2330" stopIfTrue="1" operator="containsText" text="補假">
      <formula>NOT(ISERROR(SEARCH("補假",Z19)))</formula>
    </cfRule>
    <cfRule type="containsText" dxfId="1462" priority="2331" stopIfTrue="1" operator="containsText" text="例假">
      <formula>NOT(ISERROR(SEARCH("例假",Z19)))</formula>
    </cfRule>
    <cfRule type="containsText" dxfId="1461" priority="2332" stopIfTrue="1" operator="containsText" text="病假">
      <formula>NOT(ISERROR(SEARCH("病假",Z19)))</formula>
    </cfRule>
    <cfRule type="containsText" dxfId="1460" priority="2333" stopIfTrue="1" operator="containsText" text="大假">
      <formula>NOT(ISERROR(SEARCH("大假",Z19)))</formula>
    </cfRule>
    <cfRule type="containsText" dxfId="1459" priority="2334" stopIfTrue="1" operator="containsText" text="無薪">
      <formula>NOT(ISERROR(SEARCH("無薪",Z19)))</formula>
    </cfRule>
    <cfRule type="cellIs" dxfId="1458" priority="2335" operator="equal">
      <formula>"NC"</formula>
    </cfRule>
    <cfRule type="cellIs" dxfId="1457" priority="2336" operator="equal">
      <formula>"nd"</formula>
    </cfRule>
    <cfRule type="cellIs" dxfId="1456" priority="2337" operator="equal">
      <formula>0</formula>
    </cfRule>
    <cfRule type="cellIs" dxfId="1455" priority="2338" operator="equal">
      <formula>"R"</formula>
    </cfRule>
    <cfRule type="cellIs" dxfId="1454" priority="2339" operator="equal">
      <formula>"NH12"</formula>
    </cfRule>
    <cfRule type="cellIs" dxfId="1453" priority="2340" operator="equal">
      <formula>"Nh11"</formula>
    </cfRule>
    <cfRule type="containsText" dxfId="1452" priority="2341" stopIfTrue="1" operator="containsText" text="TIL">
      <formula>NOT(ISERROR(SEARCH("TIL",Z19)))</formula>
    </cfRule>
    <cfRule type="containsText" dxfId="1451" priority="2342" stopIfTrue="1" operator="containsText" text="疫苗">
      <formula>NOT(ISERROR(SEARCH("疫苗",Z19)))</formula>
    </cfRule>
    <cfRule type="containsText" dxfId="1450" priority="2343" stopIfTrue="1" operator="containsText" text="勞假">
      <formula>NOT(ISERROR(SEARCH("勞假",Z19)))</formula>
    </cfRule>
    <cfRule type="containsText" dxfId="1449" priority="2344" stopIfTrue="1" operator="containsText" text="補假">
      <formula>NOT(ISERROR(SEARCH("補假",Z19)))</formula>
    </cfRule>
    <cfRule type="containsText" dxfId="1448" priority="2345" stopIfTrue="1" operator="containsText" text="例假">
      <formula>NOT(ISERROR(SEARCH("例假",Z19)))</formula>
    </cfRule>
    <cfRule type="containsText" dxfId="1447" priority="2346" stopIfTrue="1" operator="containsText" text="病假">
      <formula>NOT(ISERROR(SEARCH("病假",Z19)))</formula>
    </cfRule>
    <cfRule type="containsText" dxfId="1446" priority="2347" stopIfTrue="1" operator="containsText" text="大假">
      <formula>NOT(ISERROR(SEARCH("大假",Z19)))</formula>
    </cfRule>
    <cfRule type="containsText" dxfId="1445" priority="2348" stopIfTrue="1" operator="containsText" text="無薪">
      <formula>NOT(ISERROR(SEARCH("無薪",Z19)))</formula>
    </cfRule>
    <cfRule type="containsText" dxfId="1444" priority="2349" stopIfTrue="1" operator="containsText" text="TIL">
      <formula>NOT(ISERROR(SEARCH("TIL",Z19)))</formula>
    </cfRule>
    <cfRule type="containsText" dxfId="1443" priority="2350" stopIfTrue="1" operator="containsText" text="疫苗">
      <formula>NOT(ISERROR(SEARCH("疫苗",Z19)))</formula>
    </cfRule>
    <cfRule type="containsText" dxfId="1442" priority="2351" stopIfTrue="1" operator="containsText" text="勞假">
      <formula>NOT(ISERROR(SEARCH("勞假",Z19)))</formula>
    </cfRule>
    <cfRule type="containsText" dxfId="1441" priority="2352" stopIfTrue="1" operator="containsText" text="補假">
      <formula>NOT(ISERROR(SEARCH("補假",Z19)))</formula>
    </cfRule>
    <cfRule type="containsText" dxfId="1440" priority="2353" stopIfTrue="1" operator="containsText" text="例假">
      <formula>NOT(ISERROR(SEARCH("例假",Z19)))</formula>
    </cfRule>
    <cfRule type="containsText" dxfId="1439" priority="2354" stopIfTrue="1" operator="containsText" text="病假">
      <formula>NOT(ISERROR(SEARCH("病假",Z19)))</formula>
    </cfRule>
    <cfRule type="containsText" dxfId="1438" priority="2355" stopIfTrue="1" operator="containsText" text="大假">
      <formula>NOT(ISERROR(SEARCH("大假",Z19)))</formula>
    </cfRule>
    <cfRule type="containsText" dxfId="1437" priority="2356" stopIfTrue="1" operator="containsText" text="無薪">
      <formula>NOT(ISERROR(SEARCH("無薪",Z19)))</formula>
    </cfRule>
    <cfRule type="containsText" dxfId="1436" priority="2357" stopIfTrue="1" operator="containsText" text="疫苗">
      <formula>NOT(ISERROR(SEARCH("疫苗",Z19)))</formula>
    </cfRule>
    <cfRule type="containsText" dxfId="1435" priority="2358" stopIfTrue="1" operator="containsText" text="勞假">
      <formula>NOT(ISERROR(SEARCH("勞假",Z19)))</formula>
    </cfRule>
    <cfRule type="containsText" dxfId="1434" priority="2359" stopIfTrue="1" operator="containsText" text="補假">
      <formula>NOT(ISERROR(SEARCH("補假",Z19)))</formula>
    </cfRule>
    <cfRule type="containsText" dxfId="1433" priority="2360" stopIfTrue="1" operator="containsText" text="例假">
      <formula>NOT(ISERROR(SEARCH("例假",Z19)))</formula>
    </cfRule>
    <cfRule type="containsText" dxfId="1432" priority="2361" stopIfTrue="1" operator="containsText" text="病假">
      <formula>NOT(ISERROR(SEARCH("病假",Z19)))</formula>
    </cfRule>
    <cfRule type="containsText" dxfId="1431" priority="2362" stopIfTrue="1" operator="containsText" text="大假">
      <formula>NOT(ISERROR(SEARCH("大假",Z19)))</formula>
    </cfRule>
    <cfRule type="containsText" dxfId="1430" priority="2363" stopIfTrue="1" operator="containsText" text="無薪">
      <formula>NOT(ISERROR(SEARCH("無薪",Z19)))</formula>
    </cfRule>
    <cfRule type="containsText" dxfId="1429" priority="2364" stopIfTrue="1" operator="containsText" text="TIL">
      <formula>NOT(ISERROR(SEARCH("TIL",Z19)))</formula>
    </cfRule>
    <cfRule type="containsText" dxfId="1428" priority="2365" stopIfTrue="1" operator="containsText" text="疫苗">
      <formula>NOT(ISERROR(SEARCH("疫苗",Z19)))</formula>
    </cfRule>
    <cfRule type="containsText" dxfId="1427" priority="2366" stopIfTrue="1" operator="containsText" text="勞假">
      <formula>NOT(ISERROR(SEARCH("勞假",Z19)))</formula>
    </cfRule>
    <cfRule type="containsText" dxfId="1426" priority="2367" stopIfTrue="1" operator="containsText" text="補假">
      <formula>NOT(ISERROR(SEARCH("補假",Z19)))</formula>
    </cfRule>
    <cfRule type="containsText" dxfId="1425" priority="2368" stopIfTrue="1" operator="containsText" text="例假">
      <formula>NOT(ISERROR(SEARCH("例假",Z19)))</formula>
    </cfRule>
    <cfRule type="containsText" dxfId="1424" priority="2369" stopIfTrue="1" operator="containsText" text="病假">
      <formula>NOT(ISERROR(SEARCH("病假",Z19)))</formula>
    </cfRule>
    <cfRule type="containsText" dxfId="1423" priority="2370" stopIfTrue="1" operator="containsText" text="大假">
      <formula>NOT(ISERROR(SEARCH("大假",Z19)))</formula>
    </cfRule>
    <cfRule type="containsText" dxfId="1422" priority="2371" stopIfTrue="1" operator="containsText" text="無薪">
      <formula>NOT(ISERROR(SEARCH("無薪",Z19)))</formula>
    </cfRule>
    <cfRule type="containsText" dxfId="1421" priority="2372" stopIfTrue="1" operator="containsText" text="TIL">
      <formula>NOT(ISERROR(SEARCH("TIL",Z19)))</formula>
    </cfRule>
    <cfRule type="containsText" dxfId="1420" priority="2373" stopIfTrue="1" operator="containsText" text="疫苗">
      <formula>NOT(ISERROR(SEARCH("疫苗",Z19)))</formula>
    </cfRule>
    <cfRule type="containsText" dxfId="1419" priority="2374" stopIfTrue="1" operator="containsText" text="勞假">
      <formula>NOT(ISERROR(SEARCH("勞假",Z19)))</formula>
    </cfRule>
    <cfRule type="containsText" dxfId="1418" priority="2375" stopIfTrue="1" operator="containsText" text="補假">
      <formula>NOT(ISERROR(SEARCH("補假",Z19)))</formula>
    </cfRule>
    <cfRule type="containsText" dxfId="1417" priority="2376" stopIfTrue="1" operator="containsText" text="例假">
      <formula>NOT(ISERROR(SEARCH("例假",Z19)))</formula>
    </cfRule>
    <cfRule type="containsText" dxfId="1416" priority="2377" stopIfTrue="1" operator="containsText" text="病假">
      <formula>NOT(ISERROR(SEARCH("病假",Z19)))</formula>
    </cfRule>
    <cfRule type="containsText" dxfId="1415" priority="2378" stopIfTrue="1" operator="containsText" text="大假">
      <formula>NOT(ISERROR(SEARCH("大假",Z19)))</formula>
    </cfRule>
    <cfRule type="containsText" dxfId="1414" priority="2379" stopIfTrue="1" operator="containsText" text="TIL">
      <formula>NOT(ISERROR(SEARCH("TIL",Z19)))</formula>
    </cfRule>
    <cfRule type="cellIs" dxfId="1413" priority="2380" stopIfTrue="1" operator="equal">
      <formula>"NP"</formula>
    </cfRule>
    <cfRule type="cellIs" dxfId="1412" priority="2381" stopIfTrue="1" operator="equal">
      <formula>"RD"</formula>
    </cfRule>
    <cfRule type="containsText" dxfId="1411" priority="2382" stopIfTrue="1" operator="containsText" text="TIL">
      <formula>NOT(ISERROR(SEARCH("TIL",Z19)))</formula>
    </cfRule>
    <cfRule type="containsText" dxfId="1410" priority="2383" stopIfTrue="1" operator="containsText" text="疫苗">
      <formula>NOT(ISERROR(SEARCH("疫苗",Z19)))</formula>
    </cfRule>
    <cfRule type="containsText" dxfId="1409" priority="2384" stopIfTrue="1" operator="containsText" text="勞假">
      <formula>NOT(ISERROR(SEARCH("勞假",Z19)))</formula>
    </cfRule>
    <cfRule type="containsText" dxfId="1408" priority="2385" stopIfTrue="1" operator="containsText" text="補假">
      <formula>NOT(ISERROR(SEARCH("補假",Z19)))</formula>
    </cfRule>
    <cfRule type="containsText" dxfId="1407" priority="2386" stopIfTrue="1" operator="containsText" text="例假">
      <formula>NOT(ISERROR(SEARCH("例假",Z19)))</formula>
    </cfRule>
    <cfRule type="containsText" dxfId="1406" priority="2387" stopIfTrue="1" operator="containsText" text="病假">
      <formula>NOT(ISERROR(SEARCH("病假",Z19)))</formula>
    </cfRule>
    <cfRule type="containsText" dxfId="1405" priority="2388" stopIfTrue="1" operator="containsText" text="大假">
      <formula>NOT(ISERROR(SEARCH("大假",Z19)))</formula>
    </cfRule>
    <cfRule type="containsText" dxfId="1404" priority="2389" stopIfTrue="1" operator="containsText" text="TIL">
      <formula>NOT(ISERROR(SEARCH("TIL",Z19)))</formula>
    </cfRule>
    <cfRule type="containsText" dxfId="1403" priority="2390" stopIfTrue="1" operator="containsText" text="疫苗">
      <formula>NOT(ISERROR(SEARCH("疫苗",Z19)))</formula>
    </cfRule>
    <cfRule type="containsText" dxfId="1402" priority="2391" stopIfTrue="1" operator="containsText" text="勞假">
      <formula>NOT(ISERROR(SEARCH("勞假",Z19)))</formula>
    </cfRule>
    <cfRule type="containsText" dxfId="1401" priority="2392" stopIfTrue="1" operator="containsText" text="補假">
      <formula>NOT(ISERROR(SEARCH("補假",Z19)))</formula>
    </cfRule>
    <cfRule type="containsText" dxfId="1400" priority="2393" stopIfTrue="1" operator="containsText" text="例假">
      <formula>NOT(ISERROR(SEARCH("例假",Z19)))</formula>
    </cfRule>
    <cfRule type="containsText" dxfId="1399" priority="2394" stopIfTrue="1" operator="containsText" text="病假">
      <formula>NOT(ISERROR(SEARCH("病假",Z19)))</formula>
    </cfRule>
    <cfRule type="containsText" dxfId="1398" priority="2395" stopIfTrue="1" operator="containsText" text="大假">
      <formula>NOT(ISERROR(SEARCH("大假",Z19)))</formula>
    </cfRule>
    <cfRule type="containsText" dxfId="1397" priority="2396" stopIfTrue="1" operator="containsText" text="無薪">
      <formula>NOT(ISERROR(SEARCH("無薪",Z19)))</formula>
    </cfRule>
    <cfRule type="containsText" dxfId="1396" priority="2397" stopIfTrue="1" operator="containsText" text="疫苗">
      <formula>NOT(ISERROR(SEARCH("疫苗",Z19)))</formula>
    </cfRule>
    <cfRule type="containsText" dxfId="1395" priority="2398" stopIfTrue="1" operator="containsText" text="勞假">
      <formula>NOT(ISERROR(SEARCH("勞假",Z19)))</formula>
    </cfRule>
    <cfRule type="containsText" dxfId="1394" priority="2399" stopIfTrue="1" operator="containsText" text="補假">
      <formula>NOT(ISERROR(SEARCH("補假",Z19)))</formula>
    </cfRule>
    <cfRule type="containsText" dxfId="1393" priority="2400" stopIfTrue="1" operator="containsText" text="例假">
      <formula>NOT(ISERROR(SEARCH("例假",Z19)))</formula>
    </cfRule>
    <cfRule type="containsText" dxfId="1392" priority="2401" stopIfTrue="1" operator="containsText" text="病假">
      <formula>NOT(ISERROR(SEARCH("病假",Z19)))</formula>
    </cfRule>
    <cfRule type="containsText" dxfId="1391" priority="2402" stopIfTrue="1" operator="containsText" text="大假">
      <formula>NOT(ISERROR(SEARCH("大假",Z19)))</formula>
    </cfRule>
    <cfRule type="containsText" dxfId="1390" priority="2403" stopIfTrue="1" operator="containsText" text="無薪">
      <formula>NOT(ISERROR(SEARCH("無薪",Z19)))</formula>
    </cfRule>
    <cfRule type="containsText" dxfId="1389" priority="2404" stopIfTrue="1" operator="containsText" text="TIL">
      <formula>NOT(ISERROR(SEARCH("TIL",Z19)))</formula>
    </cfRule>
    <cfRule type="containsText" dxfId="1388" priority="2405" stopIfTrue="1" operator="containsText" text="疫苗">
      <formula>NOT(ISERROR(SEARCH("疫苗",Z19)))</formula>
    </cfRule>
    <cfRule type="containsText" dxfId="1387" priority="2406" stopIfTrue="1" operator="containsText" text="勞假">
      <formula>NOT(ISERROR(SEARCH("勞假",Z19)))</formula>
    </cfRule>
    <cfRule type="containsText" dxfId="1386" priority="2407" stopIfTrue="1" operator="containsText" text="補假">
      <formula>NOT(ISERROR(SEARCH("補假",Z19)))</formula>
    </cfRule>
    <cfRule type="containsText" dxfId="1385" priority="2408" stopIfTrue="1" operator="containsText" text="例假">
      <formula>NOT(ISERROR(SEARCH("例假",Z19)))</formula>
    </cfRule>
    <cfRule type="containsText" dxfId="1384" priority="2409" stopIfTrue="1" operator="containsText" text="病假">
      <formula>NOT(ISERROR(SEARCH("病假",Z19)))</formula>
    </cfRule>
    <cfRule type="containsText" dxfId="1383" priority="2410" stopIfTrue="1" operator="containsText" text="大假">
      <formula>NOT(ISERROR(SEARCH("大假",Z19)))</formula>
    </cfRule>
    <cfRule type="containsText" dxfId="1382" priority="2411" stopIfTrue="1" operator="containsText" text="無薪">
      <formula>NOT(ISERROR(SEARCH("無薪",Z19)))</formula>
    </cfRule>
    <cfRule type="containsText" dxfId="1381" priority="2412" stopIfTrue="1" operator="containsText" text="TIL">
      <formula>NOT(ISERROR(SEARCH("TIL",Z19)))</formula>
    </cfRule>
    <cfRule type="containsText" dxfId="1380" priority="2413" stopIfTrue="1" operator="containsText" text="疫苗">
      <formula>NOT(ISERROR(SEARCH("疫苗",Z19)))</formula>
    </cfRule>
    <cfRule type="containsText" dxfId="1379" priority="2414" stopIfTrue="1" operator="containsText" text="勞假">
      <formula>NOT(ISERROR(SEARCH("勞假",Z19)))</formula>
    </cfRule>
    <cfRule type="containsText" dxfId="1378" priority="2415" stopIfTrue="1" operator="containsText" text="補假">
      <formula>NOT(ISERROR(SEARCH("補假",Z19)))</formula>
    </cfRule>
    <cfRule type="containsText" dxfId="1377" priority="2416" stopIfTrue="1" operator="containsText" text="例假">
      <formula>NOT(ISERROR(SEARCH("例假",Z19)))</formula>
    </cfRule>
    <cfRule type="containsText" dxfId="1376" priority="2417" stopIfTrue="1" operator="containsText" text="病假">
      <formula>NOT(ISERROR(SEARCH("病假",Z19)))</formula>
    </cfRule>
    <cfRule type="containsText" dxfId="1375" priority="2418" stopIfTrue="1" operator="containsText" text="大假">
      <formula>NOT(ISERROR(SEARCH("大假",Z19)))</formula>
    </cfRule>
    <cfRule type="containsText" dxfId="1374" priority="2419" stopIfTrue="1" operator="containsText" text="無薪">
      <formula>NOT(ISERROR(SEARCH("無薪",Z19)))</formula>
    </cfRule>
    <cfRule type="cellIs" dxfId="1373" priority="2420" operator="equal">
      <formula>"NC"</formula>
    </cfRule>
    <cfRule type="cellIs" dxfId="1372" priority="2421" operator="equal">
      <formula>"nd"</formula>
    </cfRule>
    <cfRule type="cellIs" dxfId="1371" priority="2422" operator="equal">
      <formula>0</formula>
    </cfRule>
    <cfRule type="cellIs" dxfId="1370" priority="2423" operator="equal">
      <formula>"R"</formula>
    </cfRule>
    <cfRule type="cellIs" dxfId="1369" priority="2424" operator="equal">
      <formula>"NH12"</formula>
    </cfRule>
    <cfRule type="cellIs" dxfId="1368" priority="2425" operator="equal">
      <formula>"Nh11"</formula>
    </cfRule>
    <cfRule type="containsText" dxfId="1367" priority="2426" stopIfTrue="1" operator="containsText" text="TIL">
      <formula>NOT(ISERROR(SEARCH("TIL",Z19)))</formula>
    </cfRule>
    <cfRule type="containsText" dxfId="1366" priority="2427" stopIfTrue="1" operator="containsText" text="疫苗">
      <formula>NOT(ISERROR(SEARCH("疫苗",Z19)))</formula>
    </cfRule>
    <cfRule type="containsText" dxfId="1365" priority="2428" stopIfTrue="1" operator="containsText" text="勞假">
      <formula>NOT(ISERROR(SEARCH("勞假",Z19)))</formula>
    </cfRule>
    <cfRule type="containsText" dxfId="1364" priority="2429" stopIfTrue="1" operator="containsText" text="補假">
      <formula>NOT(ISERROR(SEARCH("補假",Z19)))</formula>
    </cfRule>
    <cfRule type="containsText" dxfId="1363" priority="2430" stopIfTrue="1" operator="containsText" text="例假">
      <formula>NOT(ISERROR(SEARCH("例假",Z19)))</formula>
    </cfRule>
    <cfRule type="containsText" dxfId="1362" priority="2431" stopIfTrue="1" operator="containsText" text="病假">
      <formula>NOT(ISERROR(SEARCH("病假",Z19)))</formula>
    </cfRule>
    <cfRule type="containsText" dxfId="1361" priority="2432" stopIfTrue="1" operator="containsText" text="大假">
      <formula>NOT(ISERROR(SEARCH("大假",Z19)))</formula>
    </cfRule>
    <cfRule type="containsText" dxfId="1360" priority="2433" stopIfTrue="1" operator="containsText" text="無薪">
      <formula>NOT(ISERROR(SEARCH("無薪",Z19)))</formula>
    </cfRule>
    <cfRule type="containsText" dxfId="1359" priority="2434" stopIfTrue="1" operator="containsText" text="TIL">
      <formula>NOT(ISERROR(SEARCH("TIL",Z19)))</formula>
    </cfRule>
    <cfRule type="containsText" dxfId="1358" priority="2435" stopIfTrue="1" operator="containsText" text="疫苗">
      <formula>NOT(ISERROR(SEARCH("疫苗",Z19)))</formula>
    </cfRule>
    <cfRule type="containsText" dxfId="1357" priority="2436" stopIfTrue="1" operator="containsText" text="勞假">
      <formula>NOT(ISERROR(SEARCH("勞假",Z19)))</formula>
    </cfRule>
    <cfRule type="containsText" dxfId="1356" priority="2437" stopIfTrue="1" operator="containsText" text="補假">
      <formula>NOT(ISERROR(SEARCH("補假",Z19)))</formula>
    </cfRule>
    <cfRule type="containsText" dxfId="1355" priority="2438" stopIfTrue="1" operator="containsText" text="例假">
      <formula>NOT(ISERROR(SEARCH("例假",Z19)))</formula>
    </cfRule>
    <cfRule type="containsText" dxfId="1354" priority="2439" stopIfTrue="1" operator="containsText" text="病假">
      <formula>NOT(ISERROR(SEARCH("病假",Z19)))</formula>
    </cfRule>
    <cfRule type="containsText" dxfId="1353" priority="2440" stopIfTrue="1" operator="containsText" text="大假">
      <formula>NOT(ISERROR(SEARCH("大假",Z19)))</formula>
    </cfRule>
    <cfRule type="containsText" dxfId="1352" priority="2441" stopIfTrue="1" operator="containsText" text="無薪">
      <formula>NOT(ISERROR(SEARCH("無薪",Z19)))</formula>
    </cfRule>
    <cfRule type="containsText" dxfId="1351" priority="2442" stopIfTrue="1" operator="containsText" text="疫苗">
      <formula>NOT(ISERROR(SEARCH("疫苗",Z19)))</formula>
    </cfRule>
    <cfRule type="containsText" dxfId="1350" priority="2443" stopIfTrue="1" operator="containsText" text="勞假">
      <formula>NOT(ISERROR(SEARCH("勞假",Z19)))</formula>
    </cfRule>
    <cfRule type="containsText" dxfId="1349" priority="2444" stopIfTrue="1" operator="containsText" text="補假">
      <formula>NOT(ISERROR(SEARCH("補假",Z19)))</formula>
    </cfRule>
    <cfRule type="containsText" dxfId="1348" priority="2445" stopIfTrue="1" operator="containsText" text="例假">
      <formula>NOT(ISERROR(SEARCH("例假",Z19)))</formula>
    </cfRule>
    <cfRule type="containsText" dxfId="1347" priority="2446" stopIfTrue="1" operator="containsText" text="病假">
      <formula>NOT(ISERROR(SEARCH("病假",Z19)))</formula>
    </cfRule>
    <cfRule type="containsText" dxfId="1346" priority="2447" stopIfTrue="1" operator="containsText" text="大假">
      <formula>NOT(ISERROR(SEARCH("大假",Z19)))</formula>
    </cfRule>
  </conditionalFormatting>
  <conditionalFormatting sqref="AA11:AB11">
    <cfRule type="cellIs" dxfId="1345" priority="2790" operator="equal">
      <formula>"NSH"</formula>
    </cfRule>
    <cfRule type="cellIs" dxfId="1344" priority="2791" operator="equal">
      <formula>"VO"</formula>
    </cfRule>
    <cfRule type="cellIs" dxfId="1343" priority="2792" operator="equal">
      <formula>"CW"</formula>
    </cfRule>
    <cfRule type="cellIs" dxfId="1342" priority="2793" operator="equal">
      <formula>"CF"</formula>
    </cfRule>
  </conditionalFormatting>
  <conditionalFormatting sqref="AB11">
    <cfRule type="cellIs" dxfId="1341" priority="1637" operator="equal">
      <formula>"VO"</formula>
    </cfRule>
    <cfRule type="cellIs" dxfId="1340" priority="1638" operator="equal">
      <formula>"CW"</formula>
    </cfRule>
    <cfRule type="cellIs" dxfId="1339" priority="1639" operator="equal">
      <formula>"CF"</formula>
    </cfRule>
    <cfRule type="containsText" dxfId="1338" priority="1640" stopIfTrue="1" operator="containsText" text="無薪">
      <formula>NOT(ISERROR(SEARCH("無薪",AB11)))</formula>
    </cfRule>
    <cfRule type="containsText" dxfId="1337" priority="1641" stopIfTrue="1" operator="containsText" text="TIL">
      <formula>NOT(ISERROR(SEARCH("TIL",AB11)))</formula>
    </cfRule>
    <cfRule type="containsText" dxfId="1336" priority="1642" stopIfTrue="1" operator="containsText" text="疫苗">
      <formula>NOT(ISERROR(SEARCH("疫苗",AB11)))</formula>
    </cfRule>
    <cfRule type="containsText" dxfId="1335" priority="1643" stopIfTrue="1" operator="containsText" text="勞假">
      <formula>NOT(ISERROR(SEARCH("勞假",AB11)))</formula>
    </cfRule>
    <cfRule type="containsText" dxfId="1334" priority="1644" stopIfTrue="1" operator="containsText" text="補假">
      <formula>NOT(ISERROR(SEARCH("補假",AB11)))</formula>
    </cfRule>
    <cfRule type="containsText" dxfId="1333" priority="1645" stopIfTrue="1" operator="containsText" text="例假">
      <formula>NOT(ISERROR(SEARCH("例假",AB11)))</formula>
    </cfRule>
    <cfRule type="containsText" dxfId="1332" priority="1646" stopIfTrue="1" operator="containsText" text="病假">
      <formula>NOT(ISERROR(SEARCH("病假",AB11)))</formula>
    </cfRule>
    <cfRule type="containsText" dxfId="1331" priority="1647" stopIfTrue="1" operator="containsText" text="大假">
      <formula>NOT(ISERROR(SEARCH("大假",AB11)))</formula>
    </cfRule>
    <cfRule type="containsText" dxfId="1330" priority="1648" stopIfTrue="1" operator="containsText" text="無薪">
      <formula>NOT(ISERROR(SEARCH("無薪",AB11)))</formula>
    </cfRule>
    <cfRule type="containsText" dxfId="1329" priority="1649" stopIfTrue="1" operator="containsText" text="TIL">
      <formula>NOT(ISERROR(SEARCH("TIL",AB11)))</formula>
    </cfRule>
    <cfRule type="containsText" dxfId="1328" priority="1650" stopIfTrue="1" operator="containsText" text="疫苗">
      <formula>NOT(ISERROR(SEARCH("疫苗",AB11)))</formula>
    </cfRule>
    <cfRule type="containsText" dxfId="1327" priority="1651" stopIfTrue="1" operator="containsText" text="勞假">
      <formula>NOT(ISERROR(SEARCH("勞假",AB11)))</formula>
    </cfRule>
    <cfRule type="containsText" dxfId="1326" priority="1652" stopIfTrue="1" operator="containsText" text="補假">
      <formula>NOT(ISERROR(SEARCH("補假",AB11)))</formula>
    </cfRule>
    <cfRule type="containsText" dxfId="1325" priority="1653" stopIfTrue="1" operator="containsText" text="例假">
      <formula>NOT(ISERROR(SEARCH("例假",AB11)))</formula>
    </cfRule>
    <cfRule type="containsText" dxfId="1324" priority="1654" stopIfTrue="1" operator="containsText" text="病假">
      <formula>NOT(ISERROR(SEARCH("病假",AB11)))</formula>
    </cfRule>
    <cfRule type="containsText" dxfId="1323" priority="1655" stopIfTrue="1" operator="containsText" text="大假">
      <formula>NOT(ISERROR(SEARCH("大假",AB11)))</formula>
    </cfRule>
    <cfRule type="containsText" dxfId="1322" priority="1656" stopIfTrue="1" operator="containsText" text="TIL">
      <formula>NOT(ISERROR(SEARCH("TIL",AB11)))</formula>
    </cfRule>
    <cfRule type="cellIs" dxfId="1321" priority="1657" stopIfTrue="1" operator="equal">
      <formula>"NP"</formula>
    </cfRule>
    <cfRule type="cellIs" dxfId="1320" priority="1658" stopIfTrue="1" operator="equal">
      <formula>"RD"</formula>
    </cfRule>
    <cfRule type="containsText" dxfId="1319" priority="1659" stopIfTrue="1" operator="containsText" text="TIL">
      <formula>NOT(ISERROR(SEARCH("TIL",AB11)))</formula>
    </cfRule>
    <cfRule type="containsText" dxfId="1318" priority="1660" stopIfTrue="1" operator="containsText" text="疫苗">
      <formula>NOT(ISERROR(SEARCH("疫苗",AB11)))</formula>
    </cfRule>
    <cfRule type="containsText" dxfId="1317" priority="1661" stopIfTrue="1" operator="containsText" text="勞假">
      <formula>NOT(ISERROR(SEARCH("勞假",AB11)))</formula>
    </cfRule>
    <cfRule type="containsText" dxfId="1316" priority="1662" stopIfTrue="1" operator="containsText" text="補假">
      <formula>NOT(ISERROR(SEARCH("補假",AB11)))</formula>
    </cfRule>
    <cfRule type="containsText" dxfId="1315" priority="1663" stopIfTrue="1" operator="containsText" text="例假">
      <formula>NOT(ISERROR(SEARCH("例假",AB11)))</formula>
    </cfRule>
    <cfRule type="containsText" dxfId="1314" priority="1664" stopIfTrue="1" operator="containsText" text="病假">
      <formula>NOT(ISERROR(SEARCH("病假",AB11)))</formula>
    </cfRule>
    <cfRule type="containsText" dxfId="1313" priority="1665" stopIfTrue="1" operator="containsText" text="大假">
      <formula>NOT(ISERROR(SEARCH("大假",AB11)))</formula>
    </cfRule>
    <cfRule type="containsText" dxfId="1312" priority="1666" stopIfTrue="1" operator="containsText" text="TIL">
      <formula>NOT(ISERROR(SEARCH("TIL",AB11)))</formula>
    </cfRule>
    <cfRule type="containsText" dxfId="1311" priority="1667" stopIfTrue="1" operator="containsText" text="疫苗">
      <formula>NOT(ISERROR(SEARCH("疫苗",AB11)))</formula>
    </cfRule>
    <cfRule type="containsText" dxfId="1310" priority="1668" stopIfTrue="1" operator="containsText" text="勞假">
      <formula>NOT(ISERROR(SEARCH("勞假",AB11)))</formula>
    </cfRule>
    <cfRule type="containsText" dxfId="1309" priority="1669" stopIfTrue="1" operator="containsText" text="補假">
      <formula>NOT(ISERROR(SEARCH("補假",AB11)))</formula>
    </cfRule>
    <cfRule type="containsText" dxfId="1308" priority="1670" stopIfTrue="1" operator="containsText" text="例假">
      <formula>NOT(ISERROR(SEARCH("例假",AB11)))</formula>
    </cfRule>
    <cfRule type="containsText" dxfId="1307" priority="1671" stopIfTrue="1" operator="containsText" text="病假">
      <formula>NOT(ISERROR(SEARCH("病假",AB11)))</formula>
    </cfRule>
    <cfRule type="containsText" dxfId="1306" priority="1672" stopIfTrue="1" operator="containsText" text="大假">
      <formula>NOT(ISERROR(SEARCH("大假",AB11)))</formula>
    </cfRule>
    <cfRule type="containsText" dxfId="1305" priority="1673" stopIfTrue="1" operator="containsText" text="無薪">
      <formula>NOT(ISERROR(SEARCH("無薪",AB11)))</formula>
    </cfRule>
    <cfRule type="containsText" dxfId="1304" priority="1674" stopIfTrue="1" operator="containsText" text="疫苗">
      <formula>NOT(ISERROR(SEARCH("疫苗",AB11)))</formula>
    </cfRule>
    <cfRule type="containsText" dxfId="1303" priority="1675" stopIfTrue="1" operator="containsText" text="勞假">
      <formula>NOT(ISERROR(SEARCH("勞假",AB11)))</formula>
    </cfRule>
    <cfRule type="containsText" dxfId="1302" priority="1676" stopIfTrue="1" operator="containsText" text="補假">
      <formula>NOT(ISERROR(SEARCH("補假",AB11)))</formula>
    </cfRule>
    <cfRule type="containsText" dxfId="1301" priority="1677" stopIfTrue="1" operator="containsText" text="例假">
      <formula>NOT(ISERROR(SEARCH("例假",AB11)))</formula>
    </cfRule>
    <cfRule type="containsText" dxfId="1300" priority="1678" stopIfTrue="1" operator="containsText" text="病假">
      <formula>NOT(ISERROR(SEARCH("病假",AB11)))</formula>
    </cfRule>
    <cfRule type="containsText" dxfId="1299" priority="1679" stopIfTrue="1" operator="containsText" text="大假">
      <formula>NOT(ISERROR(SEARCH("大假",AB11)))</formula>
    </cfRule>
    <cfRule type="containsText" dxfId="1298" priority="1680" stopIfTrue="1" operator="containsText" text="無薪">
      <formula>NOT(ISERROR(SEARCH("無薪",AB11)))</formula>
    </cfRule>
    <cfRule type="containsText" dxfId="1297" priority="1681" stopIfTrue="1" operator="containsText" text="TIL">
      <formula>NOT(ISERROR(SEARCH("TIL",AB11)))</formula>
    </cfRule>
    <cfRule type="containsText" dxfId="1296" priority="1682" stopIfTrue="1" operator="containsText" text="疫苗">
      <formula>NOT(ISERROR(SEARCH("疫苗",AB11)))</formula>
    </cfRule>
    <cfRule type="containsText" dxfId="1295" priority="1683" stopIfTrue="1" operator="containsText" text="勞假">
      <formula>NOT(ISERROR(SEARCH("勞假",AB11)))</formula>
    </cfRule>
    <cfRule type="containsText" dxfId="1294" priority="1684" stopIfTrue="1" operator="containsText" text="補假">
      <formula>NOT(ISERROR(SEARCH("補假",AB11)))</formula>
    </cfRule>
    <cfRule type="containsText" dxfId="1293" priority="1685" stopIfTrue="1" operator="containsText" text="例假">
      <formula>NOT(ISERROR(SEARCH("例假",AB11)))</formula>
    </cfRule>
    <cfRule type="containsText" dxfId="1292" priority="1686" stopIfTrue="1" operator="containsText" text="病假">
      <formula>NOT(ISERROR(SEARCH("病假",AB11)))</formula>
    </cfRule>
    <cfRule type="containsText" dxfId="1291" priority="1687" stopIfTrue="1" operator="containsText" text="大假">
      <formula>NOT(ISERROR(SEARCH("大假",AB11)))</formula>
    </cfRule>
    <cfRule type="containsText" dxfId="1290" priority="1688" stopIfTrue="1" operator="containsText" text="無薪">
      <formula>NOT(ISERROR(SEARCH("無薪",AB11)))</formula>
    </cfRule>
    <cfRule type="containsText" dxfId="1289" priority="1689" stopIfTrue="1" operator="containsText" text="TIL">
      <formula>NOT(ISERROR(SEARCH("TIL",AB11)))</formula>
    </cfRule>
    <cfRule type="containsText" dxfId="1288" priority="1690" stopIfTrue="1" operator="containsText" text="疫苗">
      <formula>NOT(ISERROR(SEARCH("疫苗",AB11)))</formula>
    </cfRule>
    <cfRule type="containsText" dxfId="1287" priority="1691" stopIfTrue="1" operator="containsText" text="勞假">
      <formula>NOT(ISERROR(SEARCH("勞假",AB11)))</formula>
    </cfRule>
    <cfRule type="containsText" dxfId="1286" priority="1692" stopIfTrue="1" operator="containsText" text="補假">
      <formula>NOT(ISERROR(SEARCH("補假",AB11)))</formula>
    </cfRule>
    <cfRule type="containsText" dxfId="1285" priority="1693" stopIfTrue="1" operator="containsText" text="例假">
      <formula>NOT(ISERROR(SEARCH("例假",AB11)))</formula>
    </cfRule>
    <cfRule type="containsText" dxfId="1284" priority="1694" stopIfTrue="1" operator="containsText" text="病假">
      <formula>NOT(ISERROR(SEARCH("病假",AB11)))</formula>
    </cfRule>
    <cfRule type="containsText" dxfId="1283" priority="1695" stopIfTrue="1" operator="containsText" text="大假">
      <formula>NOT(ISERROR(SEARCH("大假",AB11)))</formula>
    </cfRule>
    <cfRule type="containsText" dxfId="1282" priority="1696" stopIfTrue="1" operator="containsText" text="無薪">
      <formula>NOT(ISERROR(SEARCH("無薪",AB11)))</formula>
    </cfRule>
    <cfRule type="cellIs" dxfId="1281" priority="1697" operator="equal">
      <formula>"NC"</formula>
    </cfRule>
    <cfRule type="cellIs" dxfId="1280" priority="1698" operator="equal">
      <formula>"nd"</formula>
    </cfRule>
    <cfRule type="cellIs" dxfId="1279" priority="1699" operator="equal">
      <formula>0</formula>
    </cfRule>
    <cfRule type="cellIs" dxfId="1278" priority="1700" operator="equal">
      <formula>"R"</formula>
    </cfRule>
    <cfRule type="cellIs" dxfId="1277" priority="1701" operator="equal">
      <formula>"NH12"</formula>
    </cfRule>
    <cfRule type="cellIs" dxfId="1276" priority="1702" operator="equal">
      <formula>"Nh11"</formula>
    </cfRule>
    <cfRule type="containsText" dxfId="1275" priority="1703" stopIfTrue="1" operator="containsText" text="TIL">
      <formula>NOT(ISERROR(SEARCH("TIL",AB11)))</formula>
    </cfRule>
    <cfRule type="containsText" dxfId="1274" priority="1704" stopIfTrue="1" operator="containsText" text="疫苗">
      <formula>NOT(ISERROR(SEARCH("疫苗",AB11)))</formula>
    </cfRule>
    <cfRule type="containsText" dxfId="1273" priority="1705" stopIfTrue="1" operator="containsText" text="勞假">
      <formula>NOT(ISERROR(SEARCH("勞假",AB11)))</formula>
    </cfRule>
    <cfRule type="containsText" dxfId="1272" priority="1706" stopIfTrue="1" operator="containsText" text="補假">
      <formula>NOT(ISERROR(SEARCH("補假",AB11)))</formula>
    </cfRule>
    <cfRule type="containsText" dxfId="1271" priority="1707" stopIfTrue="1" operator="containsText" text="例假">
      <formula>NOT(ISERROR(SEARCH("例假",AB11)))</formula>
    </cfRule>
    <cfRule type="containsText" dxfId="1270" priority="1708" stopIfTrue="1" operator="containsText" text="病假">
      <formula>NOT(ISERROR(SEARCH("病假",AB11)))</formula>
    </cfRule>
    <cfRule type="containsText" dxfId="1269" priority="1709" stopIfTrue="1" operator="containsText" text="大假">
      <formula>NOT(ISERROR(SEARCH("大假",AB11)))</formula>
    </cfRule>
    <cfRule type="containsText" dxfId="1268" priority="1710" stopIfTrue="1" operator="containsText" text="無薪">
      <formula>NOT(ISERROR(SEARCH("無薪",AB11)))</formula>
    </cfRule>
    <cfRule type="containsText" dxfId="1267" priority="1711" stopIfTrue="1" operator="containsText" text="TIL">
      <formula>NOT(ISERROR(SEARCH("TIL",AB11)))</formula>
    </cfRule>
    <cfRule type="containsText" dxfId="1266" priority="1712" stopIfTrue="1" operator="containsText" text="疫苗">
      <formula>NOT(ISERROR(SEARCH("疫苗",AB11)))</formula>
    </cfRule>
    <cfRule type="containsText" dxfId="1265" priority="1713" stopIfTrue="1" operator="containsText" text="勞假">
      <formula>NOT(ISERROR(SEARCH("勞假",AB11)))</formula>
    </cfRule>
    <cfRule type="containsText" dxfId="1264" priority="1714" stopIfTrue="1" operator="containsText" text="補假">
      <formula>NOT(ISERROR(SEARCH("補假",AB11)))</formula>
    </cfRule>
    <cfRule type="containsText" dxfId="1263" priority="1715" stopIfTrue="1" operator="containsText" text="例假">
      <formula>NOT(ISERROR(SEARCH("例假",AB11)))</formula>
    </cfRule>
    <cfRule type="containsText" dxfId="1262" priority="1716" stopIfTrue="1" operator="containsText" text="病假">
      <formula>NOT(ISERROR(SEARCH("病假",AB11)))</formula>
    </cfRule>
    <cfRule type="containsText" dxfId="1261" priority="1717" stopIfTrue="1" operator="containsText" text="大假">
      <formula>NOT(ISERROR(SEARCH("大假",AB11)))</formula>
    </cfRule>
    <cfRule type="containsText" dxfId="1260" priority="1718" stopIfTrue="1" operator="containsText" text="無薪">
      <formula>NOT(ISERROR(SEARCH("無薪",AB11)))</formula>
    </cfRule>
    <cfRule type="containsText" dxfId="1259" priority="1719" stopIfTrue="1" operator="containsText" text="疫苗">
      <formula>NOT(ISERROR(SEARCH("疫苗",AB11)))</formula>
    </cfRule>
    <cfRule type="containsText" dxfId="1258" priority="1720" stopIfTrue="1" operator="containsText" text="勞假">
      <formula>NOT(ISERROR(SEARCH("勞假",AB11)))</formula>
    </cfRule>
    <cfRule type="containsText" dxfId="1257" priority="1721" stopIfTrue="1" operator="containsText" text="補假">
      <formula>NOT(ISERROR(SEARCH("補假",AB11)))</formula>
    </cfRule>
    <cfRule type="containsText" dxfId="1256" priority="1722" stopIfTrue="1" operator="containsText" text="例假">
      <formula>NOT(ISERROR(SEARCH("例假",AB11)))</formula>
    </cfRule>
    <cfRule type="containsText" dxfId="1255" priority="1723" stopIfTrue="1" operator="containsText" text="病假">
      <formula>NOT(ISERROR(SEARCH("病假",AB11)))</formula>
    </cfRule>
    <cfRule type="containsText" dxfId="1254" priority="1724" stopIfTrue="1" operator="containsText" text="大假">
      <formula>NOT(ISERROR(SEARCH("大假",AB11)))</formula>
    </cfRule>
  </conditionalFormatting>
  <conditionalFormatting sqref="AC53 G52:AC52">
    <cfRule type="cellIs" dxfId="1253" priority="5362" operator="equal">
      <formula>"NC"</formula>
    </cfRule>
  </conditionalFormatting>
  <conditionalFormatting sqref="AC11:AE11 D10:AE10">
    <cfRule type="cellIs" dxfId="1252" priority="3998" operator="equal">
      <formula>"VO"</formula>
    </cfRule>
    <cfRule type="cellIs" dxfId="1251" priority="3999" operator="equal">
      <formula>"CW"</formula>
    </cfRule>
    <cfRule type="cellIs" dxfId="1250" priority="4000" operator="equal">
      <formula>"CF"</formula>
    </cfRule>
  </conditionalFormatting>
  <conditionalFormatting sqref="V49">
    <cfRule type="cellIs" dxfId="1249" priority="6525" operator="equal">
      <formula>"NH12"</formula>
    </cfRule>
  </conditionalFormatting>
  <conditionalFormatting sqref="AI36:AI37">
    <cfRule type="cellIs" dxfId="1248" priority="1276" stopIfTrue="1" operator="equal">
      <formula>"NP"</formula>
    </cfRule>
    <cfRule type="cellIs" dxfId="1247" priority="1277" stopIfTrue="1" operator="equal">
      <formula>"RD"</formula>
    </cfRule>
  </conditionalFormatting>
  <conditionalFormatting sqref="AI36:AI38">
    <cfRule type="cellIs" dxfId="1246" priority="1297" operator="equal">
      <formula>"NC"</formula>
    </cfRule>
    <cfRule type="cellIs" dxfId="1245" priority="1298" operator="equal">
      <formula>"NH11"</formula>
    </cfRule>
    <cfRule type="cellIs" dxfId="1244" priority="1301" operator="equal">
      <formula>"R"</formula>
    </cfRule>
  </conditionalFormatting>
  <conditionalFormatting sqref="AI38">
    <cfRule type="cellIs" dxfId="1243" priority="1310" stopIfTrue="1" operator="equal">
      <formula>"NP"</formula>
    </cfRule>
    <cfRule type="cellIs" dxfId="1242" priority="1311" stopIfTrue="1" operator="equal">
      <formula>"RD"</formula>
    </cfRule>
  </conditionalFormatting>
  <conditionalFormatting sqref="AI45:AI46">
    <cfRule type="cellIs" dxfId="1241" priority="1192" stopIfTrue="1" operator="equal">
      <formula>"NP"</formula>
    </cfRule>
    <cfRule type="cellIs" dxfId="1240" priority="1193" stopIfTrue="1" operator="equal">
      <formula>"RD"</formula>
    </cfRule>
  </conditionalFormatting>
  <conditionalFormatting sqref="AI45:AI47">
    <cfRule type="cellIs" dxfId="1239" priority="1204" operator="equal">
      <formula>"NC"</formula>
    </cfRule>
    <cfRule type="cellIs" dxfId="1238" priority="1205" operator="equal">
      <formula>"NH11"</formula>
    </cfRule>
    <cfRule type="cellIs" dxfId="1237" priority="1208" operator="equal">
      <formula>"R"</formula>
    </cfRule>
  </conditionalFormatting>
  <conditionalFormatting sqref="AI47">
    <cfRule type="cellIs" dxfId="1236" priority="1217" stopIfTrue="1" operator="equal">
      <formula>"NP"</formula>
    </cfRule>
    <cfRule type="cellIs" dxfId="1235" priority="1218" stopIfTrue="1" operator="equal">
      <formula>"RD"</formula>
    </cfRule>
  </conditionalFormatting>
  <conditionalFormatting sqref="AI12:AJ12 AI13:AI15 AL12:AM12">
    <cfRule type="cellIs" dxfId="1234" priority="8533" stopIfTrue="1" operator="equal">
      <formula>"NP"</formula>
    </cfRule>
    <cfRule type="cellIs" dxfId="1233" priority="8534" stopIfTrue="1" operator="equal">
      <formula>"RD"</formula>
    </cfRule>
  </conditionalFormatting>
  <conditionalFormatting sqref="AI18:AJ34 D18:Q18 E19:H19 D18:E34 AL18:AM34">
    <cfRule type="containsText" dxfId="1232" priority="8071" stopIfTrue="1" operator="containsText" text="無薪">
      <formula>NOT(ISERROR(SEARCH("無薪",D18)))</formula>
    </cfRule>
  </conditionalFormatting>
  <conditionalFormatting sqref="AI18:AJ34 AL18:AM34">
    <cfRule type="containsText" dxfId="1231" priority="6172" stopIfTrue="1" operator="containsText" text="疫苗">
      <formula>NOT(ISERROR(SEARCH("疫苗",AI18)))</formula>
    </cfRule>
    <cfRule type="containsText" dxfId="1230" priority="6186" stopIfTrue="1" operator="containsText" text="TIL">
      <formula>NOT(ISERROR(SEARCH("TIL",AI18)))</formula>
    </cfRule>
    <cfRule type="containsText" dxfId="1229" priority="8712" stopIfTrue="1" operator="containsText" text="補假">
      <formula>NOT(ISERROR(SEARCH("補假",AI18)))</formula>
    </cfRule>
    <cfRule type="containsText" dxfId="1228" priority="8713" stopIfTrue="1" operator="containsText" text="例假">
      <formula>NOT(ISERROR(SEARCH("例假",AI18)))</formula>
    </cfRule>
    <cfRule type="containsText" dxfId="1227" priority="8715" stopIfTrue="1" operator="containsText" text="大假">
      <formula>NOT(ISERROR(SEARCH("大假",AI18)))</formula>
    </cfRule>
  </conditionalFormatting>
  <conditionalFormatting sqref="AI41:AJ41 AL41:AM41">
    <cfRule type="containsText" dxfId="1226" priority="2773" stopIfTrue="1" operator="containsText" text="疫苗">
      <formula>NOT(ISERROR(SEARCH("疫苗",AI41)))</formula>
    </cfRule>
    <cfRule type="containsText" dxfId="1225" priority="2774" stopIfTrue="1" operator="containsText" text="TIL">
      <formula>NOT(ISERROR(SEARCH("TIL",AI41)))</formula>
    </cfRule>
    <cfRule type="containsText" dxfId="1224" priority="2776" stopIfTrue="1" operator="containsText" text="無薪">
      <formula>NOT(ISERROR(SEARCH("無薪",AI41)))</formula>
    </cfRule>
    <cfRule type="containsText" dxfId="1223" priority="2778" stopIfTrue="1" operator="containsText" text="補假">
      <formula>NOT(ISERROR(SEARCH("補假",AI41)))</formula>
    </cfRule>
    <cfRule type="containsText" dxfId="1222" priority="2779" stopIfTrue="1" operator="containsText" text="例假">
      <formula>NOT(ISERROR(SEARCH("例假",AI41)))</formula>
    </cfRule>
    <cfRule type="containsText" dxfId="1221" priority="2780" stopIfTrue="1" operator="containsText" text="大假">
      <formula>NOT(ISERROR(SEARCH("大假",AI41)))</formula>
    </cfRule>
  </conditionalFormatting>
  <conditionalFormatting sqref="AI10:AJ11 AO44:AR45 AO40:AR40 AL10:AN11">
    <cfRule type="cellIs" dxfId="1220" priority="3070" stopIfTrue="1" operator="equal">
      <formula>"RD"</formula>
    </cfRule>
  </conditionalFormatting>
  <conditionalFormatting sqref="AI10:AJ11 AL10:AN11">
    <cfRule type="cellIs" dxfId="1219" priority="3069" stopIfTrue="1" operator="equal">
      <formula>"NP"</formula>
    </cfRule>
    <cfRule type="cellIs" dxfId="1218" priority="4834" operator="equal">
      <formula>"NC"</formula>
    </cfRule>
    <cfRule type="cellIs" dxfId="1217" priority="4835" operator="equal">
      <formula>"NC"</formula>
    </cfRule>
    <cfRule type="cellIs" dxfId="1216" priority="4836" operator="equal">
      <formula>"R"</formula>
    </cfRule>
  </conditionalFormatting>
  <conditionalFormatting sqref="AO1:XFD6 BA7:XFD10 AO11:XFD17 BA18:XFD34 B1:B2 G5:AE5 B6:AE6 D12:AE12 AN13:AN15 B16:AE17 B39:AE40 AO44:XFD45 B12 AI13:AI15 B48:AE48 AO48:XFD55 L50:AE50 J51:AE51 AE52 B53:AE55 AI50:AJ55 AI48:AJ48 AI39:AJ44 AI16:AJ35 AI12:AJ12 AI5:AJ8 AL5:AN6 AL12:AN12 AL16:AN35 AL39:AN44 AL48:AN48 AL50:AN55 AM7:AN8">
    <cfRule type="cellIs" dxfId="1215" priority="6569" operator="equal">
      <formula>"R"</formula>
    </cfRule>
  </conditionalFormatting>
  <conditionalFormatting sqref="AC49 AE52:AE55 K13 R13 Y13 K36 R36 Y36 L50:AE50 J51:AE51 G52:I52">
    <cfRule type="cellIs" dxfId="1214" priority="8744" stopIfTrue="1" operator="equal">
      <formula>"RD"</formula>
    </cfRule>
  </conditionalFormatting>
  <conditionalFormatting sqref="AC49 AE52:AE55">
    <cfRule type="cellIs" dxfId="1213" priority="8743" stopIfTrue="1" operator="equal">
      <formula>"NP"</formula>
    </cfRule>
  </conditionalFormatting>
  <conditionalFormatting sqref="AN41 B41">
    <cfRule type="cellIs" dxfId="1212" priority="2775" stopIfTrue="1" operator="equal">
      <formula>"RD"</formula>
    </cfRule>
  </conditionalFormatting>
  <conditionalFormatting sqref="AN41">
    <cfRule type="cellIs" dxfId="1211" priority="2770" stopIfTrue="1" operator="equal">
      <formula>"NP"</formula>
    </cfRule>
    <cfRule type="cellIs" dxfId="1210" priority="2772" operator="equal">
      <formula>"NC"</formula>
    </cfRule>
  </conditionalFormatting>
  <conditionalFormatting sqref="AO7:AP8">
    <cfRule type="cellIs" dxfId="1209" priority="1365" stopIfTrue="1" operator="equal">
      <formula>"RD"</formula>
    </cfRule>
    <cfRule type="cellIs" dxfId="1208" priority="1366" operator="equal">
      <formula>"R"</formula>
    </cfRule>
  </conditionalFormatting>
  <conditionalFormatting sqref="AO35:HQ40 B16:AE17 AI35:AJ35 B40:AE40 AI42:AJ44 AO11:AR17 B1:B3 AO1:AR6 AI5:AJ8 AN12:AN34 B18:B34 AI40:AJ40 AI16:AJ17 AL16:AM17 AL40:AN40 AL5:AN6 AL42:AN44 AL35:AN35 AM7:AN8">
    <cfRule type="cellIs" dxfId="1207" priority="3388" stopIfTrue="1" operator="equal">
      <formula>"NP"</formula>
    </cfRule>
  </conditionalFormatting>
  <conditionalFormatting sqref="AO44:HQ47">
    <cfRule type="cellIs" dxfId="1206" priority="1221" stopIfTrue="1" operator="equal">
      <formula>"NP"</formula>
    </cfRule>
  </conditionalFormatting>
  <conditionalFormatting sqref="AO1:XFD6 B4:C4 B6:AE6 BA7:XFD10 B7:C11 AO11:XFD17 D12:AE12 B12:B15 D13:D15 BA18:XFD34 B36:B38 D36:D38 AN36:AN38 B39:AE40 B44:B47 D45:D47 AN45:AN47 K47 R47 Y47 B48:AE48 AO48:XFD1048576 B5:D5 AC49 B53:AE1048576 B3 G5:AE5 AN13:AN15 B16:AE17 AI16:AJ35 BA41:XFD43 AO44:XFD45 AI13:AI15 L50:AE50 J51:AE51 AE52 AI36:AI38 AI45:AI47 AI50:AJ1048576 AI48:AJ48 AI39:AJ44 AI12:AJ12 AI5:AJ8 AL5:AN6 AL12:AN12 AL39:AN44 AL48:AN48 AL50:AN1048576 AL16:AN35 AM7:AN8">
    <cfRule type="cellIs" dxfId="1205" priority="7359" operator="equal">
      <formula>"NC"</formula>
    </cfRule>
  </conditionalFormatting>
  <conditionalFormatting sqref="AO46:XFD47">
    <cfRule type="cellIs" dxfId="1204" priority="1225" operator="equal">
      <formula>"NC"</formula>
    </cfRule>
  </conditionalFormatting>
  <conditionalFormatting sqref="AO46:XFD1048576">
    <cfRule type="cellIs" dxfId="1203" priority="1229" operator="equal">
      <formula>"NC"</formula>
    </cfRule>
  </conditionalFormatting>
  <conditionalFormatting sqref="AQ10:AQ11">
    <cfRule type="cellIs" dxfId="1202" priority="1348" operator="equal">
      <formula>"R"</formula>
    </cfRule>
    <cfRule type="cellIs" dxfId="1201" priority="1349" operator="equal">
      <formula>"NH12"</formula>
    </cfRule>
    <cfRule type="cellIs" dxfId="1200" priority="1351" operator="equal">
      <formula>"Nh11"</formula>
    </cfRule>
  </conditionalFormatting>
  <conditionalFormatting sqref="AQ18:AQ34">
    <cfRule type="cellIs" dxfId="1199" priority="1340" operator="equal">
      <formula>"R"</formula>
    </cfRule>
    <cfRule type="cellIs" dxfId="1198" priority="1341" operator="equal">
      <formula>"NH12"</formula>
    </cfRule>
    <cfRule type="cellIs" dxfId="1197" priority="1343" operator="equal">
      <formula>"Nh11"</formula>
    </cfRule>
  </conditionalFormatting>
  <conditionalFormatting sqref="AQ41:AQ43">
    <cfRule type="cellIs" dxfId="1196" priority="1332" operator="equal">
      <formula>"R"</formula>
    </cfRule>
    <cfRule type="cellIs" dxfId="1195" priority="1333" operator="equal">
      <formula>"NH12"</formula>
    </cfRule>
    <cfRule type="cellIs" dxfId="1194" priority="1335" operator="equal">
      <formula>"Nh11"</formula>
    </cfRule>
  </conditionalFormatting>
  <conditionalFormatting sqref="AQ10:AZ11">
    <cfRule type="cellIs" dxfId="1193" priority="1350" stopIfTrue="1" operator="equal">
      <formula>"NP"</formula>
    </cfRule>
    <cfRule type="cellIs" dxfId="1192" priority="1352" stopIfTrue="1" operator="equal">
      <formula>"RD"</formula>
    </cfRule>
  </conditionalFormatting>
  <conditionalFormatting sqref="AQ18:AZ34">
    <cfRule type="cellIs" dxfId="1191" priority="1342" stopIfTrue="1" operator="equal">
      <formula>"NP"</formula>
    </cfRule>
    <cfRule type="cellIs" dxfId="1190" priority="1344" stopIfTrue="1" operator="equal">
      <formula>"RD"</formula>
    </cfRule>
  </conditionalFormatting>
  <conditionalFormatting sqref="AQ41:AZ43">
    <cfRule type="cellIs" dxfId="1189" priority="1336" stopIfTrue="1" operator="equal">
      <formula>"RD"</formula>
    </cfRule>
  </conditionalFormatting>
  <conditionalFormatting sqref="AQ41:HQ43">
    <cfRule type="cellIs" dxfId="1188" priority="1334" stopIfTrue="1" operator="equal">
      <formula>"NP"</formula>
    </cfRule>
  </conditionalFormatting>
  <conditionalFormatting sqref="AR9:AS9 AU9 AR7:AU8">
    <cfRule type="cellIs" dxfId="1187" priority="1360" operator="equal">
      <formula>"NC"</formula>
    </cfRule>
  </conditionalFormatting>
  <conditionalFormatting sqref="AR9:AS9 AU9:AZ9">
    <cfRule type="cellIs" dxfId="1186" priority="1356" operator="equal">
      <formula>"NC"</formula>
    </cfRule>
  </conditionalFormatting>
  <conditionalFormatting sqref="AR7:AW8">
    <cfRule type="cellIs" dxfId="1185" priority="1363" stopIfTrue="1" operator="equal">
      <formula>"NP"</formula>
    </cfRule>
    <cfRule type="cellIs" dxfId="1184" priority="1364" stopIfTrue="1" operator="equal">
      <formula>"RD"</formula>
    </cfRule>
  </conditionalFormatting>
  <conditionalFormatting sqref="AR7:AZ8">
    <cfRule type="cellIs" dxfId="1183" priority="1361" operator="equal">
      <formula>"NC"</formula>
    </cfRule>
  </conditionalFormatting>
  <conditionalFormatting sqref="AR10:AZ11">
    <cfRule type="cellIs" dxfId="1182" priority="1353" operator="equal">
      <formula>"NC"</formula>
    </cfRule>
    <cfRule type="cellIs" dxfId="1181" priority="1354" operator="equal">
      <formula>"NC"</formula>
    </cfRule>
    <cfRule type="cellIs" dxfId="1180" priority="1355" operator="equal">
      <formula>"R"</formula>
    </cfRule>
  </conditionalFormatting>
  <conditionalFormatting sqref="AR18:AZ34">
    <cfRule type="cellIs" dxfId="1179" priority="1345" operator="equal">
      <formula>"NC"</formula>
    </cfRule>
    <cfRule type="cellIs" dxfId="1178" priority="1347" operator="equal">
      <formula>"R"</formula>
    </cfRule>
  </conditionalFormatting>
  <conditionalFormatting sqref="AR41:AZ43">
    <cfRule type="cellIs" dxfId="1177" priority="1337" operator="equal">
      <formula>"NC"</formula>
    </cfRule>
  </conditionalFormatting>
  <conditionalFormatting sqref="AR18:XFD34">
    <cfRule type="cellIs" dxfId="1176" priority="1346" operator="equal">
      <formula>"NC"</formula>
    </cfRule>
  </conditionalFormatting>
  <conditionalFormatting sqref="AR41:XFD43">
    <cfRule type="cellIs" dxfId="1175" priority="1338" operator="equal">
      <formula>"NC"</formula>
    </cfRule>
    <cfRule type="cellIs" dxfId="1174" priority="1339" operator="equal">
      <formula>"R"</formula>
    </cfRule>
  </conditionalFormatting>
  <conditionalFormatting sqref="AS11:HQ17 BA18:HQ20 AS1:HQ6 BA7:HQ10">
    <cfRule type="cellIs" dxfId="1173" priority="5107" stopIfTrue="1" operator="equal">
      <formula>"NP"</formula>
    </cfRule>
  </conditionalFormatting>
  <conditionalFormatting sqref="AV7:AZ9 AR9:AS9 AU9 AR7:AU8">
    <cfRule type="cellIs" dxfId="1172" priority="1362" operator="equal">
      <formula>"R"</formula>
    </cfRule>
  </conditionalFormatting>
  <conditionalFormatting sqref="AV7:AZ9">
    <cfRule type="cellIs" dxfId="1171" priority="1357" operator="equal">
      <formula>"NC"</formula>
    </cfRule>
  </conditionalFormatting>
  <conditionalFormatting sqref="AX7:AZ9 AR9:AS9 AU9:AW9">
    <cfRule type="cellIs" dxfId="1170" priority="1359" stopIfTrue="1" operator="equal">
      <formula>"RD"</formula>
    </cfRule>
  </conditionalFormatting>
  <conditionalFormatting sqref="AX7:AZ9 AU9:AW9 AR9:AS9">
    <cfRule type="cellIs" dxfId="1169" priority="1358" stopIfTrue="1" operator="equal">
      <formula>"NP"</formula>
    </cfRule>
  </conditionalFormatting>
  <conditionalFormatting sqref="BA21:HQ21">
    <cfRule type="cellIs" dxfId="1168" priority="8531" stopIfTrue="1" operator="equal">
      <formula>"NP"</formula>
    </cfRule>
    <cfRule type="cellIs" dxfId="1167" priority="8532" stopIfTrue="1" operator="equal">
      <formula>"RD"</formula>
    </cfRule>
  </conditionalFormatting>
  <conditionalFormatting sqref="AF39:AH40 AH52 AF52:AF53">
    <cfRule type="cellIs" dxfId="1166" priority="1134" operator="equal">
      <formula>"NP"</formula>
    </cfRule>
  </conditionalFormatting>
  <conditionalFormatting sqref="AF16:AH17 AF40:AH40">
    <cfRule type="cellIs" dxfId="1165" priority="1136" stopIfTrue="1" operator="equal">
      <formula>"RD"</formula>
    </cfRule>
  </conditionalFormatting>
  <conditionalFormatting sqref="AF6:AH6 AF12:AH12 AF39:AH39 AF48:AH48">
    <cfRule type="cellIs" dxfId="1164" priority="1143" stopIfTrue="1" operator="equal">
      <formula>"RD"</formula>
    </cfRule>
  </conditionalFormatting>
  <conditionalFormatting sqref="AF5:AH6 AF12:AH12 AF16:AH17 AF39:AH40 AF48:AH48 AF50:AH51 AH52 AF53:AH1048576">
    <cfRule type="cellIs" dxfId="1163" priority="1120" operator="equal">
      <formula>"NC"</formula>
    </cfRule>
  </conditionalFormatting>
  <conditionalFormatting sqref="AF56:AH1048576">
    <cfRule type="cellIs" dxfId="1162" priority="1128" operator="equal">
      <formula>"R"</formula>
    </cfRule>
    <cfRule type="cellIs" dxfId="1161" priority="1129" operator="equal">
      <formula>"NH11"</formula>
    </cfRule>
  </conditionalFormatting>
  <conditionalFormatting sqref="AF52">
    <cfRule type="cellIs" dxfId="1160" priority="1160" operator="equal">
      <formula>"NH11"</formula>
    </cfRule>
  </conditionalFormatting>
  <conditionalFormatting sqref="AF52">
    <cfRule type="cellIs" dxfId="1159" priority="1159" operator="equal">
      <formula>"R"</formula>
    </cfRule>
  </conditionalFormatting>
  <conditionalFormatting sqref="AF20:AH20">
    <cfRule type="containsText" dxfId="1158" priority="1023" stopIfTrue="1" operator="containsText" text="TIL">
      <formula>NOT(ISERROR(SEARCH("TIL",AF20)))</formula>
    </cfRule>
  </conditionalFormatting>
  <conditionalFormatting sqref="AF18:AH34 AF11:AH11">
    <cfRule type="containsText" dxfId="1157" priority="1118" operator="containsText" text="RD">
      <formula>NOT(ISERROR(SEARCH("RD",AF11)))</formula>
    </cfRule>
  </conditionalFormatting>
  <conditionalFormatting sqref="AF11:AH11 AF18:AH34">
    <cfRule type="containsText" dxfId="1156" priority="1119" operator="containsText" text="NP">
      <formula>NOT(ISERROR(SEARCH("NP",AF11)))</formula>
    </cfRule>
  </conditionalFormatting>
  <conditionalFormatting sqref="AF20:AH20">
    <cfRule type="cellIs" dxfId="1155" priority="1082" operator="equal">
      <formula>"R"</formula>
    </cfRule>
  </conditionalFormatting>
  <conditionalFormatting sqref="AF20:AH20">
    <cfRule type="containsText" dxfId="1154" priority="1024" stopIfTrue="1" operator="containsText" text="疫苗">
      <formula>NOT(ISERROR(SEARCH("疫苗",AF20)))</formula>
    </cfRule>
    <cfRule type="containsText" dxfId="1153" priority="1025" stopIfTrue="1" operator="containsText" text="勞假">
      <formula>NOT(ISERROR(SEARCH("勞假",AF20)))</formula>
    </cfRule>
    <cfRule type="containsText" dxfId="1152" priority="1026" stopIfTrue="1" operator="containsText" text="補假">
      <formula>NOT(ISERROR(SEARCH("補假",AF20)))</formula>
    </cfRule>
    <cfRule type="containsText" dxfId="1151" priority="1027" stopIfTrue="1" operator="containsText" text="例假">
      <formula>NOT(ISERROR(SEARCH("例假",AF20)))</formula>
    </cfRule>
    <cfRule type="containsText" dxfId="1150" priority="1028" stopIfTrue="1" operator="containsText" text="病假">
      <formula>NOT(ISERROR(SEARCH("病假",AF20)))</formula>
    </cfRule>
    <cfRule type="containsText" dxfId="1149" priority="1029" stopIfTrue="1" operator="containsText" text="大假">
      <formula>NOT(ISERROR(SEARCH("大假",AF20)))</formula>
    </cfRule>
    <cfRule type="containsText" dxfId="1148" priority="1030" stopIfTrue="1" operator="containsText" text="無薪">
      <formula>NOT(ISERROR(SEARCH("無薪",AF20)))</formula>
    </cfRule>
    <cfRule type="containsText" dxfId="1147" priority="1031" stopIfTrue="1" operator="containsText" text="TIL">
      <formula>NOT(ISERROR(SEARCH("TIL",AF20)))</formula>
    </cfRule>
    <cfRule type="containsText" dxfId="1146" priority="1032" stopIfTrue="1" operator="containsText" text="疫苗">
      <formula>NOT(ISERROR(SEARCH("疫苗",AF20)))</formula>
    </cfRule>
    <cfRule type="containsText" dxfId="1145" priority="1033" stopIfTrue="1" operator="containsText" text="勞假">
      <formula>NOT(ISERROR(SEARCH("勞假",AF20)))</formula>
    </cfRule>
    <cfRule type="containsText" dxfId="1144" priority="1034" stopIfTrue="1" operator="containsText" text="補假">
      <formula>NOT(ISERROR(SEARCH("補假",AF20)))</formula>
    </cfRule>
    <cfRule type="containsText" dxfId="1143" priority="1035" stopIfTrue="1" operator="containsText" text="例假">
      <formula>NOT(ISERROR(SEARCH("例假",AF20)))</formula>
    </cfRule>
    <cfRule type="containsText" dxfId="1142" priority="1036" stopIfTrue="1" operator="containsText" text="病假">
      <formula>NOT(ISERROR(SEARCH("病假",AF20)))</formula>
    </cfRule>
    <cfRule type="containsText" dxfId="1141" priority="1037" stopIfTrue="1" operator="containsText" text="大假">
      <formula>NOT(ISERROR(SEARCH("大假",AF20)))</formula>
    </cfRule>
    <cfRule type="cellIs" dxfId="1140" priority="1039" stopIfTrue="1" operator="equal">
      <formula>"NP"</formula>
    </cfRule>
    <cfRule type="cellIs" dxfId="1139" priority="1040" stopIfTrue="1" operator="equal">
      <formula>"RD"</formula>
    </cfRule>
    <cfRule type="containsText" dxfId="1138" priority="1041" stopIfTrue="1" operator="containsText" text="TIL">
      <formula>NOT(ISERROR(SEARCH("TIL",AF20)))</formula>
    </cfRule>
    <cfRule type="containsText" dxfId="1137" priority="1042" stopIfTrue="1" operator="containsText" text="疫苗">
      <formula>NOT(ISERROR(SEARCH("疫苗",AF20)))</formula>
    </cfRule>
    <cfRule type="containsText" dxfId="1136" priority="1043" stopIfTrue="1" operator="containsText" text="勞假">
      <formula>NOT(ISERROR(SEARCH("勞假",AF20)))</formula>
    </cfRule>
    <cfRule type="containsText" dxfId="1135" priority="1044" stopIfTrue="1" operator="containsText" text="補假">
      <formula>NOT(ISERROR(SEARCH("補假",AF20)))</formula>
    </cfRule>
    <cfRule type="containsText" dxfId="1134" priority="1045" stopIfTrue="1" operator="containsText" text="例假">
      <formula>NOT(ISERROR(SEARCH("例假",AF20)))</formula>
    </cfRule>
    <cfRule type="containsText" dxfId="1133" priority="1046" stopIfTrue="1" operator="containsText" text="病假">
      <formula>NOT(ISERROR(SEARCH("病假",AF20)))</formula>
    </cfRule>
    <cfRule type="containsText" dxfId="1132" priority="1047" stopIfTrue="1" operator="containsText" text="大假">
      <formula>NOT(ISERROR(SEARCH("大假",AF20)))</formula>
    </cfRule>
    <cfRule type="containsText" dxfId="1131" priority="1049" stopIfTrue="1" operator="containsText" text="疫苗">
      <formula>NOT(ISERROR(SEARCH("疫苗",AF20)))</formula>
    </cfRule>
    <cfRule type="containsText" dxfId="1130" priority="1050" stopIfTrue="1" operator="containsText" text="勞假">
      <formula>NOT(ISERROR(SEARCH("勞假",AF20)))</formula>
    </cfRule>
    <cfRule type="containsText" dxfId="1129" priority="1051" stopIfTrue="1" operator="containsText" text="補假">
      <formula>NOT(ISERROR(SEARCH("補假",AF20)))</formula>
    </cfRule>
    <cfRule type="containsText" dxfId="1128" priority="1052" stopIfTrue="1" operator="containsText" text="例假">
      <formula>NOT(ISERROR(SEARCH("例假",AF20)))</formula>
    </cfRule>
    <cfRule type="containsText" dxfId="1127" priority="1053" stopIfTrue="1" operator="containsText" text="病假">
      <formula>NOT(ISERROR(SEARCH("病假",AF20)))</formula>
    </cfRule>
    <cfRule type="containsText" dxfId="1126" priority="1054" stopIfTrue="1" operator="containsText" text="大假">
      <formula>NOT(ISERROR(SEARCH("大假",AF20)))</formula>
    </cfRule>
    <cfRule type="containsText" dxfId="1125" priority="1055" stopIfTrue="1" operator="containsText" text="無薪">
      <formula>NOT(ISERROR(SEARCH("無薪",AF20)))</formula>
    </cfRule>
    <cfRule type="containsText" dxfId="1124" priority="1056" stopIfTrue="1" operator="containsText" text="疫苗">
      <formula>NOT(ISERROR(SEARCH("疫苗",AF20)))</formula>
    </cfRule>
    <cfRule type="containsText" dxfId="1123" priority="1057" stopIfTrue="1" operator="containsText" text="勞假">
      <formula>NOT(ISERROR(SEARCH("勞假",AF20)))</formula>
    </cfRule>
    <cfRule type="containsText" dxfId="1122" priority="1058" stopIfTrue="1" operator="containsText" text="補假">
      <formula>NOT(ISERROR(SEARCH("補假",AF20)))</formula>
    </cfRule>
    <cfRule type="containsText" dxfId="1121" priority="1059" stopIfTrue="1" operator="containsText" text="例假">
      <formula>NOT(ISERROR(SEARCH("例假",AF20)))</formula>
    </cfRule>
    <cfRule type="containsText" dxfId="1120" priority="1060" stopIfTrue="1" operator="containsText" text="病假">
      <formula>NOT(ISERROR(SEARCH("病假",AF20)))</formula>
    </cfRule>
    <cfRule type="containsText" dxfId="1119" priority="1061" stopIfTrue="1" operator="containsText" text="大假">
      <formula>NOT(ISERROR(SEARCH("大假",AF20)))</formula>
    </cfRule>
    <cfRule type="containsText" dxfId="1118" priority="1062" stopIfTrue="1" operator="containsText" text="無薪">
      <formula>NOT(ISERROR(SEARCH("無薪",AF20)))</formula>
    </cfRule>
    <cfRule type="containsText" dxfId="1117" priority="1063" stopIfTrue="1" operator="containsText" text="TIL">
      <formula>NOT(ISERROR(SEARCH("TIL",AF20)))</formula>
    </cfRule>
    <cfRule type="containsText" dxfId="1116" priority="1064" stopIfTrue="1" operator="containsText" text="疫苗">
      <formula>NOT(ISERROR(SEARCH("疫苗",AF20)))</formula>
    </cfRule>
    <cfRule type="containsText" dxfId="1115" priority="1065" stopIfTrue="1" operator="containsText" text="勞假">
      <formula>NOT(ISERROR(SEARCH("勞假",AF20)))</formula>
    </cfRule>
    <cfRule type="containsText" dxfId="1114" priority="1066" stopIfTrue="1" operator="containsText" text="補假">
      <formula>NOT(ISERROR(SEARCH("補假",AF20)))</formula>
    </cfRule>
    <cfRule type="containsText" dxfId="1113" priority="1067" stopIfTrue="1" operator="containsText" text="例假">
      <formula>NOT(ISERROR(SEARCH("例假",AF20)))</formula>
    </cfRule>
    <cfRule type="containsText" dxfId="1112" priority="1068" stopIfTrue="1" operator="containsText" text="病假">
      <formula>NOT(ISERROR(SEARCH("病假",AF20)))</formula>
    </cfRule>
    <cfRule type="containsText" dxfId="1111" priority="1069" stopIfTrue="1" operator="containsText" text="大假">
      <formula>NOT(ISERROR(SEARCH("大假",AF20)))</formula>
    </cfRule>
    <cfRule type="containsText" dxfId="1110" priority="1070" stopIfTrue="1" operator="containsText" text="無薪">
      <formula>NOT(ISERROR(SEARCH("無薪",AF20)))</formula>
    </cfRule>
    <cfRule type="containsText" dxfId="1109" priority="1071" stopIfTrue="1" operator="containsText" text="TIL">
      <formula>NOT(ISERROR(SEARCH("TIL",AF20)))</formula>
    </cfRule>
    <cfRule type="containsText" dxfId="1108" priority="1072" stopIfTrue="1" operator="containsText" text="疫苗">
      <formula>NOT(ISERROR(SEARCH("疫苗",AF20)))</formula>
    </cfRule>
    <cfRule type="containsText" dxfId="1107" priority="1073" stopIfTrue="1" operator="containsText" text="勞假">
      <formula>NOT(ISERROR(SEARCH("勞假",AF20)))</formula>
    </cfRule>
    <cfRule type="containsText" dxfId="1106" priority="1074" stopIfTrue="1" operator="containsText" text="補假">
      <formula>NOT(ISERROR(SEARCH("補假",AF20)))</formula>
    </cfRule>
    <cfRule type="containsText" dxfId="1105" priority="1075" stopIfTrue="1" operator="containsText" text="例假">
      <formula>NOT(ISERROR(SEARCH("例假",AF20)))</formula>
    </cfRule>
    <cfRule type="containsText" dxfId="1104" priority="1076" stopIfTrue="1" operator="containsText" text="病假">
      <formula>NOT(ISERROR(SEARCH("病假",AF20)))</formula>
    </cfRule>
    <cfRule type="containsText" dxfId="1103" priority="1077" stopIfTrue="1" operator="containsText" text="大假">
      <formula>NOT(ISERROR(SEARCH("大假",AF20)))</formula>
    </cfRule>
    <cfRule type="containsText" dxfId="1102" priority="1093" stopIfTrue="1" operator="containsText" text="TIL">
      <formula>NOT(ISERROR(SEARCH("TIL",AF20)))</formula>
    </cfRule>
    <cfRule type="containsText" dxfId="1101" priority="1094" stopIfTrue="1" operator="containsText" text="疫苗">
      <formula>NOT(ISERROR(SEARCH("疫苗",AF20)))</formula>
    </cfRule>
    <cfRule type="containsText" dxfId="1100" priority="1095" stopIfTrue="1" operator="containsText" text="勞假">
      <formula>NOT(ISERROR(SEARCH("勞假",AF20)))</formula>
    </cfRule>
    <cfRule type="containsText" dxfId="1099" priority="1096" stopIfTrue="1" operator="containsText" text="補假">
      <formula>NOT(ISERROR(SEARCH("補假",AF20)))</formula>
    </cfRule>
    <cfRule type="containsText" dxfId="1098" priority="1097" stopIfTrue="1" operator="containsText" text="例假">
      <formula>NOT(ISERROR(SEARCH("例假",AF20)))</formula>
    </cfRule>
    <cfRule type="containsText" dxfId="1097" priority="1098" stopIfTrue="1" operator="containsText" text="病假">
      <formula>NOT(ISERROR(SEARCH("病假",AF20)))</formula>
    </cfRule>
    <cfRule type="containsText" dxfId="1096" priority="1099" stopIfTrue="1" operator="containsText" text="大假">
      <formula>NOT(ISERROR(SEARCH("大假",AF20)))</formula>
    </cfRule>
    <cfRule type="containsText" dxfId="1095" priority="1100" stopIfTrue="1" operator="containsText" text="無薪">
      <formula>NOT(ISERROR(SEARCH("無薪",AF20)))</formula>
    </cfRule>
  </conditionalFormatting>
  <conditionalFormatting sqref="AF20:AH20">
    <cfRule type="containsText" dxfId="1094" priority="1038" stopIfTrue="1" operator="containsText" text="TIL">
      <formula>NOT(ISERROR(SEARCH("TIL",AF20)))</formula>
    </cfRule>
    <cfRule type="containsText" dxfId="1093" priority="1048" stopIfTrue="1" operator="containsText" text="TIL">
      <formula>NOT(ISERROR(SEARCH("TIL",AF20)))</formula>
    </cfRule>
    <cfRule type="containsText" dxfId="1092" priority="1078" stopIfTrue="1" operator="containsText" text="無薪">
      <formula>NOT(ISERROR(SEARCH("無薪",AF20)))</formula>
    </cfRule>
    <cfRule type="cellIs" dxfId="1091" priority="1079" operator="equal">
      <formula>"NC"</formula>
    </cfRule>
    <cfRule type="cellIs" dxfId="1090" priority="1080" operator="equal">
      <formula>"nd"</formula>
    </cfRule>
    <cfRule type="cellIs" dxfId="1089" priority="1081" operator="equal">
      <formula>0</formula>
    </cfRule>
    <cfRule type="cellIs" dxfId="1088" priority="1083" operator="equal">
      <formula>"NH12"</formula>
    </cfRule>
    <cfRule type="cellIs" dxfId="1087" priority="1084" operator="equal">
      <formula>"Nh11"</formula>
    </cfRule>
    <cfRule type="containsText" dxfId="1086" priority="1085" stopIfTrue="1" operator="containsText" text="TIL">
      <formula>NOT(ISERROR(SEARCH("TIL",AF20)))</formula>
    </cfRule>
    <cfRule type="containsText" dxfId="1085" priority="1086" stopIfTrue="1" operator="containsText" text="疫苗">
      <formula>NOT(ISERROR(SEARCH("疫苗",AF20)))</formula>
    </cfRule>
    <cfRule type="containsText" dxfId="1084" priority="1087" stopIfTrue="1" operator="containsText" text="勞假">
      <formula>NOT(ISERROR(SEARCH("勞假",AF20)))</formula>
    </cfRule>
    <cfRule type="containsText" dxfId="1083" priority="1088" stopIfTrue="1" operator="containsText" text="補假">
      <formula>NOT(ISERROR(SEARCH("補假",AF20)))</formula>
    </cfRule>
    <cfRule type="containsText" dxfId="1082" priority="1089" stopIfTrue="1" operator="containsText" text="例假">
      <formula>NOT(ISERROR(SEARCH("例假",AF20)))</formula>
    </cfRule>
    <cfRule type="containsText" dxfId="1081" priority="1090" stopIfTrue="1" operator="containsText" text="病假">
      <formula>NOT(ISERROR(SEARCH("病假",AF20)))</formula>
    </cfRule>
    <cfRule type="containsText" dxfId="1080" priority="1091" stopIfTrue="1" operator="containsText" text="大假">
      <formula>NOT(ISERROR(SEARCH("大假",AF20)))</formula>
    </cfRule>
    <cfRule type="containsText" dxfId="1079" priority="1092" stopIfTrue="1" operator="containsText" text="無薪">
      <formula>NOT(ISERROR(SEARCH("無薪",AF20)))</formula>
    </cfRule>
    <cfRule type="containsText" dxfId="1078" priority="1101" stopIfTrue="1" operator="containsText" text="疫苗">
      <formula>NOT(ISERROR(SEARCH("疫苗",AF20)))</formula>
    </cfRule>
    <cfRule type="containsText" dxfId="1077" priority="1102" stopIfTrue="1" operator="containsText" text="勞假">
      <formula>NOT(ISERROR(SEARCH("勞假",AF20)))</formula>
    </cfRule>
    <cfRule type="containsText" dxfId="1076" priority="1103" stopIfTrue="1" operator="containsText" text="補假">
      <formula>NOT(ISERROR(SEARCH("補假",AF20)))</formula>
    </cfRule>
    <cfRule type="containsText" dxfId="1075" priority="1104" stopIfTrue="1" operator="containsText" text="例假">
      <formula>NOT(ISERROR(SEARCH("例假",AF20)))</formula>
    </cfRule>
    <cfRule type="containsText" dxfId="1074" priority="1105" stopIfTrue="1" operator="containsText" text="病假">
      <formula>NOT(ISERROR(SEARCH("病假",AF20)))</formula>
    </cfRule>
    <cfRule type="containsText" dxfId="1073" priority="1106" stopIfTrue="1" operator="containsText" text="大假">
      <formula>NOT(ISERROR(SEARCH("大假",AF20)))</formula>
    </cfRule>
  </conditionalFormatting>
  <conditionalFormatting sqref="AF18:AH34">
    <cfRule type="cellIs" dxfId="1072" priority="672" operator="equal">
      <formula>"VO"</formula>
    </cfRule>
    <cfRule type="cellIs" dxfId="1071" priority="673" operator="equal">
      <formula>"CW"</formula>
    </cfRule>
    <cfRule type="cellIs" dxfId="1070" priority="674" operator="equal">
      <formula>"CF"</formula>
    </cfRule>
  </conditionalFormatting>
  <conditionalFormatting sqref="AF20:AH20">
    <cfRule type="containsText" dxfId="1069" priority="1022" stopIfTrue="1" operator="containsText" text="無薪">
      <formula>NOT(ISERROR(SEARCH("無薪",AF20)))</formula>
    </cfRule>
  </conditionalFormatting>
  <conditionalFormatting sqref="AF7:AH9">
    <cfRule type="expression" dxfId="1068" priority="53">
      <formula>LEFT(AF$8,1)="H"</formula>
    </cfRule>
    <cfRule type="expression" dxfId="1067" priority="54">
      <formula>WEEKDAY(AF$7,2)&gt;6</formula>
    </cfRule>
  </conditionalFormatting>
  <conditionalFormatting sqref="AF10:AH11 AF18:AH34">
    <cfRule type="cellIs" dxfId="1066" priority="671" operator="equal">
      <formula>"NSH"</formula>
    </cfRule>
  </conditionalFormatting>
  <conditionalFormatting sqref="AF12:AH12 AF39:AH39 AF48:AH48">
    <cfRule type="cellIs" dxfId="1065" priority="1142" stopIfTrue="1" operator="equal">
      <formula>"NP"</formula>
    </cfRule>
  </conditionalFormatting>
  <conditionalFormatting sqref="AF12:AH12 AF16:AH17 AF35:AH35">
    <cfRule type="containsText" dxfId="1064" priority="1164" stopIfTrue="1" operator="containsText" text="病假">
      <formula>NOT(ISERROR(SEARCH("病假",AF12)))</formula>
    </cfRule>
  </conditionalFormatting>
  <conditionalFormatting sqref="AF12:AH12 AF16:AH17">
    <cfRule type="cellIs" dxfId="1063" priority="1149" operator="equal">
      <formula>"CW"</formula>
    </cfRule>
    <cfRule type="cellIs" dxfId="1062" priority="1150" operator="equal">
      <formula>"VO"</formula>
    </cfRule>
  </conditionalFormatting>
  <conditionalFormatting sqref="AF12:AH12">
    <cfRule type="cellIs" dxfId="1061" priority="1151" operator="equal">
      <formula>"NP"</formula>
    </cfRule>
    <cfRule type="cellIs" dxfId="1060" priority="1152" operator="equal">
      <formula>"MOU"</formula>
    </cfRule>
    <cfRule type="cellIs" dxfId="1059" priority="1153" operator="equal">
      <formula>"VO, MOU, CW, CF"</formula>
    </cfRule>
  </conditionalFormatting>
  <conditionalFormatting sqref="AF16:AH17 AF39:AH40 AF12:AH12 AF35:AH35">
    <cfRule type="cellIs" dxfId="1058" priority="1138" operator="equal">
      <formula>"AL"</formula>
    </cfRule>
  </conditionalFormatting>
  <conditionalFormatting sqref="AF16:AH17 AF39:AH40 AF35:AH35 AF12:AH12 AF13 AF36">
    <cfRule type="cellIs" dxfId="1057" priority="1125" operator="equal">
      <formula>"CF"</formula>
    </cfRule>
    <cfRule type="cellIs" dxfId="1056" priority="1126" operator="equal">
      <formula>"CW"</formula>
    </cfRule>
  </conditionalFormatting>
  <conditionalFormatting sqref="AF16:AH17 AF12:AH12 AF13">
    <cfRule type="cellIs" dxfId="1055" priority="1122" operator="equal">
      <formula>"SR"</formula>
    </cfRule>
  </conditionalFormatting>
  <conditionalFormatting sqref="AF16:AH17 AF35:AH35 AF12:AH12 AF13 AF36">
    <cfRule type="cellIs" dxfId="1054" priority="1133" operator="equal">
      <formula>"CL"</formula>
    </cfRule>
    <cfRule type="cellIs" dxfId="1053" priority="1137" operator="equal">
      <formula>"E"</formula>
    </cfRule>
  </conditionalFormatting>
  <conditionalFormatting sqref="AF16:AH17">
    <cfRule type="cellIs" dxfId="1052" priority="1144" operator="equal">
      <formula>"NP"</formula>
    </cfRule>
    <cfRule type="cellIs" dxfId="1051" priority="1145" operator="equal">
      <formula>"MOU"</formula>
    </cfRule>
    <cfRule type="cellIs" dxfId="1050" priority="1146" operator="equal">
      <formula>"VO, MOU, CW, CF"</formula>
    </cfRule>
  </conditionalFormatting>
  <conditionalFormatting sqref="AF36">
    <cfRule type="cellIs" dxfId="1049" priority="51" operator="equal">
      <formula>"SR"</formula>
    </cfRule>
  </conditionalFormatting>
  <conditionalFormatting sqref="AF39:AH40">
    <cfRule type="cellIs" dxfId="1048" priority="1123" operator="equal">
      <formula>"CL"</formula>
    </cfRule>
    <cfRule type="cellIs" dxfId="1047" priority="1124" operator="equal">
      <formula>"E"</formula>
    </cfRule>
    <cfRule type="cellIs" dxfId="1046" priority="1155" operator="equal">
      <formula>"MOU"</formula>
    </cfRule>
    <cfRule type="cellIs" dxfId="1045" priority="1156" operator="equal">
      <formula>"CW"</formula>
    </cfRule>
    <cfRule type="cellIs" dxfId="1044" priority="1157" operator="equal">
      <formula>"VO"</formula>
    </cfRule>
    <cfRule type="cellIs" dxfId="1043" priority="1158" operator="equal">
      <formula>"VO, MOU, CW, CF"</formula>
    </cfRule>
  </conditionalFormatting>
  <conditionalFormatting sqref="AF41:AH41">
    <cfRule type="cellIs" dxfId="1042" priority="663" operator="equal">
      <formula>"VO"</formula>
    </cfRule>
    <cfRule type="cellIs" dxfId="1041" priority="664" operator="equal">
      <formula>"CW"</formula>
    </cfRule>
    <cfRule type="cellIs" dxfId="1040" priority="665" operator="equal">
      <formula>"CF"</formula>
    </cfRule>
  </conditionalFormatting>
  <conditionalFormatting sqref="AF42:AH42">
    <cfRule type="cellIs" dxfId="1039" priority="142" operator="equal">
      <formula>"VO"</formula>
    </cfRule>
    <cfRule type="cellIs" dxfId="1038" priority="143" operator="equal">
      <formula>"CW"</formula>
    </cfRule>
    <cfRule type="cellIs" dxfId="1037" priority="144" operator="equal">
      <formula>"CF"</formula>
    </cfRule>
    <cfRule type="containsText" dxfId="1036" priority="147" stopIfTrue="1" operator="containsText" text="無薪">
      <formula>NOT(ISERROR(SEARCH("無薪",AF42)))</formula>
    </cfRule>
    <cfRule type="containsText" dxfId="1035" priority="148" stopIfTrue="1" operator="containsText" text="TIL">
      <formula>NOT(ISERROR(SEARCH("TIL",AF42)))</formula>
    </cfRule>
    <cfRule type="containsText" dxfId="1034" priority="149" stopIfTrue="1" operator="containsText" text="疫苗">
      <formula>NOT(ISERROR(SEARCH("疫苗",AF42)))</formula>
    </cfRule>
    <cfRule type="containsText" dxfId="1033" priority="150" stopIfTrue="1" operator="containsText" text="勞假">
      <formula>NOT(ISERROR(SEARCH("勞假",AF42)))</formula>
    </cfRule>
    <cfRule type="containsText" dxfId="1032" priority="151" stopIfTrue="1" operator="containsText" text="補假">
      <formula>NOT(ISERROR(SEARCH("補假",AF42)))</formula>
    </cfRule>
    <cfRule type="containsText" dxfId="1031" priority="152" stopIfTrue="1" operator="containsText" text="例假">
      <formula>NOT(ISERROR(SEARCH("例假",AF42)))</formula>
    </cfRule>
    <cfRule type="containsText" dxfId="1030" priority="153" stopIfTrue="1" operator="containsText" text="病假">
      <formula>NOT(ISERROR(SEARCH("病假",AF42)))</formula>
    </cfRule>
    <cfRule type="containsText" dxfId="1029" priority="154" stopIfTrue="1" operator="containsText" text="大假">
      <formula>NOT(ISERROR(SEARCH("大假",AF42)))</formula>
    </cfRule>
    <cfRule type="containsText" dxfId="1028" priority="155" stopIfTrue="1" operator="containsText" text="無薪">
      <formula>NOT(ISERROR(SEARCH("無薪",AF42)))</formula>
    </cfRule>
    <cfRule type="containsText" dxfId="1027" priority="156" stopIfTrue="1" operator="containsText" text="TIL">
      <formula>NOT(ISERROR(SEARCH("TIL",AF42)))</formula>
    </cfRule>
    <cfRule type="containsText" dxfId="1026" priority="157" stopIfTrue="1" operator="containsText" text="疫苗">
      <formula>NOT(ISERROR(SEARCH("疫苗",AF42)))</formula>
    </cfRule>
    <cfRule type="containsText" dxfId="1025" priority="158" stopIfTrue="1" operator="containsText" text="勞假">
      <formula>NOT(ISERROR(SEARCH("勞假",AF42)))</formula>
    </cfRule>
    <cfRule type="containsText" dxfId="1024" priority="159" stopIfTrue="1" operator="containsText" text="補假">
      <formula>NOT(ISERROR(SEARCH("補假",AF42)))</formula>
    </cfRule>
    <cfRule type="containsText" dxfId="1023" priority="160" stopIfTrue="1" operator="containsText" text="例假">
      <formula>NOT(ISERROR(SEARCH("例假",AF42)))</formula>
    </cfRule>
    <cfRule type="containsText" dxfId="1022" priority="161" stopIfTrue="1" operator="containsText" text="病假">
      <formula>NOT(ISERROR(SEARCH("病假",AF42)))</formula>
    </cfRule>
    <cfRule type="containsText" dxfId="1021" priority="162" stopIfTrue="1" operator="containsText" text="大假">
      <formula>NOT(ISERROR(SEARCH("大假",AF42)))</formula>
    </cfRule>
    <cfRule type="containsText" dxfId="1020" priority="163" stopIfTrue="1" operator="containsText" text="TIL">
      <formula>NOT(ISERROR(SEARCH("TIL",AF42)))</formula>
    </cfRule>
    <cfRule type="cellIs" dxfId="1019" priority="164" stopIfTrue="1" operator="equal">
      <formula>"NP"</formula>
    </cfRule>
    <cfRule type="cellIs" dxfId="1018" priority="165" stopIfTrue="1" operator="equal">
      <formula>"RD"</formula>
    </cfRule>
    <cfRule type="containsText" dxfId="1017" priority="166" stopIfTrue="1" operator="containsText" text="TIL">
      <formula>NOT(ISERROR(SEARCH("TIL",AF42)))</formula>
    </cfRule>
    <cfRule type="containsText" dxfId="1016" priority="167" stopIfTrue="1" operator="containsText" text="疫苗">
      <formula>NOT(ISERROR(SEARCH("疫苗",AF42)))</formula>
    </cfRule>
    <cfRule type="containsText" dxfId="1015" priority="168" stopIfTrue="1" operator="containsText" text="勞假">
      <formula>NOT(ISERROR(SEARCH("勞假",AF42)))</formula>
    </cfRule>
    <cfRule type="containsText" dxfId="1014" priority="169" stopIfTrue="1" operator="containsText" text="補假">
      <formula>NOT(ISERROR(SEARCH("補假",AF42)))</formula>
    </cfRule>
    <cfRule type="containsText" dxfId="1013" priority="170" stopIfTrue="1" operator="containsText" text="例假">
      <formula>NOT(ISERROR(SEARCH("例假",AF42)))</formula>
    </cfRule>
    <cfRule type="containsText" dxfId="1012" priority="171" stopIfTrue="1" operator="containsText" text="病假">
      <formula>NOT(ISERROR(SEARCH("病假",AF42)))</formula>
    </cfRule>
    <cfRule type="containsText" dxfId="1011" priority="172" stopIfTrue="1" operator="containsText" text="大假">
      <formula>NOT(ISERROR(SEARCH("大假",AF42)))</formula>
    </cfRule>
    <cfRule type="containsText" dxfId="1010" priority="173" stopIfTrue="1" operator="containsText" text="TIL">
      <formula>NOT(ISERROR(SEARCH("TIL",AF42)))</formula>
    </cfRule>
    <cfRule type="containsText" dxfId="1009" priority="174" stopIfTrue="1" operator="containsText" text="疫苗">
      <formula>NOT(ISERROR(SEARCH("疫苗",AF42)))</formula>
    </cfRule>
    <cfRule type="containsText" dxfId="1008" priority="175" stopIfTrue="1" operator="containsText" text="勞假">
      <formula>NOT(ISERROR(SEARCH("勞假",AF42)))</formula>
    </cfRule>
    <cfRule type="containsText" dxfId="1007" priority="176" stopIfTrue="1" operator="containsText" text="補假">
      <formula>NOT(ISERROR(SEARCH("補假",AF42)))</formula>
    </cfRule>
    <cfRule type="containsText" dxfId="1006" priority="177" stopIfTrue="1" operator="containsText" text="例假">
      <formula>NOT(ISERROR(SEARCH("例假",AF42)))</formula>
    </cfRule>
    <cfRule type="containsText" dxfId="1005" priority="178" stopIfTrue="1" operator="containsText" text="病假">
      <formula>NOT(ISERROR(SEARCH("病假",AF42)))</formula>
    </cfRule>
    <cfRule type="containsText" dxfId="1004" priority="179" stopIfTrue="1" operator="containsText" text="大假">
      <formula>NOT(ISERROR(SEARCH("大假",AF42)))</formula>
    </cfRule>
    <cfRule type="containsText" dxfId="1003" priority="180" stopIfTrue="1" operator="containsText" text="無薪">
      <formula>NOT(ISERROR(SEARCH("無薪",AF42)))</formula>
    </cfRule>
    <cfRule type="containsText" dxfId="1002" priority="181" stopIfTrue="1" operator="containsText" text="疫苗">
      <formula>NOT(ISERROR(SEARCH("疫苗",AF42)))</formula>
    </cfRule>
    <cfRule type="containsText" dxfId="1001" priority="182" stopIfTrue="1" operator="containsText" text="勞假">
      <formula>NOT(ISERROR(SEARCH("勞假",AF42)))</formula>
    </cfRule>
    <cfRule type="containsText" dxfId="1000" priority="183" stopIfTrue="1" operator="containsText" text="補假">
      <formula>NOT(ISERROR(SEARCH("補假",AF42)))</formula>
    </cfRule>
    <cfRule type="containsText" dxfId="999" priority="184" stopIfTrue="1" operator="containsText" text="例假">
      <formula>NOT(ISERROR(SEARCH("例假",AF42)))</formula>
    </cfRule>
    <cfRule type="containsText" dxfId="998" priority="185" stopIfTrue="1" operator="containsText" text="病假">
      <formula>NOT(ISERROR(SEARCH("病假",AF42)))</formula>
    </cfRule>
    <cfRule type="containsText" dxfId="997" priority="186" stopIfTrue="1" operator="containsText" text="大假">
      <formula>NOT(ISERROR(SEARCH("大假",AF42)))</formula>
    </cfRule>
    <cfRule type="containsText" dxfId="996" priority="187" stopIfTrue="1" operator="containsText" text="無薪">
      <formula>NOT(ISERROR(SEARCH("無薪",AF42)))</formula>
    </cfRule>
    <cfRule type="containsText" dxfId="995" priority="188" stopIfTrue="1" operator="containsText" text="TIL">
      <formula>NOT(ISERROR(SEARCH("TIL",AF42)))</formula>
    </cfRule>
    <cfRule type="containsText" dxfId="994" priority="189" stopIfTrue="1" operator="containsText" text="疫苗">
      <formula>NOT(ISERROR(SEARCH("疫苗",AF42)))</formula>
    </cfRule>
    <cfRule type="containsText" dxfId="993" priority="190" stopIfTrue="1" operator="containsText" text="勞假">
      <formula>NOT(ISERROR(SEARCH("勞假",AF42)))</formula>
    </cfRule>
    <cfRule type="containsText" dxfId="992" priority="191" stopIfTrue="1" operator="containsText" text="補假">
      <formula>NOT(ISERROR(SEARCH("補假",AF42)))</formula>
    </cfRule>
    <cfRule type="containsText" dxfId="991" priority="192" stopIfTrue="1" operator="containsText" text="例假">
      <formula>NOT(ISERROR(SEARCH("例假",AF42)))</formula>
    </cfRule>
    <cfRule type="containsText" dxfId="990" priority="193" stopIfTrue="1" operator="containsText" text="病假">
      <formula>NOT(ISERROR(SEARCH("病假",AF42)))</formula>
    </cfRule>
    <cfRule type="containsText" dxfId="989" priority="194" stopIfTrue="1" operator="containsText" text="大假">
      <formula>NOT(ISERROR(SEARCH("大假",AF42)))</formula>
    </cfRule>
    <cfRule type="containsText" dxfId="988" priority="195" stopIfTrue="1" operator="containsText" text="無薪">
      <formula>NOT(ISERROR(SEARCH("無薪",AF42)))</formula>
    </cfRule>
    <cfRule type="containsText" dxfId="987" priority="196" stopIfTrue="1" operator="containsText" text="TIL">
      <formula>NOT(ISERROR(SEARCH("TIL",AF42)))</formula>
    </cfRule>
    <cfRule type="containsText" dxfId="986" priority="197" stopIfTrue="1" operator="containsText" text="疫苗">
      <formula>NOT(ISERROR(SEARCH("疫苗",AF42)))</formula>
    </cfRule>
    <cfRule type="containsText" dxfId="985" priority="198" stopIfTrue="1" operator="containsText" text="勞假">
      <formula>NOT(ISERROR(SEARCH("勞假",AF42)))</formula>
    </cfRule>
    <cfRule type="containsText" dxfId="984" priority="199" stopIfTrue="1" operator="containsText" text="補假">
      <formula>NOT(ISERROR(SEARCH("補假",AF42)))</formula>
    </cfRule>
    <cfRule type="containsText" dxfId="983" priority="200" stopIfTrue="1" operator="containsText" text="例假">
      <formula>NOT(ISERROR(SEARCH("例假",AF42)))</formula>
    </cfRule>
    <cfRule type="containsText" dxfId="982" priority="201" stopIfTrue="1" operator="containsText" text="病假">
      <formula>NOT(ISERROR(SEARCH("病假",AF42)))</formula>
    </cfRule>
    <cfRule type="containsText" dxfId="981" priority="202" stopIfTrue="1" operator="containsText" text="大假">
      <formula>NOT(ISERROR(SEARCH("大假",AF42)))</formula>
    </cfRule>
    <cfRule type="containsText" dxfId="980" priority="203" stopIfTrue="1" operator="containsText" text="無薪">
      <formula>NOT(ISERROR(SEARCH("無薪",AF42)))</formula>
    </cfRule>
    <cfRule type="cellIs" dxfId="979" priority="204" operator="equal">
      <formula>"NC"</formula>
    </cfRule>
    <cfRule type="cellIs" dxfId="978" priority="205" operator="equal">
      <formula>"nd"</formula>
    </cfRule>
    <cfRule type="cellIs" dxfId="977" priority="206" operator="equal">
      <formula>0</formula>
    </cfRule>
    <cfRule type="cellIs" dxfId="976" priority="207" operator="equal">
      <formula>"R"</formula>
    </cfRule>
    <cfRule type="cellIs" dxfId="975" priority="208" operator="equal">
      <formula>"NH12"</formula>
    </cfRule>
    <cfRule type="cellIs" dxfId="974" priority="209" operator="equal">
      <formula>"Nh11"</formula>
    </cfRule>
    <cfRule type="containsText" dxfId="973" priority="210" stopIfTrue="1" operator="containsText" text="TIL">
      <formula>NOT(ISERROR(SEARCH("TIL",AF42)))</formula>
    </cfRule>
    <cfRule type="containsText" dxfId="972" priority="211" stopIfTrue="1" operator="containsText" text="疫苗">
      <formula>NOT(ISERROR(SEARCH("疫苗",AF42)))</formula>
    </cfRule>
    <cfRule type="containsText" dxfId="971" priority="212" stopIfTrue="1" operator="containsText" text="勞假">
      <formula>NOT(ISERROR(SEARCH("勞假",AF42)))</formula>
    </cfRule>
    <cfRule type="containsText" dxfId="970" priority="213" stopIfTrue="1" operator="containsText" text="補假">
      <formula>NOT(ISERROR(SEARCH("補假",AF42)))</formula>
    </cfRule>
    <cfRule type="containsText" dxfId="969" priority="214" stopIfTrue="1" operator="containsText" text="例假">
      <formula>NOT(ISERROR(SEARCH("例假",AF42)))</formula>
    </cfRule>
    <cfRule type="containsText" dxfId="968" priority="215" stopIfTrue="1" operator="containsText" text="病假">
      <formula>NOT(ISERROR(SEARCH("病假",AF42)))</formula>
    </cfRule>
    <cfRule type="containsText" dxfId="967" priority="216" stopIfTrue="1" operator="containsText" text="大假">
      <formula>NOT(ISERROR(SEARCH("大假",AF42)))</formula>
    </cfRule>
    <cfRule type="containsText" dxfId="966" priority="217" stopIfTrue="1" operator="containsText" text="無薪">
      <formula>NOT(ISERROR(SEARCH("無薪",AF42)))</formula>
    </cfRule>
    <cfRule type="containsText" dxfId="965" priority="218" stopIfTrue="1" operator="containsText" text="TIL">
      <formula>NOT(ISERROR(SEARCH("TIL",AF42)))</formula>
    </cfRule>
    <cfRule type="containsText" dxfId="964" priority="219" stopIfTrue="1" operator="containsText" text="疫苗">
      <formula>NOT(ISERROR(SEARCH("疫苗",AF42)))</formula>
    </cfRule>
    <cfRule type="containsText" dxfId="963" priority="220" stopIfTrue="1" operator="containsText" text="勞假">
      <formula>NOT(ISERROR(SEARCH("勞假",AF42)))</formula>
    </cfRule>
    <cfRule type="containsText" dxfId="962" priority="221" stopIfTrue="1" operator="containsText" text="補假">
      <formula>NOT(ISERROR(SEARCH("補假",AF42)))</formula>
    </cfRule>
    <cfRule type="containsText" dxfId="961" priority="222" stopIfTrue="1" operator="containsText" text="例假">
      <formula>NOT(ISERROR(SEARCH("例假",AF42)))</formula>
    </cfRule>
    <cfRule type="containsText" dxfId="960" priority="223" stopIfTrue="1" operator="containsText" text="病假">
      <formula>NOT(ISERROR(SEARCH("病假",AF42)))</formula>
    </cfRule>
    <cfRule type="containsText" dxfId="959" priority="224" stopIfTrue="1" operator="containsText" text="大假">
      <formula>NOT(ISERROR(SEARCH("大假",AF42)))</formula>
    </cfRule>
    <cfRule type="containsText" dxfId="958" priority="225" stopIfTrue="1" operator="containsText" text="無薪">
      <formula>NOT(ISERROR(SEARCH("無薪",AF42)))</formula>
    </cfRule>
    <cfRule type="containsText" dxfId="957" priority="226" stopIfTrue="1" operator="containsText" text="疫苗">
      <formula>NOT(ISERROR(SEARCH("疫苗",AF42)))</formula>
    </cfRule>
    <cfRule type="containsText" dxfId="956" priority="227" stopIfTrue="1" operator="containsText" text="勞假">
      <formula>NOT(ISERROR(SEARCH("勞假",AF42)))</formula>
    </cfRule>
    <cfRule type="containsText" dxfId="955" priority="228" stopIfTrue="1" operator="containsText" text="補假">
      <formula>NOT(ISERROR(SEARCH("補假",AF42)))</formula>
    </cfRule>
    <cfRule type="containsText" dxfId="954" priority="229" stopIfTrue="1" operator="containsText" text="例假">
      <formula>NOT(ISERROR(SEARCH("例假",AF42)))</formula>
    </cfRule>
    <cfRule type="containsText" dxfId="953" priority="230" stopIfTrue="1" operator="containsText" text="病假">
      <formula>NOT(ISERROR(SEARCH("病假",AF42)))</formula>
    </cfRule>
    <cfRule type="containsText" dxfId="952" priority="231" stopIfTrue="1" operator="containsText" text="大假">
      <formula>NOT(ISERROR(SEARCH("大假",AF42)))</formula>
    </cfRule>
  </conditionalFormatting>
  <conditionalFormatting sqref="AF43:AH43">
    <cfRule type="cellIs" dxfId="951" priority="846" operator="equal">
      <formula>"VO"</formula>
    </cfRule>
    <cfRule type="cellIs" dxfId="950" priority="847" operator="equal">
      <formula>"CW"</formula>
    </cfRule>
    <cfRule type="cellIs" dxfId="949" priority="848" operator="equal">
      <formula>"CF"</formula>
    </cfRule>
    <cfRule type="containsText" dxfId="948" priority="851" stopIfTrue="1" operator="containsText" text="無薪">
      <formula>NOT(ISERROR(SEARCH("無薪",AF43)))</formula>
    </cfRule>
    <cfRule type="containsText" dxfId="947" priority="852" stopIfTrue="1" operator="containsText" text="TIL">
      <formula>NOT(ISERROR(SEARCH("TIL",AF43)))</formula>
    </cfRule>
    <cfRule type="containsText" dxfId="946" priority="853" stopIfTrue="1" operator="containsText" text="疫苗">
      <formula>NOT(ISERROR(SEARCH("疫苗",AF43)))</formula>
    </cfRule>
    <cfRule type="containsText" dxfId="945" priority="854" stopIfTrue="1" operator="containsText" text="勞假">
      <formula>NOT(ISERROR(SEARCH("勞假",AF43)))</formula>
    </cfRule>
    <cfRule type="containsText" dxfId="944" priority="855" stopIfTrue="1" operator="containsText" text="補假">
      <formula>NOT(ISERROR(SEARCH("補假",AF43)))</formula>
    </cfRule>
    <cfRule type="containsText" dxfId="943" priority="856" stopIfTrue="1" operator="containsText" text="例假">
      <formula>NOT(ISERROR(SEARCH("例假",AF43)))</formula>
    </cfRule>
    <cfRule type="containsText" dxfId="942" priority="857" stopIfTrue="1" operator="containsText" text="病假">
      <formula>NOT(ISERROR(SEARCH("病假",AF43)))</formula>
    </cfRule>
    <cfRule type="containsText" dxfId="941" priority="858" stopIfTrue="1" operator="containsText" text="大假">
      <formula>NOT(ISERROR(SEARCH("大假",AF43)))</formula>
    </cfRule>
    <cfRule type="containsText" dxfId="940" priority="859" stopIfTrue="1" operator="containsText" text="無薪">
      <formula>NOT(ISERROR(SEARCH("無薪",AF43)))</formula>
    </cfRule>
    <cfRule type="containsText" dxfId="939" priority="860" stopIfTrue="1" operator="containsText" text="TIL">
      <formula>NOT(ISERROR(SEARCH("TIL",AF43)))</formula>
    </cfRule>
    <cfRule type="containsText" dxfId="938" priority="861" stopIfTrue="1" operator="containsText" text="疫苗">
      <formula>NOT(ISERROR(SEARCH("疫苗",AF43)))</formula>
    </cfRule>
    <cfRule type="containsText" dxfId="937" priority="862" stopIfTrue="1" operator="containsText" text="勞假">
      <formula>NOT(ISERROR(SEARCH("勞假",AF43)))</formula>
    </cfRule>
    <cfRule type="containsText" dxfId="936" priority="863" stopIfTrue="1" operator="containsText" text="補假">
      <formula>NOT(ISERROR(SEARCH("補假",AF43)))</formula>
    </cfRule>
    <cfRule type="containsText" dxfId="935" priority="864" stopIfTrue="1" operator="containsText" text="例假">
      <formula>NOT(ISERROR(SEARCH("例假",AF43)))</formula>
    </cfRule>
    <cfRule type="containsText" dxfId="934" priority="865" stopIfTrue="1" operator="containsText" text="病假">
      <formula>NOT(ISERROR(SEARCH("病假",AF43)))</formula>
    </cfRule>
    <cfRule type="containsText" dxfId="933" priority="866" stopIfTrue="1" operator="containsText" text="大假">
      <formula>NOT(ISERROR(SEARCH("大假",AF43)))</formula>
    </cfRule>
    <cfRule type="containsText" dxfId="932" priority="867" stopIfTrue="1" operator="containsText" text="TIL">
      <formula>NOT(ISERROR(SEARCH("TIL",AF43)))</formula>
    </cfRule>
    <cfRule type="cellIs" dxfId="931" priority="868" stopIfTrue="1" operator="equal">
      <formula>"NP"</formula>
    </cfRule>
    <cfRule type="cellIs" dxfId="930" priority="869" stopIfTrue="1" operator="equal">
      <formula>"RD"</formula>
    </cfRule>
    <cfRule type="containsText" dxfId="929" priority="870" stopIfTrue="1" operator="containsText" text="TIL">
      <formula>NOT(ISERROR(SEARCH("TIL",AF43)))</formula>
    </cfRule>
    <cfRule type="containsText" dxfId="928" priority="871" stopIfTrue="1" operator="containsText" text="疫苗">
      <formula>NOT(ISERROR(SEARCH("疫苗",AF43)))</formula>
    </cfRule>
    <cfRule type="containsText" dxfId="927" priority="872" stopIfTrue="1" operator="containsText" text="勞假">
      <formula>NOT(ISERROR(SEARCH("勞假",AF43)))</formula>
    </cfRule>
    <cfRule type="containsText" dxfId="926" priority="873" stopIfTrue="1" operator="containsText" text="補假">
      <formula>NOT(ISERROR(SEARCH("補假",AF43)))</formula>
    </cfRule>
    <cfRule type="containsText" dxfId="925" priority="874" stopIfTrue="1" operator="containsText" text="例假">
      <formula>NOT(ISERROR(SEARCH("例假",AF43)))</formula>
    </cfRule>
    <cfRule type="containsText" dxfId="924" priority="875" stopIfTrue="1" operator="containsText" text="病假">
      <formula>NOT(ISERROR(SEARCH("病假",AF43)))</formula>
    </cfRule>
    <cfRule type="containsText" dxfId="923" priority="876" stopIfTrue="1" operator="containsText" text="大假">
      <formula>NOT(ISERROR(SEARCH("大假",AF43)))</formula>
    </cfRule>
    <cfRule type="containsText" dxfId="922" priority="877" stopIfTrue="1" operator="containsText" text="TIL">
      <formula>NOT(ISERROR(SEARCH("TIL",AF43)))</formula>
    </cfRule>
    <cfRule type="containsText" dxfId="921" priority="878" stopIfTrue="1" operator="containsText" text="疫苗">
      <formula>NOT(ISERROR(SEARCH("疫苗",AF43)))</formula>
    </cfRule>
    <cfRule type="containsText" dxfId="920" priority="879" stopIfTrue="1" operator="containsText" text="勞假">
      <formula>NOT(ISERROR(SEARCH("勞假",AF43)))</formula>
    </cfRule>
    <cfRule type="containsText" dxfId="919" priority="880" stopIfTrue="1" operator="containsText" text="補假">
      <formula>NOT(ISERROR(SEARCH("補假",AF43)))</formula>
    </cfRule>
    <cfRule type="containsText" dxfId="918" priority="881" stopIfTrue="1" operator="containsText" text="例假">
      <formula>NOT(ISERROR(SEARCH("例假",AF43)))</formula>
    </cfRule>
    <cfRule type="containsText" dxfId="917" priority="882" stopIfTrue="1" operator="containsText" text="病假">
      <formula>NOT(ISERROR(SEARCH("病假",AF43)))</formula>
    </cfRule>
    <cfRule type="containsText" dxfId="916" priority="883" stopIfTrue="1" operator="containsText" text="大假">
      <formula>NOT(ISERROR(SEARCH("大假",AF43)))</formula>
    </cfRule>
    <cfRule type="containsText" dxfId="915" priority="884" stopIfTrue="1" operator="containsText" text="無薪">
      <formula>NOT(ISERROR(SEARCH("無薪",AF43)))</formula>
    </cfRule>
    <cfRule type="containsText" dxfId="914" priority="885" stopIfTrue="1" operator="containsText" text="疫苗">
      <formula>NOT(ISERROR(SEARCH("疫苗",AF43)))</formula>
    </cfRule>
    <cfRule type="containsText" dxfId="913" priority="886" stopIfTrue="1" operator="containsText" text="勞假">
      <formula>NOT(ISERROR(SEARCH("勞假",AF43)))</formula>
    </cfRule>
    <cfRule type="containsText" dxfId="912" priority="887" stopIfTrue="1" operator="containsText" text="補假">
      <formula>NOT(ISERROR(SEARCH("補假",AF43)))</formula>
    </cfRule>
    <cfRule type="containsText" dxfId="911" priority="888" stopIfTrue="1" operator="containsText" text="例假">
      <formula>NOT(ISERROR(SEARCH("例假",AF43)))</formula>
    </cfRule>
    <cfRule type="containsText" dxfId="910" priority="889" stopIfTrue="1" operator="containsText" text="病假">
      <formula>NOT(ISERROR(SEARCH("病假",AF43)))</formula>
    </cfRule>
    <cfRule type="containsText" dxfId="909" priority="890" stopIfTrue="1" operator="containsText" text="大假">
      <formula>NOT(ISERROR(SEARCH("大假",AF43)))</formula>
    </cfRule>
    <cfRule type="containsText" dxfId="908" priority="891" stopIfTrue="1" operator="containsText" text="無薪">
      <formula>NOT(ISERROR(SEARCH("無薪",AF43)))</formula>
    </cfRule>
    <cfRule type="containsText" dxfId="907" priority="892" stopIfTrue="1" operator="containsText" text="TIL">
      <formula>NOT(ISERROR(SEARCH("TIL",AF43)))</formula>
    </cfRule>
    <cfRule type="containsText" dxfId="906" priority="893" stopIfTrue="1" operator="containsText" text="疫苗">
      <formula>NOT(ISERROR(SEARCH("疫苗",AF43)))</formula>
    </cfRule>
    <cfRule type="containsText" dxfId="905" priority="894" stopIfTrue="1" operator="containsText" text="勞假">
      <formula>NOT(ISERROR(SEARCH("勞假",AF43)))</formula>
    </cfRule>
    <cfRule type="containsText" dxfId="904" priority="895" stopIfTrue="1" operator="containsText" text="補假">
      <formula>NOT(ISERROR(SEARCH("補假",AF43)))</formula>
    </cfRule>
    <cfRule type="containsText" dxfId="903" priority="896" stopIfTrue="1" operator="containsText" text="例假">
      <formula>NOT(ISERROR(SEARCH("例假",AF43)))</formula>
    </cfRule>
    <cfRule type="containsText" dxfId="902" priority="897" stopIfTrue="1" operator="containsText" text="病假">
      <formula>NOT(ISERROR(SEARCH("病假",AF43)))</formula>
    </cfRule>
    <cfRule type="containsText" dxfId="901" priority="898" stopIfTrue="1" operator="containsText" text="大假">
      <formula>NOT(ISERROR(SEARCH("大假",AF43)))</formula>
    </cfRule>
    <cfRule type="containsText" dxfId="900" priority="899" stopIfTrue="1" operator="containsText" text="無薪">
      <formula>NOT(ISERROR(SEARCH("無薪",AF43)))</formula>
    </cfRule>
    <cfRule type="containsText" dxfId="899" priority="900" stopIfTrue="1" operator="containsText" text="TIL">
      <formula>NOT(ISERROR(SEARCH("TIL",AF43)))</formula>
    </cfRule>
    <cfRule type="containsText" dxfId="898" priority="901" stopIfTrue="1" operator="containsText" text="疫苗">
      <formula>NOT(ISERROR(SEARCH("疫苗",AF43)))</formula>
    </cfRule>
    <cfRule type="containsText" dxfId="897" priority="902" stopIfTrue="1" operator="containsText" text="勞假">
      <formula>NOT(ISERROR(SEARCH("勞假",AF43)))</formula>
    </cfRule>
    <cfRule type="containsText" dxfId="896" priority="903" stopIfTrue="1" operator="containsText" text="補假">
      <formula>NOT(ISERROR(SEARCH("補假",AF43)))</formula>
    </cfRule>
    <cfRule type="containsText" dxfId="895" priority="904" stopIfTrue="1" operator="containsText" text="例假">
      <formula>NOT(ISERROR(SEARCH("例假",AF43)))</formula>
    </cfRule>
    <cfRule type="containsText" dxfId="894" priority="905" stopIfTrue="1" operator="containsText" text="病假">
      <formula>NOT(ISERROR(SEARCH("病假",AF43)))</formula>
    </cfRule>
    <cfRule type="containsText" dxfId="893" priority="906" stopIfTrue="1" operator="containsText" text="大假">
      <formula>NOT(ISERROR(SEARCH("大假",AF43)))</formula>
    </cfRule>
    <cfRule type="containsText" dxfId="892" priority="907" stopIfTrue="1" operator="containsText" text="無薪">
      <formula>NOT(ISERROR(SEARCH("無薪",AF43)))</formula>
    </cfRule>
    <cfRule type="cellIs" dxfId="891" priority="908" operator="equal">
      <formula>"NC"</formula>
    </cfRule>
    <cfRule type="cellIs" dxfId="890" priority="909" operator="equal">
      <formula>"nd"</formula>
    </cfRule>
    <cfRule type="cellIs" dxfId="889" priority="910" operator="equal">
      <formula>0</formula>
    </cfRule>
    <cfRule type="cellIs" dxfId="888" priority="911" operator="equal">
      <formula>"R"</formula>
    </cfRule>
    <cfRule type="cellIs" dxfId="887" priority="912" operator="equal">
      <formula>"NH12"</formula>
    </cfRule>
    <cfRule type="cellIs" dxfId="886" priority="913" operator="equal">
      <formula>"Nh11"</formula>
    </cfRule>
    <cfRule type="containsText" dxfId="885" priority="914" stopIfTrue="1" operator="containsText" text="TIL">
      <formula>NOT(ISERROR(SEARCH("TIL",AF43)))</formula>
    </cfRule>
    <cfRule type="containsText" dxfId="884" priority="915" stopIfTrue="1" operator="containsText" text="疫苗">
      <formula>NOT(ISERROR(SEARCH("疫苗",AF43)))</formula>
    </cfRule>
    <cfRule type="containsText" dxfId="883" priority="916" stopIfTrue="1" operator="containsText" text="勞假">
      <formula>NOT(ISERROR(SEARCH("勞假",AF43)))</formula>
    </cfRule>
    <cfRule type="containsText" dxfId="882" priority="917" stopIfTrue="1" operator="containsText" text="補假">
      <formula>NOT(ISERROR(SEARCH("補假",AF43)))</formula>
    </cfRule>
    <cfRule type="containsText" dxfId="881" priority="918" stopIfTrue="1" operator="containsText" text="例假">
      <formula>NOT(ISERROR(SEARCH("例假",AF43)))</formula>
    </cfRule>
    <cfRule type="containsText" dxfId="880" priority="919" stopIfTrue="1" operator="containsText" text="病假">
      <formula>NOT(ISERROR(SEARCH("病假",AF43)))</formula>
    </cfRule>
    <cfRule type="containsText" dxfId="879" priority="920" stopIfTrue="1" operator="containsText" text="大假">
      <formula>NOT(ISERROR(SEARCH("大假",AF43)))</formula>
    </cfRule>
    <cfRule type="containsText" dxfId="878" priority="921" stopIfTrue="1" operator="containsText" text="無薪">
      <formula>NOT(ISERROR(SEARCH("無薪",AF43)))</formula>
    </cfRule>
    <cfRule type="containsText" dxfId="877" priority="922" stopIfTrue="1" operator="containsText" text="TIL">
      <formula>NOT(ISERROR(SEARCH("TIL",AF43)))</formula>
    </cfRule>
    <cfRule type="containsText" dxfId="876" priority="923" stopIfTrue="1" operator="containsText" text="疫苗">
      <formula>NOT(ISERROR(SEARCH("疫苗",AF43)))</formula>
    </cfRule>
    <cfRule type="containsText" dxfId="875" priority="924" stopIfTrue="1" operator="containsText" text="勞假">
      <formula>NOT(ISERROR(SEARCH("勞假",AF43)))</formula>
    </cfRule>
    <cfRule type="containsText" dxfId="874" priority="925" stopIfTrue="1" operator="containsText" text="補假">
      <formula>NOT(ISERROR(SEARCH("補假",AF43)))</formula>
    </cfRule>
    <cfRule type="containsText" dxfId="873" priority="926" stopIfTrue="1" operator="containsText" text="例假">
      <formula>NOT(ISERROR(SEARCH("例假",AF43)))</formula>
    </cfRule>
    <cfRule type="containsText" dxfId="872" priority="927" stopIfTrue="1" operator="containsText" text="病假">
      <formula>NOT(ISERROR(SEARCH("病假",AF43)))</formula>
    </cfRule>
    <cfRule type="containsText" dxfId="871" priority="928" stopIfTrue="1" operator="containsText" text="大假">
      <formula>NOT(ISERROR(SEARCH("大假",AF43)))</formula>
    </cfRule>
    <cfRule type="containsText" dxfId="870" priority="929" stopIfTrue="1" operator="containsText" text="無薪">
      <formula>NOT(ISERROR(SEARCH("無薪",AF43)))</formula>
    </cfRule>
    <cfRule type="containsText" dxfId="869" priority="930" stopIfTrue="1" operator="containsText" text="疫苗">
      <formula>NOT(ISERROR(SEARCH("疫苗",AF43)))</formula>
    </cfRule>
    <cfRule type="containsText" dxfId="868" priority="931" stopIfTrue="1" operator="containsText" text="勞假">
      <formula>NOT(ISERROR(SEARCH("勞假",AF43)))</formula>
    </cfRule>
    <cfRule type="containsText" dxfId="867" priority="932" stopIfTrue="1" operator="containsText" text="補假">
      <formula>NOT(ISERROR(SEARCH("補假",AF43)))</formula>
    </cfRule>
    <cfRule type="containsText" dxfId="866" priority="933" stopIfTrue="1" operator="containsText" text="例假">
      <formula>NOT(ISERROR(SEARCH("例假",AF43)))</formula>
    </cfRule>
    <cfRule type="containsText" dxfId="865" priority="934" stopIfTrue="1" operator="containsText" text="病假">
      <formula>NOT(ISERROR(SEARCH("病假",AF43)))</formula>
    </cfRule>
    <cfRule type="containsText" dxfId="864" priority="935" stopIfTrue="1" operator="containsText" text="大假">
      <formula>NOT(ISERROR(SEARCH("大假",AF43)))</formula>
    </cfRule>
  </conditionalFormatting>
  <conditionalFormatting sqref="AF44:AH44 AF45">
    <cfRule type="cellIs" dxfId="863" priority="45" operator="equal">
      <formula>"CF"</formula>
    </cfRule>
    <cfRule type="cellIs" dxfId="862" priority="46" operator="equal">
      <formula>"CW"</formula>
    </cfRule>
    <cfRule type="cellIs" dxfId="861" priority="47" operator="equal">
      <formula>"CL"</formula>
    </cfRule>
    <cfRule type="cellIs" dxfId="860" priority="48" operator="equal">
      <formula>"E"</formula>
    </cfRule>
  </conditionalFormatting>
  <conditionalFormatting sqref="AF45">
    <cfRule type="cellIs" dxfId="859" priority="43" operator="equal">
      <formula>"SR"</formula>
    </cfRule>
    <cfRule type="cellIs" dxfId="858" priority="44" operator="equal">
      <formula>"NSH"</formula>
    </cfRule>
  </conditionalFormatting>
  <conditionalFormatting sqref="AF48:AH48 AF50:AH51">
    <cfRule type="cellIs" dxfId="857" priority="1154" operator="equal">
      <formula>"NP"</formula>
    </cfRule>
  </conditionalFormatting>
  <conditionalFormatting sqref="AF53:AH1048576">
    <cfRule type="cellIs" dxfId="856" priority="1140" operator="equal">
      <formula>"NP"</formula>
    </cfRule>
  </conditionalFormatting>
  <conditionalFormatting sqref="AF16:AH35 AF39:AH44 AF10:AH12 AF13 AF36 AF45">
    <cfRule type="cellIs" dxfId="855" priority="668" operator="equal">
      <formula>"SH"</formula>
    </cfRule>
  </conditionalFormatting>
  <conditionalFormatting sqref="AF12:AH12 AF16:AH17 AF39:AH40 AF48:AH48 AF50:AH51 AF52 AH52 AF53:AH1048576">
    <cfRule type="cellIs" dxfId="854" priority="1161" operator="equal">
      <formula>"NH"</formula>
    </cfRule>
  </conditionalFormatting>
  <conditionalFormatting sqref="AF12:AH12 AF16:AH17 AF39:AH40 AF48:AH48 AF50:AH51 AH52 AF53:AH55">
    <cfRule type="cellIs" dxfId="853" priority="1121" operator="equal">
      <formula>"NH11"</formula>
    </cfRule>
  </conditionalFormatting>
  <conditionalFormatting sqref="AF7:AH9">
    <cfRule type="expression" dxfId="852" priority="55">
      <formula>AF8="H"</formula>
    </cfRule>
  </conditionalFormatting>
  <conditionalFormatting sqref="AF41:AH41">
    <cfRule type="cellIs" dxfId="851" priority="662" operator="equal">
      <formula>"NSH"</formula>
    </cfRule>
  </conditionalFormatting>
  <conditionalFormatting sqref="AF52:AF53">
    <cfRule type="cellIs" dxfId="850" priority="1141" operator="equal">
      <formula>"NC"</formula>
    </cfRule>
  </conditionalFormatting>
  <conditionalFormatting sqref="AF5:AH6">
    <cfRule type="cellIs" dxfId="849" priority="1139" operator="equal">
      <formula>"NP"</formula>
    </cfRule>
  </conditionalFormatting>
  <conditionalFormatting sqref="AF50:AH51 AF6:AH6">
    <cfRule type="cellIs" dxfId="848" priority="1165" stopIfTrue="1" operator="equal">
      <formula>"NP"</formula>
    </cfRule>
  </conditionalFormatting>
  <conditionalFormatting sqref="AF16:AH35 AF10:AH12 AF39:AH43 AF13 AF36">
    <cfRule type="cellIs" dxfId="847" priority="52" operator="equal">
      <formula>"NSH"</formula>
    </cfRule>
  </conditionalFormatting>
  <conditionalFormatting sqref="AF10:AH11">
    <cfRule type="containsText" dxfId="846" priority="1117" operator="containsText" text="NP">
      <formula>NOT(ISERROR(SEARCH("NP",AF10)))</formula>
    </cfRule>
  </conditionalFormatting>
  <conditionalFormatting sqref="AF10:AH11">
    <cfRule type="containsText" dxfId="845" priority="1116" operator="containsText" text="RD">
      <formula>NOT(ISERROR(SEARCH("RD",AF10)))</formula>
    </cfRule>
  </conditionalFormatting>
  <conditionalFormatting sqref="AF19:AH19">
    <cfRule type="containsText" dxfId="844" priority="675" stopIfTrue="1" operator="containsText" text="無薪">
      <formula>NOT(ISERROR(SEARCH("無薪",AF19)))</formula>
    </cfRule>
    <cfRule type="containsText" dxfId="843" priority="676" stopIfTrue="1" operator="containsText" text="TIL">
      <formula>NOT(ISERROR(SEARCH("TIL",AF19)))</formula>
    </cfRule>
    <cfRule type="containsText" dxfId="842" priority="677" stopIfTrue="1" operator="containsText" text="疫苗">
      <formula>NOT(ISERROR(SEARCH("疫苗",AF19)))</formula>
    </cfRule>
    <cfRule type="containsText" dxfId="841" priority="678" stopIfTrue="1" operator="containsText" text="勞假">
      <formula>NOT(ISERROR(SEARCH("勞假",AF19)))</formula>
    </cfRule>
    <cfRule type="containsText" dxfId="840" priority="679" stopIfTrue="1" operator="containsText" text="補假">
      <formula>NOT(ISERROR(SEARCH("補假",AF19)))</formula>
    </cfRule>
    <cfRule type="containsText" dxfId="839" priority="680" stopIfTrue="1" operator="containsText" text="例假">
      <formula>NOT(ISERROR(SEARCH("例假",AF19)))</formula>
    </cfRule>
    <cfRule type="containsText" dxfId="838" priority="681" stopIfTrue="1" operator="containsText" text="病假">
      <formula>NOT(ISERROR(SEARCH("病假",AF19)))</formula>
    </cfRule>
    <cfRule type="containsText" dxfId="837" priority="682" stopIfTrue="1" operator="containsText" text="大假">
      <formula>NOT(ISERROR(SEARCH("大假",AF19)))</formula>
    </cfRule>
    <cfRule type="containsText" dxfId="836" priority="683" stopIfTrue="1" operator="containsText" text="無薪">
      <formula>NOT(ISERROR(SEARCH("無薪",AF19)))</formula>
    </cfRule>
    <cfRule type="containsText" dxfId="835" priority="684" stopIfTrue="1" operator="containsText" text="TIL">
      <formula>NOT(ISERROR(SEARCH("TIL",AF19)))</formula>
    </cfRule>
    <cfRule type="containsText" dxfId="834" priority="685" stopIfTrue="1" operator="containsText" text="疫苗">
      <formula>NOT(ISERROR(SEARCH("疫苗",AF19)))</formula>
    </cfRule>
    <cfRule type="containsText" dxfId="833" priority="686" stopIfTrue="1" operator="containsText" text="勞假">
      <formula>NOT(ISERROR(SEARCH("勞假",AF19)))</formula>
    </cfRule>
    <cfRule type="containsText" dxfId="832" priority="687" stopIfTrue="1" operator="containsText" text="補假">
      <formula>NOT(ISERROR(SEARCH("補假",AF19)))</formula>
    </cfRule>
    <cfRule type="containsText" dxfId="831" priority="688" stopIfTrue="1" operator="containsText" text="例假">
      <formula>NOT(ISERROR(SEARCH("例假",AF19)))</formula>
    </cfRule>
    <cfRule type="containsText" dxfId="830" priority="689" stopIfTrue="1" operator="containsText" text="病假">
      <formula>NOT(ISERROR(SEARCH("病假",AF19)))</formula>
    </cfRule>
    <cfRule type="containsText" dxfId="829" priority="690" stopIfTrue="1" operator="containsText" text="大假">
      <formula>NOT(ISERROR(SEARCH("大假",AF19)))</formula>
    </cfRule>
    <cfRule type="containsText" dxfId="828" priority="691" stopIfTrue="1" operator="containsText" text="TIL">
      <formula>NOT(ISERROR(SEARCH("TIL",AF19)))</formula>
    </cfRule>
    <cfRule type="cellIs" dxfId="827" priority="692" stopIfTrue="1" operator="equal">
      <formula>"NP"</formula>
    </cfRule>
    <cfRule type="cellIs" dxfId="826" priority="693" stopIfTrue="1" operator="equal">
      <formula>"RD"</formula>
    </cfRule>
    <cfRule type="containsText" dxfId="825" priority="694" stopIfTrue="1" operator="containsText" text="TIL">
      <formula>NOT(ISERROR(SEARCH("TIL",AF19)))</formula>
    </cfRule>
    <cfRule type="containsText" dxfId="824" priority="695" stopIfTrue="1" operator="containsText" text="疫苗">
      <formula>NOT(ISERROR(SEARCH("疫苗",AF19)))</formula>
    </cfRule>
    <cfRule type="containsText" dxfId="823" priority="696" stopIfTrue="1" operator="containsText" text="勞假">
      <formula>NOT(ISERROR(SEARCH("勞假",AF19)))</formula>
    </cfRule>
    <cfRule type="containsText" dxfId="822" priority="697" stopIfTrue="1" operator="containsText" text="補假">
      <formula>NOT(ISERROR(SEARCH("補假",AF19)))</formula>
    </cfRule>
    <cfRule type="containsText" dxfId="821" priority="698" stopIfTrue="1" operator="containsText" text="例假">
      <formula>NOT(ISERROR(SEARCH("例假",AF19)))</formula>
    </cfRule>
    <cfRule type="containsText" dxfId="820" priority="699" stopIfTrue="1" operator="containsText" text="病假">
      <formula>NOT(ISERROR(SEARCH("病假",AF19)))</formula>
    </cfRule>
    <cfRule type="containsText" dxfId="819" priority="700" stopIfTrue="1" operator="containsText" text="大假">
      <formula>NOT(ISERROR(SEARCH("大假",AF19)))</formula>
    </cfRule>
    <cfRule type="containsText" dxfId="818" priority="701" stopIfTrue="1" operator="containsText" text="TIL">
      <formula>NOT(ISERROR(SEARCH("TIL",AF19)))</formula>
    </cfRule>
    <cfRule type="containsText" dxfId="817" priority="702" stopIfTrue="1" operator="containsText" text="疫苗">
      <formula>NOT(ISERROR(SEARCH("疫苗",AF19)))</formula>
    </cfRule>
    <cfRule type="containsText" dxfId="816" priority="703" stopIfTrue="1" operator="containsText" text="勞假">
      <formula>NOT(ISERROR(SEARCH("勞假",AF19)))</formula>
    </cfRule>
    <cfRule type="containsText" dxfId="815" priority="704" stopIfTrue="1" operator="containsText" text="補假">
      <formula>NOT(ISERROR(SEARCH("補假",AF19)))</formula>
    </cfRule>
    <cfRule type="containsText" dxfId="814" priority="705" stopIfTrue="1" operator="containsText" text="例假">
      <formula>NOT(ISERROR(SEARCH("例假",AF19)))</formula>
    </cfRule>
    <cfRule type="containsText" dxfId="813" priority="706" stopIfTrue="1" operator="containsText" text="病假">
      <formula>NOT(ISERROR(SEARCH("病假",AF19)))</formula>
    </cfRule>
    <cfRule type="containsText" dxfId="812" priority="707" stopIfTrue="1" operator="containsText" text="大假">
      <formula>NOT(ISERROR(SEARCH("大假",AF19)))</formula>
    </cfRule>
    <cfRule type="containsText" dxfId="811" priority="708" stopIfTrue="1" operator="containsText" text="無薪">
      <formula>NOT(ISERROR(SEARCH("無薪",AF19)))</formula>
    </cfRule>
    <cfRule type="containsText" dxfId="810" priority="709" stopIfTrue="1" operator="containsText" text="疫苗">
      <formula>NOT(ISERROR(SEARCH("疫苗",AF19)))</formula>
    </cfRule>
    <cfRule type="containsText" dxfId="809" priority="710" stopIfTrue="1" operator="containsText" text="勞假">
      <formula>NOT(ISERROR(SEARCH("勞假",AF19)))</formula>
    </cfRule>
    <cfRule type="containsText" dxfId="808" priority="711" stopIfTrue="1" operator="containsText" text="補假">
      <formula>NOT(ISERROR(SEARCH("補假",AF19)))</formula>
    </cfRule>
    <cfRule type="containsText" dxfId="807" priority="712" stopIfTrue="1" operator="containsText" text="例假">
      <formula>NOT(ISERROR(SEARCH("例假",AF19)))</formula>
    </cfRule>
    <cfRule type="containsText" dxfId="806" priority="713" stopIfTrue="1" operator="containsText" text="病假">
      <formula>NOT(ISERROR(SEARCH("病假",AF19)))</formula>
    </cfRule>
    <cfRule type="containsText" dxfId="805" priority="714" stopIfTrue="1" operator="containsText" text="大假">
      <formula>NOT(ISERROR(SEARCH("大假",AF19)))</formula>
    </cfRule>
    <cfRule type="containsText" dxfId="804" priority="715" stopIfTrue="1" operator="containsText" text="無薪">
      <formula>NOT(ISERROR(SEARCH("無薪",AF19)))</formula>
    </cfRule>
    <cfRule type="containsText" dxfId="803" priority="716" stopIfTrue="1" operator="containsText" text="TIL">
      <formula>NOT(ISERROR(SEARCH("TIL",AF19)))</formula>
    </cfRule>
    <cfRule type="containsText" dxfId="802" priority="717" stopIfTrue="1" operator="containsText" text="疫苗">
      <formula>NOT(ISERROR(SEARCH("疫苗",AF19)))</formula>
    </cfRule>
    <cfRule type="containsText" dxfId="801" priority="718" stopIfTrue="1" operator="containsText" text="勞假">
      <formula>NOT(ISERROR(SEARCH("勞假",AF19)))</formula>
    </cfRule>
    <cfRule type="containsText" dxfId="800" priority="719" stopIfTrue="1" operator="containsText" text="補假">
      <formula>NOT(ISERROR(SEARCH("補假",AF19)))</formula>
    </cfRule>
    <cfRule type="containsText" dxfId="799" priority="720" stopIfTrue="1" operator="containsText" text="例假">
      <formula>NOT(ISERROR(SEARCH("例假",AF19)))</formula>
    </cfRule>
    <cfRule type="containsText" dxfId="798" priority="721" stopIfTrue="1" operator="containsText" text="病假">
      <formula>NOT(ISERROR(SEARCH("病假",AF19)))</formula>
    </cfRule>
    <cfRule type="containsText" dxfId="797" priority="722" stopIfTrue="1" operator="containsText" text="大假">
      <formula>NOT(ISERROR(SEARCH("大假",AF19)))</formula>
    </cfRule>
    <cfRule type="containsText" dxfId="796" priority="723" stopIfTrue="1" operator="containsText" text="無薪">
      <formula>NOT(ISERROR(SEARCH("無薪",AF19)))</formula>
    </cfRule>
    <cfRule type="containsText" dxfId="795" priority="724" stopIfTrue="1" operator="containsText" text="TIL">
      <formula>NOT(ISERROR(SEARCH("TIL",AF19)))</formula>
    </cfRule>
    <cfRule type="containsText" dxfId="794" priority="725" stopIfTrue="1" operator="containsText" text="疫苗">
      <formula>NOT(ISERROR(SEARCH("疫苗",AF19)))</formula>
    </cfRule>
    <cfRule type="containsText" dxfId="793" priority="726" stopIfTrue="1" operator="containsText" text="勞假">
      <formula>NOT(ISERROR(SEARCH("勞假",AF19)))</formula>
    </cfRule>
    <cfRule type="containsText" dxfId="792" priority="727" stopIfTrue="1" operator="containsText" text="補假">
      <formula>NOT(ISERROR(SEARCH("補假",AF19)))</formula>
    </cfRule>
    <cfRule type="containsText" dxfId="791" priority="728" stopIfTrue="1" operator="containsText" text="例假">
      <formula>NOT(ISERROR(SEARCH("例假",AF19)))</formula>
    </cfRule>
    <cfRule type="containsText" dxfId="790" priority="729" stopIfTrue="1" operator="containsText" text="病假">
      <formula>NOT(ISERROR(SEARCH("病假",AF19)))</formula>
    </cfRule>
    <cfRule type="containsText" dxfId="789" priority="730" stopIfTrue="1" operator="containsText" text="大假">
      <formula>NOT(ISERROR(SEARCH("大假",AF19)))</formula>
    </cfRule>
    <cfRule type="containsText" dxfId="788" priority="731" stopIfTrue="1" operator="containsText" text="無薪">
      <formula>NOT(ISERROR(SEARCH("無薪",AF19)))</formula>
    </cfRule>
    <cfRule type="cellIs" dxfId="787" priority="732" operator="equal">
      <formula>"NC"</formula>
    </cfRule>
    <cfRule type="cellIs" dxfId="786" priority="733" operator="equal">
      <formula>"nd"</formula>
    </cfRule>
    <cfRule type="cellIs" dxfId="785" priority="734" operator="equal">
      <formula>0</formula>
    </cfRule>
    <cfRule type="cellIs" dxfId="784" priority="735" operator="equal">
      <formula>"R"</formula>
    </cfRule>
    <cfRule type="cellIs" dxfId="783" priority="736" operator="equal">
      <formula>"NH12"</formula>
    </cfRule>
    <cfRule type="cellIs" dxfId="782" priority="737" operator="equal">
      <formula>"Nh11"</formula>
    </cfRule>
    <cfRule type="containsText" dxfId="781" priority="738" stopIfTrue="1" operator="containsText" text="TIL">
      <formula>NOT(ISERROR(SEARCH("TIL",AF19)))</formula>
    </cfRule>
    <cfRule type="containsText" dxfId="780" priority="739" stopIfTrue="1" operator="containsText" text="疫苗">
      <formula>NOT(ISERROR(SEARCH("疫苗",AF19)))</formula>
    </cfRule>
    <cfRule type="containsText" dxfId="779" priority="740" stopIfTrue="1" operator="containsText" text="勞假">
      <formula>NOT(ISERROR(SEARCH("勞假",AF19)))</formula>
    </cfRule>
    <cfRule type="containsText" dxfId="778" priority="741" stopIfTrue="1" operator="containsText" text="補假">
      <formula>NOT(ISERROR(SEARCH("補假",AF19)))</formula>
    </cfRule>
    <cfRule type="containsText" dxfId="777" priority="742" stopIfTrue="1" operator="containsText" text="例假">
      <formula>NOT(ISERROR(SEARCH("例假",AF19)))</formula>
    </cfRule>
    <cfRule type="containsText" dxfId="776" priority="743" stopIfTrue="1" operator="containsText" text="病假">
      <formula>NOT(ISERROR(SEARCH("病假",AF19)))</formula>
    </cfRule>
    <cfRule type="containsText" dxfId="775" priority="744" stopIfTrue="1" operator="containsText" text="大假">
      <formula>NOT(ISERROR(SEARCH("大假",AF19)))</formula>
    </cfRule>
    <cfRule type="containsText" dxfId="774" priority="745" stopIfTrue="1" operator="containsText" text="無薪">
      <formula>NOT(ISERROR(SEARCH("無薪",AF19)))</formula>
    </cfRule>
    <cfRule type="containsText" dxfId="773" priority="746" stopIfTrue="1" operator="containsText" text="TIL">
      <formula>NOT(ISERROR(SEARCH("TIL",AF19)))</formula>
    </cfRule>
    <cfRule type="containsText" dxfId="772" priority="747" stopIfTrue="1" operator="containsText" text="疫苗">
      <formula>NOT(ISERROR(SEARCH("疫苗",AF19)))</formula>
    </cfRule>
    <cfRule type="containsText" dxfId="771" priority="748" stopIfTrue="1" operator="containsText" text="勞假">
      <formula>NOT(ISERROR(SEARCH("勞假",AF19)))</formula>
    </cfRule>
    <cfRule type="containsText" dxfId="770" priority="749" stopIfTrue="1" operator="containsText" text="補假">
      <formula>NOT(ISERROR(SEARCH("補假",AF19)))</formula>
    </cfRule>
    <cfRule type="containsText" dxfId="769" priority="750" stopIfTrue="1" operator="containsText" text="例假">
      <formula>NOT(ISERROR(SEARCH("例假",AF19)))</formula>
    </cfRule>
    <cfRule type="containsText" dxfId="768" priority="751" stopIfTrue="1" operator="containsText" text="病假">
      <formula>NOT(ISERROR(SEARCH("病假",AF19)))</formula>
    </cfRule>
    <cfRule type="containsText" dxfId="767" priority="752" stopIfTrue="1" operator="containsText" text="大假">
      <formula>NOT(ISERROR(SEARCH("大假",AF19)))</formula>
    </cfRule>
    <cfRule type="containsText" dxfId="766" priority="753" stopIfTrue="1" operator="containsText" text="無薪">
      <formula>NOT(ISERROR(SEARCH("無薪",AF19)))</formula>
    </cfRule>
    <cfRule type="containsText" dxfId="765" priority="754" stopIfTrue="1" operator="containsText" text="疫苗">
      <formula>NOT(ISERROR(SEARCH("疫苗",AF19)))</formula>
    </cfRule>
    <cfRule type="containsText" dxfId="764" priority="755" stopIfTrue="1" operator="containsText" text="勞假">
      <formula>NOT(ISERROR(SEARCH("勞假",AF19)))</formula>
    </cfRule>
    <cfRule type="containsText" dxfId="763" priority="756" stopIfTrue="1" operator="containsText" text="補假">
      <formula>NOT(ISERROR(SEARCH("補假",AF19)))</formula>
    </cfRule>
    <cfRule type="containsText" dxfId="762" priority="757" stopIfTrue="1" operator="containsText" text="例假">
      <formula>NOT(ISERROR(SEARCH("例假",AF19)))</formula>
    </cfRule>
    <cfRule type="containsText" dxfId="761" priority="758" stopIfTrue="1" operator="containsText" text="病假">
      <formula>NOT(ISERROR(SEARCH("病假",AF19)))</formula>
    </cfRule>
    <cfRule type="containsText" dxfId="760" priority="759" stopIfTrue="1" operator="containsText" text="大假">
      <formula>NOT(ISERROR(SEARCH("大假",AF19)))</formula>
    </cfRule>
    <cfRule type="containsText" dxfId="759" priority="937" stopIfTrue="1" operator="containsText" text="無薪">
      <formula>NOT(ISERROR(SEARCH("無薪",AF19)))</formula>
    </cfRule>
    <cfRule type="containsText" dxfId="758" priority="938" stopIfTrue="1" operator="containsText" text="TIL">
      <formula>NOT(ISERROR(SEARCH("TIL",AF19)))</formula>
    </cfRule>
    <cfRule type="containsText" dxfId="757" priority="939" stopIfTrue="1" operator="containsText" text="疫苗">
      <formula>NOT(ISERROR(SEARCH("疫苗",AF19)))</formula>
    </cfRule>
    <cfRule type="containsText" dxfId="756" priority="940" stopIfTrue="1" operator="containsText" text="勞假">
      <formula>NOT(ISERROR(SEARCH("勞假",AF19)))</formula>
    </cfRule>
    <cfRule type="containsText" dxfId="755" priority="941" stopIfTrue="1" operator="containsText" text="補假">
      <formula>NOT(ISERROR(SEARCH("補假",AF19)))</formula>
    </cfRule>
    <cfRule type="containsText" dxfId="754" priority="942" stopIfTrue="1" operator="containsText" text="例假">
      <formula>NOT(ISERROR(SEARCH("例假",AF19)))</formula>
    </cfRule>
    <cfRule type="containsText" dxfId="753" priority="943" stopIfTrue="1" operator="containsText" text="病假">
      <formula>NOT(ISERROR(SEARCH("病假",AF19)))</formula>
    </cfRule>
    <cfRule type="containsText" dxfId="752" priority="944" stopIfTrue="1" operator="containsText" text="大假">
      <formula>NOT(ISERROR(SEARCH("大假",AF19)))</formula>
    </cfRule>
    <cfRule type="containsText" dxfId="751" priority="945" stopIfTrue="1" operator="containsText" text="無薪">
      <formula>NOT(ISERROR(SEARCH("無薪",AF19)))</formula>
    </cfRule>
    <cfRule type="containsText" dxfId="750" priority="946" stopIfTrue="1" operator="containsText" text="TIL">
      <formula>NOT(ISERROR(SEARCH("TIL",AF19)))</formula>
    </cfRule>
    <cfRule type="containsText" dxfId="749" priority="947" stopIfTrue="1" operator="containsText" text="疫苗">
      <formula>NOT(ISERROR(SEARCH("疫苗",AF19)))</formula>
    </cfRule>
    <cfRule type="containsText" dxfId="748" priority="948" stopIfTrue="1" operator="containsText" text="勞假">
      <formula>NOT(ISERROR(SEARCH("勞假",AF19)))</formula>
    </cfRule>
    <cfRule type="containsText" dxfId="747" priority="949" stopIfTrue="1" operator="containsText" text="補假">
      <formula>NOT(ISERROR(SEARCH("補假",AF19)))</formula>
    </cfRule>
    <cfRule type="containsText" dxfId="746" priority="950" stopIfTrue="1" operator="containsText" text="例假">
      <formula>NOT(ISERROR(SEARCH("例假",AF19)))</formula>
    </cfRule>
    <cfRule type="containsText" dxfId="745" priority="951" stopIfTrue="1" operator="containsText" text="病假">
      <formula>NOT(ISERROR(SEARCH("病假",AF19)))</formula>
    </cfRule>
    <cfRule type="containsText" dxfId="744" priority="952" stopIfTrue="1" operator="containsText" text="大假">
      <formula>NOT(ISERROR(SEARCH("大假",AF19)))</formula>
    </cfRule>
    <cfRule type="containsText" dxfId="743" priority="953" stopIfTrue="1" operator="containsText" text="TIL">
      <formula>NOT(ISERROR(SEARCH("TIL",AF19)))</formula>
    </cfRule>
    <cfRule type="cellIs" dxfId="742" priority="954" stopIfTrue="1" operator="equal">
      <formula>"NP"</formula>
    </cfRule>
    <cfRule type="cellIs" dxfId="741" priority="955" stopIfTrue="1" operator="equal">
      <formula>"RD"</formula>
    </cfRule>
    <cfRule type="containsText" dxfId="740" priority="956" stopIfTrue="1" operator="containsText" text="TIL">
      <formula>NOT(ISERROR(SEARCH("TIL",AF19)))</formula>
    </cfRule>
    <cfRule type="containsText" dxfId="739" priority="957" stopIfTrue="1" operator="containsText" text="疫苗">
      <formula>NOT(ISERROR(SEARCH("疫苗",AF19)))</formula>
    </cfRule>
    <cfRule type="containsText" dxfId="738" priority="958" stopIfTrue="1" operator="containsText" text="勞假">
      <formula>NOT(ISERROR(SEARCH("勞假",AF19)))</formula>
    </cfRule>
    <cfRule type="containsText" dxfId="737" priority="959" stopIfTrue="1" operator="containsText" text="補假">
      <formula>NOT(ISERROR(SEARCH("補假",AF19)))</formula>
    </cfRule>
    <cfRule type="containsText" dxfId="736" priority="960" stopIfTrue="1" operator="containsText" text="例假">
      <formula>NOT(ISERROR(SEARCH("例假",AF19)))</formula>
    </cfRule>
    <cfRule type="containsText" dxfId="735" priority="961" stopIfTrue="1" operator="containsText" text="病假">
      <formula>NOT(ISERROR(SEARCH("病假",AF19)))</formula>
    </cfRule>
    <cfRule type="containsText" dxfId="734" priority="962" stopIfTrue="1" operator="containsText" text="大假">
      <formula>NOT(ISERROR(SEARCH("大假",AF19)))</formula>
    </cfRule>
    <cfRule type="containsText" dxfId="733" priority="963" stopIfTrue="1" operator="containsText" text="TIL">
      <formula>NOT(ISERROR(SEARCH("TIL",AF19)))</formula>
    </cfRule>
    <cfRule type="containsText" dxfId="732" priority="964" stopIfTrue="1" operator="containsText" text="疫苗">
      <formula>NOT(ISERROR(SEARCH("疫苗",AF19)))</formula>
    </cfRule>
    <cfRule type="containsText" dxfId="731" priority="965" stopIfTrue="1" operator="containsText" text="勞假">
      <formula>NOT(ISERROR(SEARCH("勞假",AF19)))</formula>
    </cfRule>
    <cfRule type="containsText" dxfId="730" priority="966" stopIfTrue="1" operator="containsText" text="補假">
      <formula>NOT(ISERROR(SEARCH("補假",AF19)))</formula>
    </cfRule>
    <cfRule type="containsText" dxfId="729" priority="967" stopIfTrue="1" operator="containsText" text="例假">
      <formula>NOT(ISERROR(SEARCH("例假",AF19)))</formula>
    </cfRule>
    <cfRule type="containsText" dxfId="728" priority="968" stopIfTrue="1" operator="containsText" text="病假">
      <formula>NOT(ISERROR(SEARCH("病假",AF19)))</formula>
    </cfRule>
    <cfRule type="containsText" dxfId="727" priority="969" stopIfTrue="1" operator="containsText" text="大假">
      <formula>NOT(ISERROR(SEARCH("大假",AF19)))</formula>
    </cfRule>
    <cfRule type="containsText" dxfId="726" priority="970" stopIfTrue="1" operator="containsText" text="無薪">
      <formula>NOT(ISERROR(SEARCH("無薪",AF19)))</formula>
    </cfRule>
    <cfRule type="containsText" dxfId="725" priority="971" stopIfTrue="1" operator="containsText" text="疫苗">
      <formula>NOT(ISERROR(SEARCH("疫苗",AF19)))</formula>
    </cfRule>
    <cfRule type="containsText" dxfId="724" priority="972" stopIfTrue="1" operator="containsText" text="勞假">
      <formula>NOT(ISERROR(SEARCH("勞假",AF19)))</formula>
    </cfRule>
    <cfRule type="containsText" dxfId="723" priority="973" stopIfTrue="1" operator="containsText" text="補假">
      <formula>NOT(ISERROR(SEARCH("補假",AF19)))</formula>
    </cfRule>
    <cfRule type="containsText" dxfId="722" priority="974" stopIfTrue="1" operator="containsText" text="例假">
      <formula>NOT(ISERROR(SEARCH("例假",AF19)))</formula>
    </cfRule>
    <cfRule type="containsText" dxfId="721" priority="975" stopIfTrue="1" operator="containsText" text="病假">
      <formula>NOT(ISERROR(SEARCH("病假",AF19)))</formula>
    </cfRule>
    <cfRule type="containsText" dxfId="720" priority="976" stopIfTrue="1" operator="containsText" text="大假">
      <formula>NOT(ISERROR(SEARCH("大假",AF19)))</formula>
    </cfRule>
    <cfRule type="containsText" dxfId="719" priority="977" stopIfTrue="1" operator="containsText" text="無薪">
      <formula>NOT(ISERROR(SEARCH("無薪",AF19)))</formula>
    </cfRule>
    <cfRule type="containsText" dxfId="718" priority="978" stopIfTrue="1" operator="containsText" text="TIL">
      <formula>NOT(ISERROR(SEARCH("TIL",AF19)))</formula>
    </cfRule>
    <cfRule type="containsText" dxfId="717" priority="979" stopIfTrue="1" operator="containsText" text="疫苗">
      <formula>NOT(ISERROR(SEARCH("疫苗",AF19)))</formula>
    </cfRule>
    <cfRule type="containsText" dxfId="716" priority="980" stopIfTrue="1" operator="containsText" text="勞假">
      <formula>NOT(ISERROR(SEARCH("勞假",AF19)))</formula>
    </cfRule>
    <cfRule type="containsText" dxfId="715" priority="981" stopIfTrue="1" operator="containsText" text="補假">
      <formula>NOT(ISERROR(SEARCH("補假",AF19)))</formula>
    </cfRule>
    <cfRule type="containsText" dxfId="714" priority="982" stopIfTrue="1" operator="containsText" text="例假">
      <formula>NOT(ISERROR(SEARCH("例假",AF19)))</formula>
    </cfRule>
    <cfRule type="containsText" dxfId="713" priority="983" stopIfTrue="1" operator="containsText" text="病假">
      <formula>NOT(ISERROR(SEARCH("病假",AF19)))</formula>
    </cfRule>
    <cfRule type="containsText" dxfId="712" priority="984" stopIfTrue="1" operator="containsText" text="大假">
      <formula>NOT(ISERROR(SEARCH("大假",AF19)))</formula>
    </cfRule>
    <cfRule type="containsText" dxfId="711" priority="985" stopIfTrue="1" operator="containsText" text="無薪">
      <formula>NOT(ISERROR(SEARCH("無薪",AF19)))</formula>
    </cfRule>
    <cfRule type="containsText" dxfId="710" priority="986" stopIfTrue="1" operator="containsText" text="TIL">
      <formula>NOT(ISERROR(SEARCH("TIL",AF19)))</formula>
    </cfRule>
    <cfRule type="containsText" dxfId="709" priority="987" stopIfTrue="1" operator="containsText" text="疫苗">
      <formula>NOT(ISERROR(SEARCH("疫苗",AF19)))</formula>
    </cfRule>
    <cfRule type="containsText" dxfId="708" priority="988" stopIfTrue="1" operator="containsText" text="勞假">
      <formula>NOT(ISERROR(SEARCH("勞假",AF19)))</formula>
    </cfRule>
    <cfRule type="containsText" dxfId="707" priority="989" stopIfTrue="1" operator="containsText" text="補假">
      <formula>NOT(ISERROR(SEARCH("補假",AF19)))</formula>
    </cfRule>
    <cfRule type="containsText" dxfId="706" priority="990" stopIfTrue="1" operator="containsText" text="例假">
      <formula>NOT(ISERROR(SEARCH("例假",AF19)))</formula>
    </cfRule>
    <cfRule type="containsText" dxfId="705" priority="991" stopIfTrue="1" operator="containsText" text="病假">
      <formula>NOT(ISERROR(SEARCH("病假",AF19)))</formula>
    </cfRule>
    <cfRule type="containsText" dxfId="704" priority="992" stopIfTrue="1" operator="containsText" text="大假">
      <formula>NOT(ISERROR(SEARCH("大假",AF19)))</formula>
    </cfRule>
    <cfRule type="containsText" dxfId="703" priority="993" stopIfTrue="1" operator="containsText" text="無薪">
      <formula>NOT(ISERROR(SEARCH("無薪",AF19)))</formula>
    </cfRule>
    <cfRule type="cellIs" dxfId="702" priority="994" operator="equal">
      <formula>"NC"</formula>
    </cfRule>
    <cfRule type="cellIs" dxfId="701" priority="995" operator="equal">
      <formula>"nd"</formula>
    </cfRule>
    <cfRule type="cellIs" dxfId="700" priority="996" operator="equal">
      <formula>0</formula>
    </cfRule>
    <cfRule type="cellIs" dxfId="699" priority="997" operator="equal">
      <formula>"R"</formula>
    </cfRule>
    <cfRule type="cellIs" dxfId="698" priority="998" operator="equal">
      <formula>"NH12"</formula>
    </cfRule>
    <cfRule type="cellIs" dxfId="697" priority="999" operator="equal">
      <formula>"Nh11"</formula>
    </cfRule>
    <cfRule type="containsText" dxfId="696" priority="1000" stopIfTrue="1" operator="containsText" text="TIL">
      <formula>NOT(ISERROR(SEARCH("TIL",AF19)))</formula>
    </cfRule>
    <cfRule type="containsText" dxfId="695" priority="1001" stopIfTrue="1" operator="containsText" text="疫苗">
      <formula>NOT(ISERROR(SEARCH("疫苗",AF19)))</formula>
    </cfRule>
    <cfRule type="containsText" dxfId="694" priority="1002" stopIfTrue="1" operator="containsText" text="勞假">
      <formula>NOT(ISERROR(SEARCH("勞假",AF19)))</formula>
    </cfRule>
    <cfRule type="containsText" dxfId="693" priority="1003" stopIfTrue="1" operator="containsText" text="補假">
      <formula>NOT(ISERROR(SEARCH("補假",AF19)))</formula>
    </cfRule>
    <cfRule type="containsText" dxfId="692" priority="1004" stopIfTrue="1" operator="containsText" text="例假">
      <formula>NOT(ISERROR(SEARCH("例假",AF19)))</formula>
    </cfRule>
    <cfRule type="containsText" dxfId="691" priority="1005" stopIfTrue="1" operator="containsText" text="病假">
      <formula>NOT(ISERROR(SEARCH("病假",AF19)))</formula>
    </cfRule>
    <cfRule type="containsText" dxfId="690" priority="1006" stopIfTrue="1" operator="containsText" text="大假">
      <formula>NOT(ISERROR(SEARCH("大假",AF19)))</formula>
    </cfRule>
    <cfRule type="containsText" dxfId="689" priority="1007" stopIfTrue="1" operator="containsText" text="無薪">
      <formula>NOT(ISERROR(SEARCH("無薪",AF19)))</formula>
    </cfRule>
    <cfRule type="containsText" dxfId="688" priority="1008" stopIfTrue="1" operator="containsText" text="TIL">
      <formula>NOT(ISERROR(SEARCH("TIL",AF19)))</formula>
    </cfRule>
    <cfRule type="containsText" dxfId="687" priority="1009" stopIfTrue="1" operator="containsText" text="疫苗">
      <formula>NOT(ISERROR(SEARCH("疫苗",AF19)))</formula>
    </cfRule>
    <cfRule type="containsText" dxfId="686" priority="1010" stopIfTrue="1" operator="containsText" text="勞假">
      <formula>NOT(ISERROR(SEARCH("勞假",AF19)))</formula>
    </cfRule>
    <cfRule type="containsText" dxfId="685" priority="1011" stopIfTrue="1" operator="containsText" text="補假">
      <formula>NOT(ISERROR(SEARCH("補假",AF19)))</formula>
    </cfRule>
    <cfRule type="containsText" dxfId="684" priority="1012" stopIfTrue="1" operator="containsText" text="例假">
      <formula>NOT(ISERROR(SEARCH("例假",AF19)))</formula>
    </cfRule>
    <cfRule type="containsText" dxfId="683" priority="1013" stopIfTrue="1" operator="containsText" text="病假">
      <formula>NOT(ISERROR(SEARCH("病假",AF19)))</formula>
    </cfRule>
    <cfRule type="containsText" dxfId="682" priority="1014" stopIfTrue="1" operator="containsText" text="大假">
      <formula>NOT(ISERROR(SEARCH("大假",AF19)))</formula>
    </cfRule>
    <cfRule type="containsText" dxfId="681" priority="1015" stopIfTrue="1" operator="containsText" text="無薪">
      <formula>NOT(ISERROR(SEARCH("無薪",AF19)))</formula>
    </cfRule>
    <cfRule type="containsText" dxfId="680" priority="1016" stopIfTrue="1" operator="containsText" text="疫苗">
      <formula>NOT(ISERROR(SEARCH("疫苗",AF19)))</formula>
    </cfRule>
    <cfRule type="containsText" dxfId="679" priority="1017" stopIfTrue="1" operator="containsText" text="勞假">
      <formula>NOT(ISERROR(SEARCH("勞假",AF19)))</formula>
    </cfRule>
    <cfRule type="containsText" dxfId="678" priority="1018" stopIfTrue="1" operator="containsText" text="補假">
      <formula>NOT(ISERROR(SEARCH("補假",AF19)))</formula>
    </cfRule>
    <cfRule type="containsText" dxfId="677" priority="1019" stopIfTrue="1" operator="containsText" text="例假">
      <formula>NOT(ISERROR(SEARCH("例假",AF19)))</formula>
    </cfRule>
    <cfRule type="containsText" dxfId="676" priority="1020" stopIfTrue="1" operator="containsText" text="病假">
      <formula>NOT(ISERROR(SEARCH("病假",AF19)))</formula>
    </cfRule>
    <cfRule type="containsText" dxfId="675" priority="1021" stopIfTrue="1" operator="containsText" text="大假">
      <formula>NOT(ISERROR(SEARCH("大假",AF19)))</formula>
    </cfRule>
  </conditionalFormatting>
  <conditionalFormatting sqref="AF41:AH41">
    <cfRule type="containsText" dxfId="674" priority="666" operator="containsText" text="RD">
      <formula>NOT(ISERROR(SEARCH("RD",AF41)))</formula>
    </cfRule>
    <cfRule type="containsText" dxfId="673" priority="667" operator="containsText" text="NP">
      <formula>NOT(ISERROR(SEARCH("NP",AF41)))</formula>
    </cfRule>
  </conditionalFormatting>
  <conditionalFormatting sqref="AF42:AH42">
    <cfRule type="containsText" dxfId="672" priority="56" stopIfTrue="1" operator="containsText" text="無薪">
      <formula>NOT(ISERROR(SEARCH("無薪",AF42)))</formula>
    </cfRule>
    <cfRule type="containsText" dxfId="671" priority="57" stopIfTrue="1" operator="containsText" text="TIL">
      <formula>NOT(ISERROR(SEARCH("TIL",AF42)))</formula>
    </cfRule>
    <cfRule type="containsText" dxfId="670" priority="58" stopIfTrue="1" operator="containsText" text="疫苗">
      <formula>NOT(ISERROR(SEARCH("疫苗",AF42)))</formula>
    </cfRule>
    <cfRule type="containsText" dxfId="669" priority="59" stopIfTrue="1" operator="containsText" text="勞假">
      <formula>NOT(ISERROR(SEARCH("勞假",AF42)))</formula>
    </cfRule>
    <cfRule type="containsText" dxfId="668" priority="60" stopIfTrue="1" operator="containsText" text="補假">
      <formula>NOT(ISERROR(SEARCH("補假",AF42)))</formula>
    </cfRule>
    <cfRule type="containsText" dxfId="667" priority="61" stopIfTrue="1" operator="containsText" text="例假">
      <formula>NOT(ISERROR(SEARCH("例假",AF42)))</formula>
    </cfRule>
    <cfRule type="containsText" dxfId="666" priority="62" stopIfTrue="1" operator="containsText" text="病假">
      <formula>NOT(ISERROR(SEARCH("病假",AF42)))</formula>
    </cfRule>
    <cfRule type="containsText" dxfId="665" priority="63" stopIfTrue="1" operator="containsText" text="大假">
      <formula>NOT(ISERROR(SEARCH("大假",AF42)))</formula>
    </cfRule>
    <cfRule type="containsText" dxfId="664" priority="64" stopIfTrue="1" operator="containsText" text="無薪">
      <formula>NOT(ISERROR(SEARCH("無薪",AF42)))</formula>
    </cfRule>
    <cfRule type="containsText" dxfId="663" priority="65" stopIfTrue="1" operator="containsText" text="TIL">
      <formula>NOT(ISERROR(SEARCH("TIL",AF42)))</formula>
    </cfRule>
    <cfRule type="containsText" dxfId="662" priority="66" stopIfTrue="1" operator="containsText" text="疫苗">
      <formula>NOT(ISERROR(SEARCH("疫苗",AF42)))</formula>
    </cfRule>
    <cfRule type="containsText" dxfId="661" priority="67" stopIfTrue="1" operator="containsText" text="勞假">
      <formula>NOT(ISERROR(SEARCH("勞假",AF42)))</formula>
    </cfRule>
    <cfRule type="containsText" dxfId="660" priority="68" stopIfTrue="1" operator="containsText" text="補假">
      <formula>NOT(ISERROR(SEARCH("補假",AF42)))</formula>
    </cfRule>
    <cfRule type="containsText" dxfId="659" priority="69" stopIfTrue="1" operator="containsText" text="例假">
      <formula>NOT(ISERROR(SEARCH("例假",AF42)))</formula>
    </cfRule>
    <cfRule type="containsText" dxfId="658" priority="70" stopIfTrue="1" operator="containsText" text="病假">
      <formula>NOT(ISERROR(SEARCH("病假",AF42)))</formula>
    </cfRule>
    <cfRule type="containsText" dxfId="657" priority="71" stopIfTrue="1" operator="containsText" text="大假">
      <formula>NOT(ISERROR(SEARCH("大假",AF42)))</formula>
    </cfRule>
    <cfRule type="containsText" dxfId="656" priority="72" stopIfTrue="1" operator="containsText" text="TIL">
      <formula>NOT(ISERROR(SEARCH("TIL",AF42)))</formula>
    </cfRule>
    <cfRule type="cellIs" dxfId="655" priority="73" stopIfTrue="1" operator="equal">
      <formula>"NP"</formula>
    </cfRule>
    <cfRule type="cellIs" dxfId="654" priority="74" stopIfTrue="1" operator="equal">
      <formula>"RD"</formula>
    </cfRule>
    <cfRule type="containsText" dxfId="653" priority="75" stopIfTrue="1" operator="containsText" text="TIL">
      <formula>NOT(ISERROR(SEARCH("TIL",AF42)))</formula>
    </cfRule>
    <cfRule type="containsText" dxfId="652" priority="76" stopIfTrue="1" operator="containsText" text="疫苗">
      <formula>NOT(ISERROR(SEARCH("疫苗",AF42)))</formula>
    </cfRule>
    <cfRule type="containsText" dxfId="651" priority="77" stopIfTrue="1" operator="containsText" text="勞假">
      <formula>NOT(ISERROR(SEARCH("勞假",AF42)))</formula>
    </cfRule>
    <cfRule type="containsText" dxfId="650" priority="78" stopIfTrue="1" operator="containsText" text="補假">
      <formula>NOT(ISERROR(SEARCH("補假",AF42)))</formula>
    </cfRule>
    <cfRule type="containsText" dxfId="649" priority="79" stopIfTrue="1" operator="containsText" text="例假">
      <formula>NOT(ISERROR(SEARCH("例假",AF42)))</formula>
    </cfRule>
    <cfRule type="containsText" dxfId="648" priority="80" stopIfTrue="1" operator="containsText" text="病假">
      <formula>NOT(ISERROR(SEARCH("病假",AF42)))</formula>
    </cfRule>
    <cfRule type="containsText" dxfId="647" priority="81" stopIfTrue="1" operator="containsText" text="大假">
      <formula>NOT(ISERROR(SEARCH("大假",AF42)))</formula>
    </cfRule>
    <cfRule type="containsText" dxfId="646" priority="82" stopIfTrue="1" operator="containsText" text="TIL">
      <formula>NOT(ISERROR(SEARCH("TIL",AF42)))</formula>
    </cfRule>
    <cfRule type="containsText" dxfId="645" priority="83" stopIfTrue="1" operator="containsText" text="疫苗">
      <formula>NOT(ISERROR(SEARCH("疫苗",AF42)))</formula>
    </cfRule>
    <cfRule type="containsText" dxfId="644" priority="84" stopIfTrue="1" operator="containsText" text="勞假">
      <formula>NOT(ISERROR(SEARCH("勞假",AF42)))</formula>
    </cfRule>
    <cfRule type="containsText" dxfId="643" priority="85" stopIfTrue="1" operator="containsText" text="補假">
      <formula>NOT(ISERROR(SEARCH("補假",AF42)))</formula>
    </cfRule>
    <cfRule type="containsText" dxfId="642" priority="86" stopIfTrue="1" operator="containsText" text="例假">
      <formula>NOT(ISERROR(SEARCH("例假",AF42)))</formula>
    </cfRule>
    <cfRule type="containsText" dxfId="641" priority="87" stopIfTrue="1" operator="containsText" text="病假">
      <formula>NOT(ISERROR(SEARCH("病假",AF42)))</formula>
    </cfRule>
    <cfRule type="containsText" dxfId="640" priority="88" stopIfTrue="1" operator="containsText" text="大假">
      <formula>NOT(ISERROR(SEARCH("大假",AF42)))</formula>
    </cfRule>
    <cfRule type="containsText" dxfId="639" priority="89" stopIfTrue="1" operator="containsText" text="無薪">
      <formula>NOT(ISERROR(SEARCH("無薪",AF42)))</formula>
    </cfRule>
    <cfRule type="containsText" dxfId="638" priority="90" stopIfTrue="1" operator="containsText" text="疫苗">
      <formula>NOT(ISERROR(SEARCH("疫苗",AF42)))</formula>
    </cfRule>
    <cfRule type="containsText" dxfId="637" priority="91" stopIfTrue="1" operator="containsText" text="勞假">
      <formula>NOT(ISERROR(SEARCH("勞假",AF42)))</formula>
    </cfRule>
    <cfRule type="containsText" dxfId="636" priority="92" stopIfTrue="1" operator="containsText" text="補假">
      <formula>NOT(ISERROR(SEARCH("補假",AF42)))</formula>
    </cfRule>
    <cfRule type="containsText" dxfId="635" priority="93" stopIfTrue="1" operator="containsText" text="例假">
      <formula>NOT(ISERROR(SEARCH("例假",AF42)))</formula>
    </cfRule>
    <cfRule type="containsText" dxfId="634" priority="94" stopIfTrue="1" operator="containsText" text="病假">
      <formula>NOT(ISERROR(SEARCH("病假",AF42)))</formula>
    </cfRule>
    <cfRule type="containsText" dxfId="633" priority="95" stopIfTrue="1" operator="containsText" text="大假">
      <formula>NOT(ISERROR(SEARCH("大假",AF42)))</formula>
    </cfRule>
    <cfRule type="containsText" dxfId="632" priority="96" stopIfTrue="1" operator="containsText" text="無薪">
      <formula>NOT(ISERROR(SEARCH("無薪",AF42)))</formula>
    </cfRule>
    <cfRule type="containsText" dxfId="631" priority="97" stopIfTrue="1" operator="containsText" text="TIL">
      <formula>NOT(ISERROR(SEARCH("TIL",AF42)))</formula>
    </cfRule>
    <cfRule type="containsText" dxfId="630" priority="98" stopIfTrue="1" operator="containsText" text="疫苗">
      <formula>NOT(ISERROR(SEARCH("疫苗",AF42)))</formula>
    </cfRule>
    <cfRule type="containsText" dxfId="629" priority="99" stopIfTrue="1" operator="containsText" text="勞假">
      <formula>NOT(ISERROR(SEARCH("勞假",AF42)))</formula>
    </cfRule>
    <cfRule type="containsText" dxfId="628" priority="100" stopIfTrue="1" operator="containsText" text="補假">
      <formula>NOT(ISERROR(SEARCH("補假",AF42)))</formula>
    </cfRule>
    <cfRule type="containsText" dxfId="627" priority="101" stopIfTrue="1" operator="containsText" text="例假">
      <formula>NOT(ISERROR(SEARCH("例假",AF42)))</formula>
    </cfRule>
    <cfRule type="containsText" dxfId="626" priority="102" stopIfTrue="1" operator="containsText" text="病假">
      <formula>NOT(ISERROR(SEARCH("病假",AF42)))</formula>
    </cfRule>
    <cfRule type="containsText" dxfId="625" priority="103" stopIfTrue="1" operator="containsText" text="大假">
      <formula>NOT(ISERROR(SEARCH("大假",AF42)))</formula>
    </cfRule>
    <cfRule type="containsText" dxfId="624" priority="104" stopIfTrue="1" operator="containsText" text="無薪">
      <formula>NOT(ISERROR(SEARCH("無薪",AF42)))</formula>
    </cfRule>
    <cfRule type="containsText" dxfId="623" priority="105" stopIfTrue="1" operator="containsText" text="TIL">
      <formula>NOT(ISERROR(SEARCH("TIL",AF42)))</formula>
    </cfRule>
    <cfRule type="containsText" dxfId="622" priority="106" stopIfTrue="1" operator="containsText" text="疫苗">
      <formula>NOT(ISERROR(SEARCH("疫苗",AF42)))</formula>
    </cfRule>
    <cfRule type="containsText" dxfId="621" priority="107" stopIfTrue="1" operator="containsText" text="勞假">
      <formula>NOT(ISERROR(SEARCH("勞假",AF42)))</formula>
    </cfRule>
    <cfRule type="containsText" dxfId="620" priority="108" stopIfTrue="1" operator="containsText" text="補假">
      <formula>NOT(ISERROR(SEARCH("補假",AF42)))</formula>
    </cfRule>
    <cfRule type="containsText" dxfId="619" priority="109" stopIfTrue="1" operator="containsText" text="例假">
      <formula>NOT(ISERROR(SEARCH("例假",AF42)))</formula>
    </cfRule>
    <cfRule type="containsText" dxfId="618" priority="110" stopIfTrue="1" operator="containsText" text="病假">
      <formula>NOT(ISERROR(SEARCH("病假",AF42)))</formula>
    </cfRule>
    <cfRule type="containsText" dxfId="617" priority="111" stopIfTrue="1" operator="containsText" text="大假">
      <formula>NOT(ISERROR(SEARCH("大假",AF42)))</formula>
    </cfRule>
    <cfRule type="containsText" dxfId="616" priority="112" stopIfTrue="1" operator="containsText" text="無薪">
      <formula>NOT(ISERROR(SEARCH("無薪",AF42)))</formula>
    </cfRule>
    <cfRule type="cellIs" dxfId="615" priority="113" operator="equal">
      <formula>"NC"</formula>
    </cfRule>
    <cfRule type="cellIs" dxfId="614" priority="114" operator="equal">
      <formula>"nd"</formula>
    </cfRule>
    <cfRule type="cellIs" dxfId="613" priority="115" operator="equal">
      <formula>0</formula>
    </cfRule>
    <cfRule type="cellIs" dxfId="612" priority="116" operator="equal">
      <formula>"R"</formula>
    </cfRule>
    <cfRule type="cellIs" dxfId="611" priority="117" operator="equal">
      <formula>"NH12"</formula>
    </cfRule>
    <cfRule type="cellIs" dxfId="610" priority="118" operator="equal">
      <formula>"Nh11"</formula>
    </cfRule>
    <cfRule type="containsText" dxfId="609" priority="119" stopIfTrue="1" operator="containsText" text="TIL">
      <formula>NOT(ISERROR(SEARCH("TIL",AF42)))</formula>
    </cfRule>
    <cfRule type="containsText" dxfId="608" priority="120" stopIfTrue="1" operator="containsText" text="疫苗">
      <formula>NOT(ISERROR(SEARCH("疫苗",AF42)))</formula>
    </cfRule>
    <cfRule type="containsText" dxfId="607" priority="121" stopIfTrue="1" operator="containsText" text="勞假">
      <formula>NOT(ISERROR(SEARCH("勞假",AF42)))</formula>
    </cfRule>
    <cfRule type="containsText" dxfId="606" priority="122" stopIfTrue="1" operator="containsText" text="補假">
      <formula>NOT(ISERROR(SEARCH("補假",AF42)))</formula>
    </cfRule>
    <cfRule type="containsText" dxfId="605" priority="123" stopIfTrue="1" operator="containsText" text="例假">
      <formula>NOT(ISERROR(SEARCH("例假",AF42)))</formula>
    </cfRule>
    <cfRule type="containsText" dxfId="604" priority="124" stopIfTrue="1" operator="containsText" text="病假">
      <formula>NOT(ISERROR(SEARCH("病假",AF42)))</formula>
    </cfRule>
    <cfRule type="containsText" dxfId="603" priority="125" stopIfTrue="1" operator="containsText" text="大假">
      <formula>NOT(ISERROR(SEARCH("大假",AF42)))</formula>
    </cfRule>
    <cfRule type="containsText" dxfId="602" priority="126" stopIfTrue="1" operator="containsText" text="無薪">
      <formula>NOT(ISERROR(SEARCH("無薪",AF42)))</formula>
    </cfRule>
    <cfRule type="containsText" dxfId="601" priority="127" stopIfTrue="1" operator="containsText" text="TIL">
      <formula>NOT(ISERROR(SEARCH("TIL",AF42)))</formula>
    </cfRule>
    <cfRule type="containsText" dxfId="600" priority="128" stopIfTrue="1" operator="containsText" text="疫苗">
      <formula>NOT(ISERROR(SEARCH("疫苗",AF42)))</formula>
    </cfRule>
    <cfRule type="containsText" dxfId="599" priority="129" stopIfTrue="1" operator="containsText" text="勞假">
      <formula>NOT(ISERROR(SEARCH("勞假",AF42)))</formula>
    </cfRule>
    <cfRule type="containsText" dxfId="598" priority="130" stopIfTrue="1" operator="containsText" text="補假">
      <formula>NOT(ISERROR(SEARCH("補假",AF42)))</formula>
    </cfRule>
    <cfRule type="containsText" dxfId="597" priority="131" stopIfTrue="1" operator="containsText" text="例假">
      <formula>NOT(ISERROR(SEARCH("例假",AF42)))</formula>
    </cfRule>
    <cfRule type="containsText" dxfId="596" priority="132" stopIfTrue="1" operator="containsText" text="病假">
      <formula>NOT(ISERROR(SEARCH("病假",AF42)))</formula>
    </cfRule>
    <cfRule type="containsText" dxfId="595" priority="133" stopIfTrue="1" operator="containsText" text="大假">
      <formula>NOT(ISERROR(SEARCH("大假",AF42)))</formula>
    </cfRule>
    <cfRule type="containsText" dxfId="594" priority="134" stopIfTrue="1" operator="containsText" text="無薪">
      <formula>NOT(ISERROR(SEARCH("無薪",AF42)))</formula>
    </cfRule>
    <cfRule type="containsText" dxfId="593" priority="135" stopIfTrue="1" operator="containsText" text="疫苗">
      <formula>NOT(ISERROR(SEARCH("疫苗",AF42)))</formula>
    </cfRule>
    <cfRule type="containsText" dxfId="592" priority="136" stopIfTrue="1" operator="containsText" text="勞假">
      <formula>NOT(ISERROR(SEARCH("勞假",AF42)))</formula>
    </cfRule>
    <cfRule type="containsText" dxfId="591" priority="137" stopIfTrue="1" operator="containsText" text="補假">
      <formula>NOT(ISERROR(SEARCH("補假",AF42)))</formula>
    </cfRule>
    <cfRule type="containsText" dxfId="590" priority="138" stopIfTrue="1" operator="containsText" text="例假">
      <formula>NOT(ISERROR(SEARCH("例假",AF42)))</formula>
    </cfRule>
    <cfRule type="containsText" dxfId="589" priority="139" stopIfTrue="1" operator="containsText" text="病假">
      <formula>NOT(ISERROR(SEARCH("病假",AF42)))</formula>
    </cfRule>
    <cfRule type="containsText" dxfId="588" priority="140" stopIfTrue="1" operator="containsText" text="大假">
      <formula>NOT(ISERROR(SEARCH("大假",AF42)))</formula>
    </cfRule>
    <cfRule type="cellIs" dxfId="587" priority="141" operator="equal">
      <formula>"NSH"</formula>
    </cfRule>
    <cfRule type="containsText" dxfId="586" priority="145" operator="containsText" text="RD">
      <formula>NOT(ISERROR(SEARCH("RD",AF42)))</formula>
    </cfRule>
    <cfRule type="containsText" dxfId="585" priority="146" operator="containsText" text="NP">
      <formula>NOT(ISERROR(SEARCH("NP",AF42)))</formula>
    </cfRule>
  </conditionalFormatting>
  <conditionalFormatting sqref="AF43:AH43">
    <cfRule type="cellIs" dxfId="584" priority="845" operator="equal">
      <formula>"NSH"</formula>
    </cfRule>
  </conditionalFormatting>
  <conditionalFormatting sqref="AF43:AH43">
    <cfRule type="containsText" dxfId="583" priority="760" stopIfTrue="1" operator="containsText" text="無薪">
      <formula>NOT(ISERROR(SEARCH("無薪",AF43)))</formula>
    </cfRule>
    <cfRule type="containsText" dxfId="582" priority="761" stopIfTrue="1" operator="containsText" text="TIL">
      <formula>NOT(ISERROR(SEARCH("TIL",AF43)))</formula>
    </cfRule>
    <cfRule type="containsText" dxfId="581" priority="762" stopIfTrue="1" operator="containsText" text="疫苗">
      <formula>NOT(ISERROR(SEARCH("疫苗",AF43)))</formula>
    </cfRule>
    <cfRule type="containsText" dxfId="580" priority="763" stopIfTrue="1" operator="containsText" text="勞假">
      <formula>NOT(ISERROR(SEARCH("勞假",AF43)))</formula>
    </cfRule>
    <cfRule type="containsText" dxfId="579" priority="764" stopIfTrue="1" operator="containsText" text="補假">
      <formula>NOT(ISERROR(SEARCH("補假",AF43)))</formula>
    </cfRule>
    <cfRule type="containsText" dxfId="578" priority="765" stopIfTrue="1" operator="containsText" text="例假">
      <formula>NOT(ISERROR(SEARCH("例假",AF43)))</formula>
    </cfRule>
    <cfRule type="containsText" dxfId="577" priority="766" stopIfTrue="1" operator="containsText" text="病假">
      <formula>NOT(ISERROR(SEARCH("病假",AF43)))</formula>
    </cfRule>
    <cfRule type="containsText" dxfId="576" priority="767" stopIfTrue="1" operator="containsText" text="大假">
      <formula>NOT(ISERROR(SEARCH("大假",AF43)))</formula>
    </cfRule>
    <cfRule type="containsText" dxfId="575" priority="768" stopIfTrue="1" operator="containsText" text="無薪">
      <formula>NOT(ISERROR(SEARCH("無薪",AF43)))</formula>
    </cfRule>
    <cfRule type="containsText" dxfId="574" priority="769" stopIfTrue="1" operator="containsText" text="TIL">
      <formula>NOT(ISERROR(SEARCH("TIL",AF43)))</formula>
    </cfRule>
    <cfRule type="containsText" dxfId="573" priority="770" stopIfTrue="1" operator="containsText" text="疫苗">
      <formula>NOT(ISERROR(SEARCH("疫苗",AF43)))</formula>
    </cfRule>
    <cfRule type="containsText" dxfId="572" priority="771" stopIfTrue="1" operator="containsText" text="勞假">
      <formula>NOT(ISERROR(SEARCH("勞假",AF43)))</formula>
    </cfRule>
    <cfRule type="containsText" dxfId="571" priority="772" stopIfTrue="1" operator="containsText" text="補假">
      <formula>NOT(ISERROR(SEARCH("補假",AF43)))</formula>
    </cfRule>
    <cfRule type="containsText" dxfId="570" priority="773" stopIfTrue="1" operator="containsText" text="例假">
      <formula>NOT(ISERROR(SEARCH("例假",AF43)))</formula>
    </cfRule>
    <cfRule type="containsText" dxfId="569" priority="774" stopIfTrue="1" operator="containsText" text="病假">
      <formula>NOT(ISERROR(SEARCH("病假",AF43)))</formula>
    </cfRule>
    <cfRule type="containsText" dxfId="568" priority="775" stopIfTrue="1" operator="containsText" text="大假">
      <formula>NOT(ISERROR(SEARCH("大假",AF43)))</formula>
    </cfRule>
    <cfRule type="containsText" dxfId="567" priority="776" stopIfTrue="1" operator="containsText" text="TIL">
      <formula>NOT(ISERROR(SEARCH("TIL",AF43)))</formula>
    </cfRule>
    <cfRule type="cellIs" dxfId="566" priority="777" stopIfTrue="1" operator="equal">
      <formula>"NP"</formula>
    </cfRule>
    <cfRule type="cellIs" dxfId="565" priority="778" stopIfTrue="1" operator="equal">
      <formula>"RD"</formula>
    </cfRule>
    <cfRule type="containsText" dxfId="564" priority="779" stopIfTrue="1" operator="containsText" text="TIL">
      <formula>NOT(ISERROR(SEARCH("TIL",AF43)))</formula>
    </cfRule>
    <cfRule type="containsText" dxfId="563" priority="780" stopIfTrue="1" operator="containsText" text="疫苗">
      <formula>NOT(ISERROR(SEARCH("疫苗",AF43)))</formula>
    </cfRule>
    <cfRule type="containsText" dxfId="562" priority="781" stopIfTrue="1" operator="containsText" text="勞假">
      <formula>NOT(ISERROR(SEARCH("勞假",AF43)))</formula>
    </cfRule>
    <cfRule type="containsText" dxfId="561" priority="782" stopIfTrue="1" operator="containsText" text="補假">
      <formula>NOT(ISERROR(SEARCH("補假",AF43)))</formula>
    </cfRule>
    <cfRule type="containsText" dxfId="560" priority="783" stopIfTrue="1" operator="containsText" text="例假">
      <formula>NOT(ISERROR(SEARCH("例假",AF43)))</formula>
    </cfRule>
    <cfRule type="containsText" dxfId="559" priority="784" stopIfTrue="1" operator="containsText" text="病假">
      <formula>NOT(ISERROR(SEARCH("病假",AF43)))</formula>
    </cfRule>
    <cfRule type="containsText" dxfId="558" priority="785" stopIfTrue="1" operator="containsText" text="大假">
      <formula>NOT(ISERROR(SEARCH("大假",AF43)))</formula>
    </cfRule>
    <cfRule type="containsText" dxfId="557" priority="786" stopIfTrue="1" operator="containsText" text="TIL">
      <formula>NOT(ISERROR(SEARCH("TIL",AF43)))</formula>
    </cfRule>
    <cfRule type="containsText" dxfId="556" priority="787" stopIfTrue="1" operator="containsText" text="疫苗">
      <formula>NOT(ISERROR(SEARCH("疫苗",AF43)))</formula>
    </cfRule>
    <cfRule type="containsText" dxfId="555" priority="788" stopIfTrue="1" operator="containsText" text="勞假">
      <formula>NOT(ISERROR(SEARCH("勞假",AF43)))</formula>
    </cfRule>
    <cfRule type="containsText" dxfId="554" priority="789" stopIfTrue="1" operator="containsText" text="補假">
      <formula>NOT(ISERROR(SEARCH("補假",AF43)))</formula>
    </cfRule>
    <cfRule type="containsText" dxfId="553" priority="790" stopIfTrue="1" operator="containsText" text="例假">
      <formula>NOT(ISERROR(SEARCH("例假",AF43)))</formula>
    </cfRule>
    <cfRule type="containsText" dxfId="552" priority="791" stopIfTrue="1" operator="containsText" text="病假">
      <formula>NOT(ISERROR(SEARCH("病假",AF43)))</formula>
    </cfRule>
    <cfRule type="containsText" dxfId="551" priority="792" stopIfTrue="1" operator="containsText" text="大假">
      <formula>NOT(ISERROR(SEARCH("大假",AF43)))</formula>
    </cfRule>
    <cfRule type="containsText" dxfId="550" priority="793" stopIfTrue="1" operator="containsText" text="無薪">
      <formula>NOT(ISERROR(SEARCH("無薪",AF43)))</formula>
    </cfRule>
    <cfRule type="containsText" dxfId="549" priority="794" stopIfTrue="1" operator="containsText" text="疫苗">
      <formula>NOT(ISERROR(SEARCH("疫苗",AF43)))</formula>
    </cfRule>
    <cfRule type="containsText" dxfId="548" priority="795" stopIfTrue="1" operator="containsText" text="勞假">
      <formula>NOT(ISERROR(SEARCH("勞假",AF43)))</formula>
    </cfRule>
    <cfRule type="containsText" dxfId="547" priority="796" stopIfTrue="1" operator="containsText" text="補假">
      <formula>NOT(ISERROR(SEARCH("補假",AF43)))</formula>
    </cfRule>
    <cfRule type="containsText" dxfId="546" priority="797" stopIfTrue="1" operator="containsText" text="例假">
      <formula>NOT(ISERROR(SEARCH("例假",AF43)))</formula>
    </cfRule>
    <cfRule type="containsText" dxfId="545" priority="798" stopIfTrue="1" operator="containsText" text="病假">
      <formula>NOT(ISERROR(SEARCH("病假",AF43)))</formula>
    </cfRule>
    <cfRule type="containsText" dxfId="544" priority="799" stopIfTrue="1" operator="containsText" text="大假">
      <formula>NOT(ISERROR(SEARCH("大假",AF43)))</formula>
    </cfRule>
    <cfRule type="containsText" dxfId="543" priority="800" stopIfTrue="1" operator="containsText" text="無薪">
      <formula>NOT(ISERROR(SEARCH("無薪",AF43)))</formula>
    </cfRule>
    <cfRule type="containsText" dxfId="542" priority="801" stopIfTrue="1" operator="containsText" text="TIL">
      <formula>NOT(ISERROR(SEARCH("TIL",AF43)))</formula>
    </cfRule>
    <cfRule type="containsText" dxfId="541" priority="802" stopIfTrue="1" operator="containsText" text="疫苗">
      <formula>NOT(ISERROR(SEARCH("疫苗",AF43)))</formula>
    </cfRule>
    <cfRule type="containsText" dxfId="540" priority="803" stopIfTrue="1" operator="containsText" text="勞假">
      <formula>NOT(ISERROR(SEARCH("勞假",AF43)))</formula>
    </cfRule>
    <cfRule type="containsText" dxfId="539" priority="804" stopIfTrue="1" operator="containsText" text="補假">
      <formula>NOT(ISERROR(SEARCH("補假",AF43)))</formula>
    </cfRule>
    <cfRule type="containsText" dxfId="538" priority="805" stopIfTrue="1" operator="containsText" text="例假">
      <formula>NOT(ISERROR(SEARCH("例假",AF43)))</formula>
    </cfRule>
    <cfRule type="containsText" dxfId="537" priority="806" stopIfTrue="1" operator="containsText" text="病假">
      <formula>NOT(ISERROR(SEARCH("病假",AF43)))</formula>
    </cfRule>
    <cfRule type="containsText" dxfId="536" priority="807" stopIfTrue="1" operator="containsText" text="大假">
      <formula>NOT(ISERROR(SEARCH("大假",AF43)))</formula>
    </cfRule>
    <cfRule type="containsText" dxfId="535" priority="808" stopIfTrue="1" operator="containsText" text="無薪">
      <formula>NOT(ISERROR(SEARCH("無薪",AF43)))</formula>
    </cfRule>
    <cfRule type="containsText" dxfId="534" priority="809" stopIfTrue="1" operator="containsText" text="TIL">
      <formula>NOT(ISERROR(SEARCH("TIL",AF43)))</formula>
    </cfRule>
    <cfRule type="containsText" dxfId="533" priority="810" stopIfTrue="1" operator="containsText" text="疫苗">
      <formula>NOT(ISERROR(SEARCH("疫苗",AF43)))</formula>
    </cfRule>
    <cfRule type="containsText" dxfId="532" priority="811" stopIfTrue="1" operator="containsText" text="勞假">
      <formula>NOT(ISERROR(SEARCH("勞假",AF43)))</formula>
    </cfRule>
    <cfRule type="containsText" dxfId="531" priority="812" stopIfTrue="1" operator="containsText" text="補假">
      <formula>NOT(ISERROR(SEARCH("補假",AF43)))</formula>
    </cfRule>
    <cfRule type="containsText" dxfId="530" priority="813" stopIfTrue="1" operator="containsText" text="例假">
      <formula>NOT(ISERROR(SEARCH("例假",AF43)))</formula>
    </cfRule>
    <cfRule type="containsText" dxfId="529" priority="814" stopIfTrue="1" operator="containsText" text="病假">
      <formula>NOT(ISERROR(SEARCH("病假",AF43)))</formula>
    </cfRule>
    <cfRule type="containsText" dxfId="528" priority="815" stopIfTrue="1" operator="containsText" text="大假">
      <formula>NOT(ISERROR(SEARCH("大假",AF43)))</formula>
    </cfRule>
    <cfRule type="containsText" dxfId="527" priority="816" stopIfTrue="1" operator="containsText" text="無薪">
      <formula>NOT(ISERROR(SEARCH("無薪",AF43)))</formula>
    </cfRule>
    <cfRule type="cellIs" dxfId="526" priority="817" operator="equal">
      <formula>"NC"</formula>
    </cfRule>
    <cfRule type="cellIs" dxfId="525" priority="818" operator="equal">
      <formula>"nd"</formula>
    </cfRule>
    <cfRule type="cellIs" dxfId="524" priority="819" operator="equal">
      <formula>0</formula>
    </cfRule>
    <cfRule type="cellIs" dxfId="523" priority="820" operator="equal">
      <formula>"R"</formula>
    </cfRule>
    <cfRule type="cellIs" dxfId="522" priority="821" operator="equal">
      <formula>"NH12"</formula>
    </cfRule>
    <cfRule type="cellIs" dxfId="521" priority="822" operator="equal">
      <formula>"Nh11"</formula>
    </cfRule>
    <cfRule type="containsText" dxfId="520" priority="823" stopIfTrue="1" operator="containsText" text="TIL">
      <formula>NOT(ISERROR(SEARCH("TIL",AF43)))</formula>
    </cfRule>
    <cfRule type="containsText" dxfId="519" priority="824" stopIfTrue="1" operator="containsText" text="疫苗">
      <formula>NOT(ISERROR(SEARCH("疫苗",AF43)))</formula>
    </cfRule>
    <cfRule type="containsText" dxfId="518" priority="825" stopIfTrue="1" operator="containsText" text="勞假">
      <formula>NOT(ISERROR(SEARCH("勞假",AF43)))</formula>
    </cfRule>
    <cfRule type="containsText" dxfId="517" priority="826" stopIfTrue="1" operator="containsText" text="補假">
      <formula>NOT(ISERROR(SEARCH("補假",AF43)))</formula>
    </cfRule>
    <cfRule type="containsText" dxfId="516" priority="827" stopIfTrue="1" operator="containsText" text="例假">
      <formula>NOT(ISERROR(SEARCH("例假",AF43)))</formula>
    </cfRule>
    <cfRule type="containsText" dxfId="515" priority="828" stopIfTrue="1" operator="containsText" text="病假">
      <formula>NOT(ISERROR(SEARCH("病假",AF43)))</formula>
    </cfRule>
    <cfRule type="containsText" dxfId="514" priority="829" stopIfTrue="1" operator="containsText" text="大假">
      <formula>NOT(ISERROR(SEARCH("大假",AF43)))</formula>
    </cfRule>
    <cfRule type="containsText" dxfId="513" priority="830" stopIfTrue="1" operator="containsText" text="無薪">
      <formula>NOT(ISERROR(SEARCH("無薪",AF43)))</formula>
    </cfRule>
    <cfRule type="containsText" dxfId="512" priority="831" stopIfTrue="1" operator="containsText" text="TIL">
      <formula>NOT(ISERROR(SEARCH("TIL",AF43)))</formula>
    </cfRule>
    <cfRule type="containsText" dxfId="511" priority="832" stopIfTrue="1" operator="containsText" text="疫苗">
      <formula>NOT(ISERROR(SEARCH("疫苗",AF43)))</formula>
    </cfRule>
    <cfRule type="containsText" dxfId="510" priority="833" stopIfTrue="1" operator="containsText" text="勞假">
      <formula>NOT(ISERROR(SEARCH("勞假",AF43)))</formula>
    </cfRule>
    <cfRule type="containsText" dxfId="509" priority="834" stopIfTrue="1" operator="containsText" text="補假">
      <formula>NOT(ISERROR(SEARCH("補假",AF43)))</formula>
    </cfRule>
    <cfRule type="containsText" dxfId="508" priority="835" stopIfTrue="1" operator="containsText" text="例假">
      <formula>NOT(ISERROR(SEARCH("例假",AF43)))</formula>
    </cfRule>
    <cfRule type="containsText" dxfId="507" priority="836" stopIfTrue="1" operator="containsText" text="病假">
      <formula>NOT(ISERROR(SEARCH("病假",AF43)))</formula>
    </cfRule>
    <cfRule type="containsText" dxfId="506" priority="837" stopIfTrue="1" operator="containsText" text="大假">
      <formula>NOT(ISERROR(SEARCH("大假",AF43)))</formula>
    </cfRule>
    <cfRule type="containsText" dxfId="505" priority="838" stopIfTrue="1" operator="containsText" text="無薪">
      <formula>NOT(ISERROR(SEARCH("無薪",AF43)))</formula>
    </cfRule>
    <cfRule type="containsText" dxfId="504" priority="839" stopIfTrue="1" operator="containsText" text="疫苗">
      <formula>NOT(ISERROR(SEARCH("疫苗",AF43)))</formula>
    </cfRule>
    <cfRule type="containsText" dxfId="503" priority="840" stopIfTrue="1" operator="containsText" text="勞假">
      <formula>NOT(ISERROR(SEARCH("勞假",AF43)))</formula>
    </cfRule>
    <cfRule type="containsText" dxfId="502" priority="841" stopIfTrue="1" operator="containsText" text="補假">
      <formula>NOT(ISERROR(SEARCH("補假",AF43)))</formula>
    </cfRule>
    <cfRule type="containsText" dxfId="501" priority="842" stopIfTrue="1" operator="containsText" text="例假">
      <formula>NOT(ISERROR(SEARCH("例假",AF43)))</formula>
    </cfRule>
    <cfRule type="containsText" dxfId="500" priority="843" stopIfTrue="1" operator="containsText" text="病假">
      <formula>NOT(ISERROR(SEARCH("病假",AF43)))</formula>
    </cfRule>
    <cfRule type="containsText" dxfId="499" priority="844" stopIfTrue="1" operator="containsText" text="大假">
      <formula>NOT(ISERROR(SEARCH("大假",AF43)))</formula>
    </cfRule>
    <cfRule type="containsText" dxfId="498" priority="849" operator="containsText" text="RD">
      <formula>NOT(ISERROR(SEARCH("RD",AF43)))</formula>
    </cfRule>
    <cfRule type="containsText" dxfId="497" priority="850" operator="containsText" text="NP">
      <formula>NOT(ISERROR(SEARCH("NP",AF43)))</formula>
    </cfRule>
  </conditionalFormatting>
  <conditionalFormatting sqref="AF11:AG11">
    <cfRule type="containsText" dxfId="496" priority="572" operator="containsText" text="RD">
      <formula>NOT(ISERROR(SEARCH("RD",AF11)))</formula>
    </cfRule>
    <cfRule type="containsText" dxfId="495" priority="573" operator="containsText" text="NP">
      <formula>NOT(ISERROR(SEARCH("NP",AF11)))</formula>
    </cfRule>
    <cfRule type="cellIs" dxfId="494" priority="574" operator="equal">
      <formula>"VO"</formula>
    </cfRule>
    <cfRule type="cellIs" dxfId="493" priority="575" operator="equal">
      <formula>"CW"</formula>
    </cfRule>
    <cfRule type="cellIs" dxfId="492" priority="576" operator="equal">
      <formula>"CF"</formula>
    </cfRule>
    <cfRule type="containsText" dxfId="491" priority="577" stopIfTrue="1" operator="containsText" text="無薪">
      <formula>NOT(ISERROR(SEARCH("無薪",AF11)))</formula>
    </cfRule>
    <cfRule type="containsText" dxfId="490" priority="578" stopIfTrue="1" operator="containsText" text="TIL">
      <formula>NOT(ISERROR(SEARCH("TIL",AF11)))</formula>
    </cfRule>
    <cfRule type="containsText" dxfId="489" priority="579" stopIfTrue="1" operator="containsText" text="疫苗">
      <formula>NOT(ISERROR(SEARCH("疫苗",AF11)))</formula>
    </cfRule>
    <cfRule type="containsText" dxfId="488" priority="580" stopIfTrue="1" operator="containsText" text="勞假">
      <formula>NOT(ISERROR(SEARCH("勞假",AF11)))</formula>
    </cfRule>
    <cfRule type="containsText" dxfId="487" priority="581" stopIfTrue="1" operator="containsText" text="補假">
      <formula>NOT(ISERROR(SEARCH("補假",AF11)))</formula>
    </cfRule>
    <cfRule type="containsText" dxfId="486" priority="582" stopIfTrue="1" operator="containsText" text="例假">
      <formula>NOT(ISERROR(SEARCH("例假",AF11)))</formula>
    </cfRule>
    <cfRule type="containsText" dxfId="485" priority="583" stopIfTrue="1" operator="containsText" text="病假">
      <formula>NOT(ISERROR(SEARCH("病假",AF11)))</formula>
    </cfRule>
    <cfRule type="containsText" dxfId="484" priority="584" stopIfTrue="1" operator="containsText" text="大假">
      <formula>NOT(ISERROR(SEARCH("大假",AF11)))</formula>
    </cfRule>
    <cfRule type="containsText" dxfId="483" priority="585" stopIfTrue="1" operator="containsText" text="無薪">
      <formula>NOT(ISERROR(SEARCH("無薪",AF11)))</formula>
    </cfRule>
    <cfRule type="containsText" dxfId="482" priority="586" stopIfTrue="1" operator="containsText" text="TIL">
      <formula>NOT(ISERROR(SEARCH("TIL",AF11)))</formula>
    </cfRule>
    <cfRule type="containsText" dxfId="481" priority="587" stopIfTrue="1" operator="containsText" text="疫苗">
      <formula>NOT(ISERROR(SEARCH("疫苗",AF11)))</formula>
    </cfRule>
    <cfRule type="containsText" dxfId="480" priority="588" stopIfTrue="1" operator="containsText" text="勞假">
      <formula>NOT(ISERROR(SEARCH("勞假",AF11)))</formula>
    </cfRule>
    <cfRule type="containsText" dxfId="479" priority="589" stopIfTrue="1" operator="containsText" text="補假">
      <formula>NOT(ISERROR(SEARCH("補假",AF11)))</formula>
    </cfRule>
    <cfRule type="containsText" dxfId="478" priority="590" stopIfTrue="1" operator="containsText" text="例假">
      <formula>NOT(ISERROR(SEARCH("例假",AF11)))</formula>
    </cfRule>
    <cfRule type="containsText" dxfId="477" priority="591" stopIfTrue="1" operator="containsText" text="病假">
      <formula>NOT(ISERROR(SEARCH("病假",AF11)))</formula>
    </cfRule>
    <cfRule type="containsText" dxfId="476" priority="592" stopIfTrue="1" operator="containsText" text="大假">
      <formula>NOT(ISERROR(SEARCH("大假",AF11)))</formula>
    </cfRule>
    <cfRule type="containsText" dxfId="475" priority="593" stopIfTrue="1" operator="containsText" text="TIL">
      <formula>NOT(ISERROR(SEARCH("TIL",AF11)))</formula>
    </cfRule>
    <cfRule type="cellIs" dxfId="474" priority="594" stopIfTrue="1" operator="equal">
      <formula>"NP"</formula>
    </cfRule>
    <cfRule type="cellIs" dxfId="473" priority="595" stopIfTrue="1" operator="equal">
      <formula>"RD"</formula>
    </cfRule>
    <cfRule type="containsText" dxfId="472" priority="596" stopIfTrue="1" operator="containsText" text="TIL">
      <formula>NOT(ISERROR(SEARCH("TIL",AF11)))</formula>
    </cfRule>
    <cfRule type="containsText" dxfId="471" priority="597" stopIfTrue="1" operator="containsText" text="疫苗">
      <formula>NOT(ISERROR(SEARCH("疫苗",AF11)))</formula>
    </cfRule>
    <cfRule type="containsText" dxfId="470" priority="598" stopIfTrue="1" operator="containsText" text="勞假">
      <formula>NOT(ISERROR(SEARCH("勞假",AF11)))</formula>
    </cfRule>
    <cfRule type="containsText" dxfId="469" priority="599" stopIfTrue="1" operator="containsText" text="補假">
      <formula>NOT(ISERROR(SEARCH("補假",AF11)))</formula>
    </cfRule>
    <cfRule type="containsText" dxfId="468" priority="600" stopIfTrue="1" operator="containsText" text="例假">
      <formula>NOT(ISERROR(SEARCH("例假",AF11)))</formula>
    </cfRule>
    <cfRule type="containsText" dxfId="467" priority="601" stopIfTrue="1" operator="containsText" text="病假">
      <formula>NOT(ISERROR(SEARCH("病假",AF11)))</formula>
    </cfRule>
    <cfRule type="containsText" dxfId="466" priority="602" stopIfTrue="1" operator="containsText" text="大假">
      <formula>NOT(ISERROR(SEARCH("大假",AF11)))</formula>
    </cfRule>
    <cfRule type="containsText" dxfId="465" priority="603" stopIfTrue="1" operator="containsText" text="TIL">
      <formula>NOT(ISERROR(SEARCH("TIL",AF11)))</formula>
    </cfRule>
    <cfRule type="containsText" dxfId="464" priority="604" stopIfTrue="1" operator="containsText" text="疫苗">
      <formula>NOT(ISERROR(SEARCH("疫苗",AF11)))</formula>
    </cfRule>
    <cfRule type="containsText" dxfId="463" priority="605" stopIfTrue="1" operator="containsText" text="勞假">
      <formula>NOT(ISERROR(SEARCH("勞假",AF11)))</formula>
    </cfRule>
    <cfRule type="containsText" dxfId="462" priority="606" stopIfTrue="1" operator="containsText" text="補假">
      <formula>NOT(ISERROR(SEARCH("補假",AF11)))</formula>
    </cfRule>
    <cfRule type="containsText" dxfId="461" priority="607" stopIfTrue="1" operator="containsText" text="例假">
      <formula>NOT(ISERROR(SEARCH("例假",AF11)))</formula>
    </cfRule>
    <cfRule type="containsText" dxfId="460" priority="608" stopIfTrue="1" operator="containsText" text="病假">
      <formula>NOT(ISERROR(SEARCH("病假",AF11)))</formula>
    </cfRule>
    <cfRule type="containsText" dxfId="459" priority="609" stopIfTrue="1" operator="containsText" text="大假">
      <formula>NOT(ISERROR(SEARCH("大假",AF11)))</formula>
    </cfRule>
    <cfRule type="containsText" dxfId="458" priority="610" stopIfTrue="1" operator="containsText" text="無薪">
      <formula>NOT(ISERROR(SEARCH("無薪",AF11)))</formula>
    </cfRule>
    <cfRule type="containsText" dxfId="457" priority="611" stopIfTrue="1" operator="containsText" text="疫苗">
      <formula>NOT(ISERROR(SEARCH("疫苗",AF11)))</formula>
    </cfRule>
    <cfRule type="containsText" dxfId="456" priority="612" stopIfTrue="1" operator="containsText" text="勞假">
      <formula>NOT(ISERROR(SEARCH("勞假",AF11)))</formula>
    </cfRule>
    <cfRule type="containsText" dxfId="455" priority="613" stopIfTrue="1" operator="containsText" text="補假">
      <formula>NOT(ISERROR(SEARCH("補假",AF11)))</formula>
    </cfRule>
    <cfRule type="containsText" dxfId="454" priority="614" stopIfTrue="1" operator="containsText" text="例假">
      <formula>NOT(ISERROR(SEARCH("例假",AF11)))</formula>
    </cfRule>
    <cfRule type="containsText" dxfId="453" priority="615" stopIfTrue="1" operator="containsText" text="病假">
      <formula>NOT(ISERROR(SEARCH("病假",AF11)))</formula>
    </cfRule>
    <cfRule type="containsText" dxfId="452" priority="616" stopIfTrue="1" operator="containsText" text="大假">
      <formula>NOT(ISERROR(SEARCH("大假",AF11)))</formula>
    </cfRule>
    <cfRule type="containsText" dxfId="451" priority="617" stopIfTrue="1" operator="containsText" text="無薪">
      <formula>NOT(ISERROR(SEARCH("無薪",AF11)))</formula>
    </cfRule>
    <cfRule type="containsText" dxfId="450" priority="618" stopIfTrue="1" operator="containsText" text="TIL">
      <formula>NOT(ISERROR(SEARCH("TIL",AF11)))</formula>
    </cfRule>
    <cfRule type="containsText" dxfId="449" priority="619" stopIfTrue="1" operator="containsText" text="疫苗">
      <formula>NOT(ISERROR(SEARCH("疫苗",AF11)))</formula>
    </cfRule>
    <cfRule type="containsText" dxfId="448" priority="620" stopIfTrue="1" operator="containsText" text="勞假">
      <formula>NOT(ISERROR(SEARCH("勞假",AF11)))</formula>
    </cfRule>
    <cfRule type="containsText" dxfId="447" priority="621" stopIfTrue="1" operator="containsText" text="補假">
      <formula>NOT(ISERROR(SEARCH("補假",AF11)))</formula>
    </cfRule>
    <cfRule type="containsText" dxfId="446" priority="622" stopIfTrue="1" operator="containsText" text="例假">
      <formula>NOT(ISERROR(SEARCH("例假",AF11)))</formula>
    </cfRule>
    <cfRule type="containsText" dxfId="445" priority="623" stopIfTrue="1" operator="containsText" text="病假">
      <formula>NOT(ISERROR(SEARCH("病假",AF11)))</formula>
    </cfRule>
    <cfRule type="containsText" dxfId="444" priority="624" stopIfTrue="1" operator="containsText" text="大假">
      <formula>NOT(ISERROR(SEARCH("大假",AF11)))</formula>
    </cfRule>
    <cfRule type="containsText" dxfId="443" priority="625" stopIfTrue="1" operator="containsText" text="無薪">
      <formula>NOT(ISERROR(SEARCH("無薪",AF11)))</formula>
    </cfRule>
    <cfRule type="containsText" dxfId="442" priority="626" stopIfTrue="1" operator="containsText" text="TIL">
      <formula>NOT(ISERROR(SEARCH("TIL",AF11)))</formula>
    </cfRule>
    <cfRule type="containsText" dxfId="441" priority="627" stopIfTrue="1" operator="containsText" text="疫苗">
      <formula>NOT(ISERROR(SEARCH("疫苗",AF11)))</formula>
    </cfRule>
    <cfRule type="containsText" dxfId="440" priority="628" stopIfTrue="1" operator="containsText" text="勞假">
      <formula>NOT(ISERROR(SEARCH("勞假",AF11)))</formula>
    </cfRule>
    <cfRule type="containsText" dxfId="439" priority="629" stopIfTrue="1" operator="containsText" text="補假">
      <formula>NOT(ISERROR(SEARCH("補假",AF11)))</formula>
    </cfRule>
    <cfRule type="containsText" dxfId="438" priority="630" stopIfTrue="1" operator="containsText" text="例假">
      <formula>NOT(ISERROR(SEARCH("例假",AF11)))</formula>
    </cfRule>
    <cfRule type="containsText" dxfId="437" priority="631" stopIfTrue="1" operator="containsText" text="病假">
      <formula>NOT(ISERROR(SEARCH("病假",AF11)))</formula>
    </cfRule>
    <cfRule type="containsText" dxfId="436" priority="632" stopIfTrue="1" operator="containsText" text="大假">
      <formula>NOT(ISERROR(SEARCH("大假",AF11)))</formula>
    </cfRule>
    <cfRule type="containsText" dxfId="435" priority="633" stopIfTrue="1" operator="containsText" text="無薪">
      <formula>NOT(ISERROR(SEARCH("無薪",AF11)))</formula>
    </cfRule>
    <cfRule type="cellIs" dxfId="434" priority="634" operator="equal">
      <formula>"NC"</formula>
    </cfRule>
    <cfRule type="cellIs" dxfId="433" priority="635" operator="equal">
      <formula>"nd"</formula>
    </cfRule>
    <cfRule type="cellIs" dxfId="432" priority="636" operator="equal">
      <formula>0</formula>
    </cfRule>
    <cfRule type="cellIs" dxfId="431" priority="637" operator="equal">
      <formula>"R"</formula>
    </cfRule>
    <cfRule type="cellIs" dxfId="430" priority="638" operator="equal">
      <formula>"NH12"</formula>
    </cfRule>
    <cfRule type="cellIs" dxfId="429" priority="639" operator="equal">
      <formula>"Nh11"</formula>
    </cfRule>
    <cfRule type="containsText" dxfId="428" priority="640" stopIfTrue="1" operator="containsText" text="TIL">
      <formula>NOT(ISERROR(SEARCH("TIL",AF11)))</formula>
    </cfRule>
    <cfRule type="containsText" dxfId="427" priority="641" stopIfTrue="1" operator="containsText" text="疫苗">
      <formula>NOT(ISERROR(SEARCH("疫苗",AF11)))</formula>
    </cfRule>
    <cfRule type="containsText" dxfId="426" priority="642" stopIfTrue="1" operator="containsText" text="勞假">
      <formula>NOT(ISERROR(SEARCH("勞假",AF11)))</formula>
    </cfRule>
    <cfRule type="containsText" dxfId="425" priority="643" stopIfTrue="1" operator="containsText" text="補假">
      <formula>NOT(ISERROR(SEARCH("補假",AF11)))</formula>
    </cfRule>
    <cfRule type="containsText" dxfId="424" priority="644" stopIfTrue="1" operator="containsText" text="例假">
      <formula>NOT(ISERROR(SEARCH("例假",AF11)))</formula>
    </cfRule>
    <cfRule type="containsText" dxfId="423" priority="645" stopIfTrue="1" operator="containsText" text="病假">
      <formula>NOT(ISERROR(SEARCH("病假",AF11)))</formula>
    </cfRule>
    <cfRule type="containsText" dxfId="422" priority="646" stopIfTrue="1" operator="containsText" text="大假">
      <formula>NOT(ISERROR(SEARCH("大假",AF11)))</formula>
    </cfRule>
    <cfRule type="containsText" dxfId="421" priority="647" stopIfTrue="1" operator="containsText" text="無薪">
      <formula>NOT(ISERROR(SEARCH("無薪",AF11)))</formula>
    </cfRule>
    <cfRule type="containsText" dxfId="420" priority="648" stopIfTrue="1" operator="containsText" text="TIL">
      <formula>NOT(ISERROR(SEARCH("TIL",AF11)))</formula>
    </cfRule>
    <cfRule type="containsText" dxfId="419" priority="649" stopIfTrue="1" operator="containsText" text="疫苗">
      <formula>NOT(ISERROR(SEARCH("疫苗",AF11)))</formula>
    </cfRule>
    <cfRule type="containsText" dxfId="418" priority="650" stopIfTrue="1" operator="containsText" text="勞假">
      <formula>NOT(ISERROR(SEARCH("勞假",AF11)))</formula>
    </cfRule>
    <cfRule type="containsText" dxfId="417" priority="651" stopIfTrue="1" operator="containsText" text="補假">
      <formula>NOT(ISERROR(SEARCH("補假",AF11)))</formula>
    </cfRule>
    <cfRule type="containsText" dxfId="416" priority="652" stopIfTrue="1" operator="containsText" text="例假">
      <formula>NOT(ISERROR(SEARCH("例假",AF11)))</formula>
    </cfRule>
    <cfRule type="containsText" dxfId="415" priority="653" stopIfTrue="1" operator="containsText" text="病假">
      <formula>NOT(ISERROR(SEARCH("病假",AF11)))</formula>
    </cfRule>
    <cfRule type="containsText" dxfId="414" priority="654" stopIfTrue="1" operator="containsText" text="大假">
      <formula>NOT(ISERROR(SEARCH("大假",AF11)))</formula>
    </cfRule>
    <cfRule type="containsText" dxfId="413" priority="655" stopIfTrue="1" operator="containsText" text="無薪">
      <formula>NOT(ISERROR(SEARCH("無薪",AF11)))</formula>
    </cfRule>
    <cfRule type="containsText" dxfId="412" priority="656" stopIfTrue="1" operator="containsText" text="疫苗">
      <formula>NOT(ISERROR(SEARCH("疫苗",AF11)))</formula>
    </cfRule>
    <cfRule type="containsText" dxfId="411" priority="657" stopIfTrue="1" operator="containsText" text="勞假">
      <formula>NOT(ISERROR(SEARCH("勞假",AF11)))</formula>
    </cfRule>
    <cfRule type="containsText" dxfId="410" priority="658" stopIfTrue="1" operator="containsText" text="補假">
      <formula>NOT(ISERROR(SEARCH("補假",AF11)))</formula>
    </cfRule>
    <cfRule type="containsText" dxfId="409" priority="659" stopIfTrue="1" operator="containsText" text="例假">
      <formula>NOT(ISERROR(SEARCH("例假",AF11)))</formula>
    </cfRule>
    <cfRule type="containsText" dxfId="408" priority="660" stopIfTrue="1" operator="containsText" text="病假">
      <formula>NOT(ISERROR(SEARCH("病假",AF11)))</formula>
    </cfRule>
    <cfRule type="containsText" dxfId="407" priority="661" stopIfTrue="1" operator="containsText" text="大假">
      <formula>NOT(ISERROR(SEARCH("大假",AF11)))</formula>
    </cfRule>
  </conditionalFormatting>
  <conditionalFormatting sqref="AF11:AH11">
    <cfRule type="containsText" dxfId="406" priority="669" operator="containsText" text="RD">
      <formula>NOT(ISERROR(SEARCH("RD",AF11)))</formula>
    </cfRule>
    <cfRule type="containsText" dxfId="405" priority="670" operator="containsText" text="NP">
      <formula>NOT(ISERROR(SEARCH("NP",AF11)))</formula>
    </cfRule>
  </conditionalFormatting>
  <conditionalFormatting sqref="AF18:AH18">
    <cfRule type="containsText" dxfId="404" priority="232" stopIfTrue="1" operator="containsText" text="TIL">
      <formula>NOT(ISERROR(SEARCH("TIL",AF18)))</formula>
    </cfRule>
    <cfRule type="containsText" dxfId="403" priority="233" stopIfTrue="1" operator="containsText" text="疫苗">
      <formula>NOT(ISERROR(SEARCH("疫苗",AF18)))</formula>
    </cfRule>
    <cfRule type="containsText" dxfId="402" priority="234" stopIfTrue="1" operator="containsText" text="勞假">
      <formula>NOT(ISERROR(SEARCH("勞假",AF18)))</formula>
    </cfRule>
    <cfRule type="containsText" dxfId="401" priority="235" stopIfTrue="1" operator="containsText" text="補假">
      <formula>NOT(ISERROR(SEARCH("補假",AF18)))</formula>
    </cfRule>
    <cfRule type="containsText" dxfId="400" priority="236" stopIfTrue="1" operator="containsText" text="例假">
      <formula>NOT(ISERROR(SEARCH("例假",AF18)))</formula>
    </cfRule>
    <cfRule type="containsText" dxfId="399" priority="237" stopIfTrue="1" operator="containsText" text="病假">
      <formula>NOT(ISERROR(SEARCH("病假",AF18)))</formula>
    </cfRule>
    <cfRule type="containsText" dxfId="398" priority="238" stopIfTrue="1" operator="containsText" text="大假">
      <formula>NOT(ISERROR(SEARCH("大假",AF18)))</formula>
    </cfRule>
    <cfRule type="containsText" dxfId="397" priority="239" stopIfTrue="1" operator="containsText" text="無薪">
      <formula>NOT(ISERROR(SEARCH("無薪",AF18)))</formula>
    </cfRule>
    <cfRule type="containsText" dxfId="396" priority="240" stopIfTrue="1" operator="containsText" text="TIL">
      <formula>NOT(ISERROR(SEARCH("TIL",AF18)))</formula>
    </cfRule>
    <cfRule type="containsText" dxfId="395" priority="241" stopIfTrue="1" operator="containsText" text="疫苗">
      <formula>NOT(ISERROR(SEARCH("疫苗",AF18)))</formula>
    </cfRule>
    <cfRule type="containsText" dxfId="394" priority="242" stopIfTrue="1" operator="containsText" text="勞假">
      <formula>NOT(ISERROR(SEARCH("勞假",AF18)))</formula>
    </cfRule>
    <cfRule type="containsText" dxfId="393" priority="243" stopIfTrue="1" operator="containsText" text="補假">
      <formula>NOT(ISERROR(SEARCH("補假",AF18)))</formula>
    </cfRule>
    <cfRule type="containsText" dxfId="392" priority="244" stopIfTrue="1" operator="containsText" text="例假">
      <formula>NOT(ISERROR(SEARCH("例假",AF18)))</formula>
    </cfRule>
    <cfRule type="containsText" dxfId="391" priority="245" stopIfTrue="1" operator="containsText" text="病假">
      <formula>NOT(ISERROR(SEARCH("病假",AF18)))</formula>
    </cfRule>
    <cfRule type="containsText" dxfId="390" priority="246" stopIfTrue="1" operator="containsText" text="大假">
      <formula>NOT(ISERROR(SEARCH("大假",AF18)))</formula>
    </cfRule>
    <cfRule type="containsText" dxfId="389" priority="247" stopIfTrue="1" operator="containsText" text="TIL">
      <formula>NOT(ISERROR(SEARCH("TIL",AF18)))</formula>
    </cfRule>
    <cfRule type="cellIs" dxfId="388" priority="248" stopIfTrue="1" operator="equal">
      <formula>"NP"</formula>
    </cfRule>
    <cfRule type="cellIs" dxfId="387" priority="249" stopIfTrue="1" operator="equal">
      <formula>"RD"</formula>
    </cfRule>
    <cfRule type="containsText" dxfId="386" priority="250" stopIfTrue="1" operator="containsText" text="TIL">
      <formula>NOT(ISERROR(SEARCH("TIL",AF18)))</formula>
    </cfRule>
    <cfRule type="containsText" dxfId="385" priority="251" stopIfTrue="1" operator="containsText" text="疫苗">
      <formula>NOT(ISERROR(SEARCH("疫苗",AF18)))</formula>
    </cfRule>
    <cfRule type="containsText" dxfId="384" priority="252" stopIfTrue="1" operator="containsText" text="勞假">
      <formula>NOT(ISERROR(SEARCH("勞假",AF18)))</formula>
    </cfRule>
    <cfRule type="containsText" dxfId="383" priority="253" stopIfTrue="1" operator="containsText" text="補假">
      <formula>NOT(ISERROR(SEARCH("補假",AF18)))</formula>
    </cfRule>
    <cfRule type="containsText" dxfId="382" priority="254" stopIfTrue="1" operator="containsText" text="例假">
      <formula>NOT(ISERROR(SEARCH("例假",AF18)))</formula>
    </cfRule>
    <cfRule type="containsText" dxfId="381" priority="255" stopIfTrue="1" operator="containsText" text="病假">
      <formula>NOT(ISERROR(SEARCH("病假",AF18)))</formula>
    </cfRule>
    <cfRule type="containsText" dxfId="380" priority="256" stopIfTrue="1" operator="containsText" text="大假">
      <formula>NOT(ISERROR(SEARCH("大假",AF18)))</formula>
    </cfRule>
    <cfRule type="containsText" dxfId="379" priority="257" stopIfTrue="1" operator="containsText" text="TIL">
      <formula>NOT(ISERROR(SEARCH("TIL",AF18)))</formula>
    </cfRule>
    <cfRule type="containsText" dxfId="378" priority="258" stopIfTrue="1" operator="containsText" text="疫苗">
      <formula>NOT(ISERROR(SEARCH("疫苗",AF18)))</formula>
    </cfRule>
    <cfRule type="containsText" dxfId="377" priority="259" stopIfTrue="1" operator="containsText" text="勞假">
      <formula>NOT(ISERROR(SEARCH("勞假",AF18)))</formula>
    </cfRule>
    <cfRule type="containsText" dxfId="376" priority="260" stopIfTrue="1" operator="containsText" text="補假">
      <formula>NOT(ISERROR(SEARCH("補假",AF18)))</formula>
    </cfRule>
    <cfRule type="containsText" dxfId="375" priority="261" stopIfTrue="1" operator="containsText" text="例假">
      <formula>NOT(ISERROR(SEARCH("例假",AF18)))</formula>
    </cfRule>
    <cfRule type="containsText" dxfId="374" priority="262" stopIfTrue="1" operator="containsText" text="病假">
      <formula>NOT(ISERROR(SEARCH("病假",AF18)))</formula>
    </cfRule>
    <cfRule type="containsText" dxfId="373" priority="263" stopIfTrue="1" operator="containsText" text="大假">
      <formula>NOT(ISERROR(SEARCH("大假",AF18)))</formula>
    </cfRule>
    <cfRule type="containsText" dxfId="372" priority="264" stopIfTrue="1" operator="containsText" text="無薪">
      <formula>NOT(ISERROR(SEARCH("無薪",AF18)))</formula>
    </cfRule>
    <cfRule type="containsText" dxfId="371" priority="265" stopIfTrue="1" operator="containsText" text="疫苗">
      <formula>NOT(ISERROR(SEARCH("疫苗",AF18)))</formula>
    </cfRule>
    <cfRule type="containsText" dxfId="370" priority="266" stopIfTrue="1" operator="containsText" text="勞假">
      <formula>NOT(ISERROR(SEARCH("勞假",AF18)))</formula>
    </cfRule>
    <cfRule type="containsText" dxfId="369" priority="267" stopIfTrue="1" operator="containsText" text="補假">
      <formula>NOT(ISERROR(SEARCH("補假",AF18)))</formula>
    </cfRule>
    <cfRule type="containsText" dxfId="368" priority="268" stopIfTrue="1" operator="containsText" text="例假">
      <formula>NOT(ISERROR(SEARCH("例假",AF18)))</formula>
    </cfRule>
    <cfRule type="containsText" dxfId="367" priority="269" stopIfTrue="1" operator="containsText" text="病假">
      <formula>NOT(ISERROR(SEARCH("病假",AF18)))</formula>
    </cfRule>
    <cfRule type="containsText" dxfId="366" priority="270" stopIfTrue="1" operator="containsText" text="大假">
      <formula>NOT(ISERROR(SEARCH("大假",AF18)))</formula>
    </cfRule>
    <cfRule type="containsText" dxfId="365" priority="271" stopIfTrue="1" operator="containsText" text="無薪">
      <formula>NOT(ISERROR(SEARCH("無薪",AF18)))</formula>
    </cfRule>
    <cfRule type="containsText" dxfId="364" priority="272" stopIfTrue="1" operator="containsText" text="TIL">
      <formula>NOT(ISERROR(SEARCH("TIL",AF18)))</formula>
    </cfRule>
    <cfRule type="containsText" dxfId="363" priority="273" stopIfTrue="1" operator="containsText" text="疫苗">
      <formula>NOT(ISERROR(SEARCH("疫苗",AF18)))</formula>
    </cfRule>
    <cfRule type="containsText" dxfId="362" priority="274" stopIfTrue="1" operator="containsText" text="勞假">
      <formula>NOT(ISERROR(SEARCH("勞假",AF18)))</formula>
    </cfRule>
    <cfRule type="containsText" dxfId="361" priority="275" stopIfTrue="1" operator="containsText" text="補假">
      <formula>NOT(ISERROR(SEARCH("補假",AF18)))</formula>
    </cfRule>
    <cfRule type="containsText" dxfId="360" priority="276" stopIfTrue="1" operator="containsText" text="例假">
      <formula>NOT(ISERROR(SEARCH("例假",AF18)))</formula>
    </cfRule>
    <cfRule type="containsText" dxfId="359" priority="277" stopIfTrue="1" operator="containsText" text="病假">
      <formula>NOT(ISERROR(SEARCH("病假",AF18)))</formula>
    </cfRule>
    <cfRule type="containsText" dxfId="358" priority="278" stopIfTrue="1" operator="containsText" text="大假">
      <formula>NOT(ISERROR(SEARCH("大假",AF18)))</formula>
    </cfRule>
    <cfRule type="containsText" dxfId="357" priority="279" stopIfTrue="1" operator="containsText" text="無薪">
      <formula>NOT(ISERROR(SEARCH("無薪",AF18)))</formula>
    </cfRule>
    <cfRule type="containsText" dxfId="356" priority="280" stopIfTrue="1" operator="containsText" text="TIL">
      <formula>NOT(ISERROR(SEARCH("TIL",AF18)))</formula>
    </cfRule>
    <cfRule type="containsText" dxfId="355" priority="281" stopIfTrue="1" operator="containsText" text="疫苗">
      <formula>NOT(ISERROR(SEARCH("疫苗",AF18)))</formula>
    </cfRule>
    <cfRule type="containsText" dxfId="354" priority="282" stopIfTrue="1" operator="containsText" text="勞假">
      <formula>NOT(ISERROR(SEARCH("勞假",AF18)))</formula>
    </cfRule>
    <cfRule type="containsText" dxfId="353" priority="283" stopIfTrue="1" operator="containsText" text="補假">
      <formula>NOT(ISERROR(SEARCH("補假",AF18)))</formula>
    </cfRule>
    <cfRule type="containsText" dxfId="352" priority="284" stopIfTrue="1" operator="containsText" text="例假">
      <formula>NOT(ISERROR(SEARCH("例假",AF18)))</formula>
    </cfRule>
    <cfRule type="containsText" dxfId="351" priority="285" stopIfTrue="1" operator="containsText" text="病假">
      <formula>NOT(ISERROR(SEARCH("病假",AF18)))</formula>
    </cfRule>
    <cfRule type="containsText" dxfId="350" priority="286" stopIfTrue="1" operator="containsText" text="大假">
      <formula>NOT(ISERROR(SEARCH("大假",AF18)))</formula>
    </cfRule>
    <cfRule type="containsText" dxfId="349" priority="287" stopIfTrue="1" operator="containsText" text="無薪">
      <formula>NOT(ISERROR(SEARCH("無薪",AF18)))</formula>
    </cfRule>
    <cfRule type="cellIs" dxfId="348" priority="288" operator="equal">
      <formula>"NC"</formula>
    </cfRule>
    <cfRule type="cellIs" dxfId="347" priority="289" operator="equal">
      <formula>"nd"</formula>
    </cfRule>
    <cfRule type="cellIs" dxfId="346" priority="290" operator="equal">
      <formula>0</formula>
    </cfRule>
    <cfRule type="cellIs" dxfId="345" priority="291" operator="equal">
      <formula>"R"</formula>
    </cfRule>
    <cfRule type="cellIs" dxfId="344" priority="292" operator="equal">
      <formula>"NH12"</formula>
    </cfRule>
    <cfRule type="cellIs" dxfId="343" priority="293" operator="equal">
      <formula>"Nh11"</formula>
    </cfRule>
    <cfRule type="containsText" dxfId="342" priority="294" stopIfTrue="1" operator="containsText" text="TIL">
      <formula>NOT(ISERROR(SEARCH("TIL",AF18)))</formula>
    </cfRule>
    <cfRule type="containsText" dxfId="341" priority="295" stopIfTrue="1" operator="containsText" text="疫苗">
      <formula>NOT(ISERROR(SEARCH("疫苗",AF18)))</formula>
    </cfRule>
    <cfRule type="containsText" dxfId="340" priority="296" stopIfTrue="1" operator="containsText" text="勞假">
      <formula>NOT(ISERROR(SEARCH("勞假",AF18)))</formula>
    </cfRule>
    <cfRule type="containsText" dxfId="339" priority="297" stopIfTrue="1" operator="containsText" text="補假">
      <formula>NOT(ISERROR(SEARCH("補假",AF18)))</formula>
    </cfRule>
    <cfRule type="containsText" dxfId="338" priority="298" stopIfTrue="1" operator="containsText" text="例假">
      <formula>NOT(ISERROR(SEARCH("例假",AF18)))</formula>
    </cfRule>
    <cfRule type="containsText" dxfId="337" priority="299" stopIfTrue="1" operator="containsText" text="病假">
      <formula>NOT(ISERROR(SEARCH("病假",AF18)))</formula>
    </cfRule>
    <cfRule type="containsText" dxfId="336" priority="300" stopIfTrue="1" operator="containsText" text="大假">
      <formula>NOT(ISERROR(SEARCH("大假",AF18)))</formula>
    </cfRule>
    <cfRule type="containsText" dxfId="335" priority="301" stopIfTrue="1" operator="containsText" text="無薪">
      <formula>NOT(ISERROR(SEARCH("無薪",AF18)))</formula>
    </cfRule>
    <cfRule type="containsText" dxfId="334" priority="302" stopIfTrue="1" operator="containsText" text="TIL">
      <formula>NOT(ISERROR(SEARCH("TIL",AF18)))</formula>
    </cfRule>
    <cfRule type="containsText" dxfId="333" priority="303" stopIfTrue="1" operator="containsText" text="疫苗">
      <formula>NOT(ISERROR(SEARCH("疫苗",AF18)))</formula>
    </cfRule>
    <cfRule type="containsText" dxfId="332" priority="304" stopIfTrue="1" operator="containsText" text="勞假">
      <formula>NOT(ISERROR(SEARCH("勞假",AF18)))</formula>
    </cfRule>
    <cfRule type="containsText" dxfId="331" priority="305" stopIfTrue="1" operator="containsText" text="補假">
      <formula>NOT(ISERROR(SEARCH("補假",AF18)))</formula>
    </cfRule>
    <cfRule type="containsText" dxfId="330" priority="306" stopIfTrue="1" operator="containsText" text="例假">
      <formula>NOT(ISERROR(SEARCH("例假",AF18)))</formula>
    </cfRule>
    <cfRule type="containsText" dxfId="329" priority="307" stopIfTrue="1" operator="containsText" text="病假">
      <formula>NOT(ISERROR(SEARCH("病假",AF18)))</formula>
    </cfRule>
    <cfRule type="containsText" dxfId="328" priority="308" stopIfTrue="1" operator="containsText" text="大假">
      <formula>NOT(ISERROR(SEARCH("大假",AF18)))</formula>
    </cfRule>
    <cfRule type="containsText" dxfId="327" priority="309" stopIfTrue="1" operator="containsText" text="無薪">
      <formula>NOT(ISERROR(SEARCH("無薪",AF18)))</formula>
    </cfRule>
    <cfRule type="containsText" dxfId="326" priority="310" stopIfTrue="1" operator="containsText" text="疫苗">
      <formula>NOT(ISERROR(SEARCH("疫苗",AF18)))</formula>
    </cfRule>
    <cfRule type="containsText" dxfId="325" priority="311" stopIfTrue="1" operator="containsText" text="勞假">
      <formula>NOT(ISERROR(SEARCH("勞假",AF18)))</formula>
    </cfRule>
    <cfRule type="containsText" dxfId="324" priority="312" stopIfTrue="1" operator="containsText" text="補假">
      <formula>NOT(ISERROR(SEARCH("補假",AF18)))</formula>
    </cfRule>
    <cfRule type="containsText" dxfId="323" priority="313" stopIfTrue="1" operator="containsText" text="例假">
      <formula>NOT(ISERROR(SEARCH("例假",AF18)))</formula>
    </cfRule>
    <cfRule type="containsText" dxfId="322" priority="314" stopIfTrue="1" operator="containsText" text="病假">
      <formula>NOT(ISERROR(SEARCH("病假",AF18)))</formula>
    </cfRule>
    <cfRule type="containsText" dxfId="321" priority="315" stopIfTrue="1" operator="containsText" text="大假">
      <formula>NOT(ISERROR(SEARCH("大假",AF18)))</formula>
    </cfRule>
    <cfRule type="containsText" dxfId="320" priority="316" stopIfTrue="1" operator="containsText" text="無薪">
      <formula>NOT(ISERROR(SEARCH("無薪",AF18)))</formula>
    </cfRule>
    <cfRule type="containsText" dxfId="319" priority="317" stopIfTrue="1" operator="containsText" text="TIL">
      <formula>NOT(ISERROR(SEARCH("TIL",AF18)))</formula>
    </cfRule>
    <cfRule type="containsText" dxfId="318" priority="318" stopIfTrue="1" operator="containsText" text="疫苗">
      <formula>NOT(ISERROR(SEARCH("疫苗",AF18)))</formula>
    </cfRule>
    <cfRule type="containsText" dxfId="317" priority="319" stopIfTrue="1" operator="containsText" text="勞假">
      <formula>NOT(ISERROR(SEARCH("勞假",AF18)))</formula>
    </cfRule>
    <cfRule type="containsText" dxfId="316" priority="320" stopIfTrue="1" operator="containsText" text="補假">
      <formula>NOT(ISERROR(SEARCH("補假",AF18)))</formula>
    </cfRule>
    <cfRule type="containsText" dxfId="315" priority="321" stopIfTrue="1" operator="containsText" text="例假">
      <formula>NOT(ISERROR(SEARCH("例假",AF18)))</formula>
    </cfRule>
    <cfRule type="containsText" dxfId="314" priority="322" stopIfTrue="1" operator="containsText" text="病假">
      <formula>NOT(ISERROR(SEARCH("病假",AF18)))</formula>
    </cfRule>
    <cfRule type="containsText" dxfId="313" priority="323" stopIfTrue="1" operator="containsText" text="大假">
      <formula>NOT(ISERROR(SEARCH("大假",AF18)))</formula>
    </cfRule>
    <cfRule type="containsText" dxfId="312" priority="324" stopIfTrue="1" operator="containsText" text="無薪">
      <formula>NOT(ISERROR(SEARCH("無薪",AF18)))</formula>
    </cfRule>
    <cfRule type="containsText" dxfId="311" priority="325" stopIfTrue="1" operator="containsText" text="TIL">
      <formula>NOT(ISERROR(SEARCH("TIL",AF18)))</formula>
    </cfRule>
    <cfRule type="containsText" dxfId="310" priority="326" stopIfTrue="1" operator="containsText" text="疫苗">
      <formula>NOT(ISERROR(SEARCH("疫苗",AF18)))</formula>
    </cfRule>
    <cfRule type="containsText" dxfId="309" priority="327" stopIfTrue="1" operator="containsText" text="勞假">
      <formula>NOT(ISERROR(SEARCH("勞假",AF18)))</formula>
    </cfRule>
    <cfRule type="containsText" dxfId="308" priority="328" stopIfTrue="1" operator="containsText" text="補假">
      <formula>NOT(ISERROR(SEARCH("補假",AF18)))</formula>
    </cfRule>
    <cfRule type="containsText" dxfId="307" priority="329" stopIfTrue="1" operator="containsText" text="例假">
      <formula>NOT(ISERROR(SEARCH("例假",AF18)))</formula>
    </cfRule>
    <cfRule type="containsText" dxfId="306" priority="330" stopIfTrue="1" operator="containsText" text="病假">
      <formula>NOT(ISERROR(SEARCH("病假",AF18)))</formula>
    </cfRule>
    <cfRule type="containsText" dxfId="305" priority="331" stopIfTrue="1" operator="containsText" text="大假">
      <formula>NOT(ISERROR(SEARCH("大假",AF18)))</formula>
    </cfRule>
    <cfRule type="containsText" dxfId="304" priority="332" stopIfTrue="1" operator="containsText" text="TIL">
      <formula>NOT(ISERROR(SEARCH("TIL",AF18)))</formula>
    </cfRule>
    <cfRule type="cellIs" dxfId="303" priority="333" stopIfTrue="1" operator="equal">
      <formula>"NP"</formula>
    </cfRule>
    <cfRule type="cellIs" dxfId="302" priority="334" stopIfTrue="1" operator="equal">
      <formula>"RD"</formula>
    </cfRule>
    <cfRule type="containsText" dxfId="301" priority="335" stopIfTrue="1" operator="containsText" text="TIL">
      <formula>NOT(ISERROR(SEARCH("TIL",AF18)))</formula>
    </cfRule>
    <cfRule type="containsText" dxfId="300" priority="336" stopIfTrue="1" operator="containsText" text="疫苗">
      <formula>NOT(ISERROR(SEARCH("疫苗",AF18)))</formula>
    </cfRule>
    <cfRule type="containsText" dxfId="299" priority="337" stopIfTrue="1" operator="containsText" text="勞假">
      <formula>NOT(ISERROR(SEARCH("勞假",AF18)))</formula>
    </cfRule>
    <cfRule type="containsText" dxfId="298" priority="338" stopIfTrue="1" operator="containsText" text="補假">
      <formula>NOT(ISERROR(SEARCH("補假",AF18)))</formula>
    </cfRule>
    <cfRule type="containsText" dxfId="297" priority="339" stopIfTrue="1" operator="containsText" text="例假">
      <formula>NOT(ISERROR(SEARCH("例假",AF18)))</formula>
    </cfRule>
    <cfRule type="containsText" dxfId="296" priority="340" stopIfTrue="1" operator="containsText" text="病假">
      <formula>NOT(ISERROR(SEARCH("病假",AF18)))</formula>
    </cfRule>
    <cfRule type="containsText" dxfId="295" priority="341" stopIfTrue="1" operator="containsText" text="大假">
      <formula>NOT(ISERROR(SEARCH("大假",AF18)))</formula>
    </cfRule>
    <cfRule type="containsText" dxfId="294" priority="342" stopIfTrue="1" operator="containsText" text="TIL">
      <formula>NOT(ISERROR(SEARCH("TIL",AF18)))</formula>
    </cfRule>
    <cfRule type="containsText" dxfId="293" priority="343" stopIfTrue="1" operator="containsText" text="疫苗">
      <formula>NOT(ISERROR(SEARCH("疫苗",AF18)))</formula>
    </cfRule>
    <cfRule type="containsText" dxfId="292" priority="344" stopIfTrue="1" operator="containsText" text="勞假">
      <formula>NOT(ISERROR(SEARCH("勞假",AF18)))</formula>
    </cfRule>
    <cfRule type="containsText" dxfId="291" priority="345" stopIfTrue="1" operator="containsText" text="補假">
      <formula>NOT(ISERROR(SEARCH("補假",AF18)))</formula>
    </cfRule>
    <cfRule type="containsText" dxfId="290" priority="346" stopIfTrue="1" operator="containsText" text="例假">
      <formula>NOT(ISERROR(SEARCH("例假",AF18)))</formula>
    </cfRule>
    <cfRule type="containsText" dxfId="289" priority="347" stopIfTrue="1" operator="containsText" text="病假">
      <formula>NOT(ISERROR(SEARCH("病假",AF18)))</formula>
    </cfRule>
    <cfRule type="containsText" dxfId="288" priority="348" stopIfTrue="1" operator="containsText" text="大假">
      <formula>NOT(ISERROR(SEARCH("大假",AF18)))</formula>
    </cfRule>
    <cfRule type="containsText" dxfId="287" priority="349" stopIfTrue="1" operator="containsText" text="無薪">
      <formula>NOT(ISERROR(SEARCH("無薪",AF18)))</formula>
    </cfRule>
    <cfRule type="containsText" dxfId="286" priority="350" stopIfTrue="1" operator="containsText" text="疫苗">
      <formula>NOT(ISERROR(SEARCH("疫苗",AF18)))</formula>
    </cfRule>
    <cfRule type="containsText" dxfId="285" priority="351" stopIfTrue="1" operator="containsText" text="勞假">
      <formula>NOT(ISERROR(SEARCH("勞假",AF18)))</formula>
    </cfRule>
    <cfRule type="containsText" dxfId="284" priority="352" stopIfTrue="1" operator="containsText" text="補假">
      <formula>NOT(ISERROR(SEARCH("補假",AF18)))</formula>
    </cfRule>
    <cfRule type="containsText" dxfId="283" priority="353" stopIfTrue="1" operator="containsText" text="例假">
      <formula>NOT(ISERROR(SEARCH("例假",AF18)))</formula>
    </cfRule>
    <cfRule type="containsText" dxfId="282" priority="354" stopIfTrue="1" operator="containsText" text="病假">
      <formula>NOT(ISERROR(SEARCH("病假",AF18)))</formula>
    </cfRule>
    <cfRule type="containsText" dxfId="281" priority="355" stopIfTrue="1" operator="containsText" text="大假">
      <formula>NOT(ISERROR(SEARCH("大假",AF18)))</formula>
    </cfRule>
    <cfRule type="containsText" dxfId="280" priority="356" stopIfTrue="1" operator="containsText" text="無薪">
      <formula>NOT(ISERROR(SEARCH("無薪",AF18)))</formula>
    </cfRule>
    <cfRule type="containsText" dxfId="279" priority="357" stopIfTrue="1" operator="containsText" text="TIL">
      <formula>NOT(ISERROR(SEARCH("TIL",AF18)))</formula>
    </cfRule>
    <cfRule type="containsText" dxfId="278" priority="358" stopIfTrue="1" operator="containsText" text="疫苗">
      <formula>NOT(ISERROR(SEARCH("疫苗",AF18)))</formula>
    </cfRule>
    <cfRule type="containsText" dxfId="277" priority="359" stopIfTrue="1" operator="containsText" text="勞假">
      <formula>NOT(ISERROR(SEARCH("勞假",AF18)))</formula>
    </cfRule>
    <cfRule type="containsText" dxfId="276" priority="360" stopIfTrue="1" operator="containsText" text="補假">
      <formula>NOT(ISERROR(SEARCH("補假",AF18)))</formula>
    </cfRule>
    <cfRule type="containsText" dxfId="275" priority="361" stopIfTrue="1" operator="containsText" text="例假">
      <formula>NOT(ISERROR(SEARCH("例假",AF18)))</formula>
    </cfRule>
    <cfRule type="containsText" dxfId="274" priority="362" stopIfTrue="1" operator="containsText" text="病假">
      <formula>NOT(ISERROR(SEARCH("病假",AF18)))</formula>
    </cfRule>
    <cfRule type="containsText" dxfId="273" priority="363" stopIfTrue="1" operator="containsText" text="大假">
      <formula>NOT(ISERROR(SEARCH("大假",AF18)))</formula>
    </cfRule>
    <cfRule type="containsText" dxfId="272" priority="364" stopIfTrue="1" operator="containsText" text="無薪">
      <formula>NOT(ISERROR(SEARCH("無薪",AF18)))</formula>
    </cfRule>
    <cfRule type="containsText" dxfId="271" priority="365" stopIfTrue="1" operator="containsText" text="TIL">
      <formula>NOT(ISERROR(SEARCH("TIL",AF18)))</formula>
    </cfRule>
    <cfRule type="containsText" dxfId="270" priority="366" stopIfTrue="1" operator="containsText" text="疫苗">
      <formula>NOT(ISERROR(SEARCH("疫苗",AF18)))</formula>
    </cfRule>
    <cfRule type="containsText" dxfId="269" priority="367" stopIfTrue="1" operator="containsText" text="勞假">
      <formula>NOT(ISERROR(SEARCH("勞假",AF18)))</formula>
    </cfRule>
    <cfRule type="containsText" dxfId="268" priority="368" stopIfTrue="1" operator="containsText" text="補假">
      <formula>NOT(ISERROR(SEARCH("補假",AF18)))</formula>
    </cfRule>
    <cfRule type="containsText" dxfId="267" priority="369" stopIfTrue="1" operator="containsText" text="例假">
      <formula>NOT(ISERROR(SEARCH("例假",AF18)))</formula>
    </cfRule>
    <cfRule type="containsText" dxfId="266" priority="370" stopIfTrue="1" operator="containsText" text="病假">
      <formula>NOT(ISERROR(SEARCH("病假",AF18)))</formula>
    </cfRule>
    <cfRule type="containsText" dxfId="265" priority="371" stopIfTrue="1" operator="containsText" text="大假">
      <formula>NOT(ISERROR(SEARCH("大假",AF18)))</formula>
    </cfRule>
    <cfRule type="containsText" dxfId="264" priority="372" stopIfTrue="1" operator="containsText" text="無薪">
      <formula>NOT(ISERROR(SEARCH("無薪",AF18)))</formula>
    </cfRule>
    <cfRule type="cellIs" dxfId="263" priority="373" operator="equal">
      <formula>"NC"</formula>
    </cfRule>
    <cfRule type="cellIs" dxfId="262" priority="374" operator="equal">
      <formula>"nd"</formula>
    </cfRule>
    <cfRule type="cellIs" dxfId="261" priority="375" operator="equal">
      <formula>0</formula>
    </cfRule>
    <cfRule type="cellIs" dxfId="260" priority="376" operator="equal">
      <formula>"R"</formula>
    </cfRule>
    <cfRule type="cellIs" dxfId="259" priority="377" operator="equal">
      <formula>"NH12"</formula>
    </cfRule>
    <cfRule type="cellIs" dxfId="258" priority="378" operator="equal">
      <formula>"Nh11"</formula>
    </cfRule>
    <cfRule type="containsText" dxfId="257" priority="379" stopIfTrue="1" operator="containsText" text="TIL">
      <formula>NOT(ISERROR(SEARCH("TIL",AF18)))</formula>
    </cfRule>
    <cfRule type="containsText" dxfId="256" priority="380" stopIfTrue="1" operator="containsText" text="疫苗">
      <formula>NOT(ISERROR(SEARCH("疫苗",AF18)))</formula>
    </cfRule>
    <cfRule type="containsText" dxfId="255" priority="381" stopIfTrue="1" operator="containsText" text="勞假">
      <formula>NOT(ISERROR(SEARCH("勞假",AF18)))</formula>
    </cfRule>
    <cfRule type="containsText" dxfId="254" priority="382" stopIfTrue="1" operator="containsText" text="補假">
      <formula>NOT(ISERROR(SEARCH("補假",AF18)))</formula>
    </cfRule>
    <cfRule type="containsText" dxfId="253" priority="383" stopIfTrue="1" operator="containsText" text="例假">
      <formula>NOT(ISERROR(SEARCH("例假",AF18)))</formula>
    </cfRule>
    <cfRule type="containsText" dxfId="252" priority="384" stopIfTrue="1" operator="containsText" text="病假">
      <formula>NOT(ISERROR(SEARCH("病假",AF18)))</formula>
    </cfRule>
    <cfRule type="containsText" dxfId="251" priority="385" stopIfTrue="1" operator="containsText" text="大假">
      <formula>NOT(ISERROR(SEARCH("大假",AF18)))</formula>
    </cfRule>
    <cfRule type="containsText" dxfId="250" priority="386" stopIfTrue="1" operator="containsText" text="無薪">
      <formula>NOT(ISERROR(SEARCH("無薪",AF18)))</formula>
    </cfRule>
    <cfRule type="containsText" dxfId="249" priority="387" stopIfTrue="1" operator="containsText" text="TIL">
      <formula>NOT(ISERROR(SEARCH("TIL",AF18)))</formula>
    </cfRule>
    <cfRule type="containsText" dxfId="248" priority="388" stopIfTrue="1" operator="containsText" text="疫苗">
      <formula>NOT(ISERROR(SEARCH("疫苗",AF18)))</formula>
    </cfRule>
    <cfRule type="containsText" dxfId="247" priority="389" stopIfTrue="1" operator="containsText" text="勞假">
      <formula>NOT(ISERROR(SEARCH("勞假",AF18)))</formula>
    </cfRule>
    <cfRule type="containsText" dxfId="246" priority="390" stopIfTrue="1" operator="containsText" text="補假">
      <formula>NOT(ISERROR(SEARCH("補假",AF18)))</formula>
    </cfRule>
    <cfRule type="containsText" dxfId="245" priority="391" stopIfTrue="1" operator="containsText" text="例假">
      <formula>NOT(ISERROR(SEARCH("例假",AF18)))</formula>
    </cfRule>
    <cfRule type="containsText" dxfId="244" priority="392" stopIfTrue="1" operator="containsText" text="病假">
      <formula>NOT(ISERROR(SEARCH("病假",AF18)))</formula>
    </cfRule>
    <cfRule type="containsText" dxfId="243" priority="393" stopIfTrue="1" operator="containsText" text="大假">
      <formula>NOT(ISERROR(SEARCH("大假",AF18)))</formula>
    </cfRule>
    <cfRule type="containsText" dxfId="242" priority="394" stopIfTrue="1" operator="containsText" text="無薪">
      <formula>NOT(ISERROR(SEARCH("無薪",AF18)))</formula>
    </cfRule>
    <cfRule type="containsText" dxfId="241" priority="395" stopIfTrue="1" operator="containsText" text="疫苗">
      <formula>NOT(ISERROR(SEARCH("疫苗",AF18)))</formula>
    </cfRule>
    <cfRule type="containsText" dxfId="240" priority="396" stopIfTrue="1" operator="containsText" text="勞假">
      <formula>NOT(ISERROR(SEARCH("勞假",AF18)))</formula>
    </cfRule>
    <cfRule type="containsText" dxfId="239" priority="397" stopIfTrue="1" operator="containsText" text="補假">
      <formula>NOT(ISERROR(SEARCH("補假",AF18)))</formula>
    </cfRule>
    <cfRule type="containsText" dxfId="238" priority="398" stopIfTrue="1" operator="containsText" text="例假">
      <formula>NOT(ISERROR(SEARCH("例假",AF18)))</formula>
    </cfRule>
    <cfRule type="containsText" dxfId="237" priority="399" stopIfTrue="1" operator="containsText" text="病假">
      <formula>NOT(ISERROR(SEARCH("病假",AF18)))</formula>
    </cfRule>
    <cfRule type="containsText" dxfId="236" priority="400" stopIfTrue="1" operator="containsText" text="大假">
      <formula>NOT(ISERROR(SEARCH("大假",AF18)))</formula>
    </cfRule>
    <cfRule type="containsText" dxfId="235" priority="401" stopIfTrue="1" operator="containsText" text="無薪">
      <formula>NOT(ISERROR(SEARCH("無薪",AF18)))</formula>
    </cfRule>
  </conditionalFormatting>
  <conditionalFormatting sqref="AF19:AH19">
    <cfRule type="containsText" dxfId="234" priority="402" stopIfTrue="1" operator="containsText" text="無薪">
      <formula>NOT(ISERROR(SEARCH("無薪",AF19)))</formula>
    </cfRule>
    <cfRule type="containsText" dxfId="233" priority="403" stopIfTrue="1" operator="containsText" text="TIL">
      <formula>NOT(ISERROR(SEARCH("TIL",AF19)))</formula>
    </cfRule>
    <cfRule type="containsText" dxfId="232" priority="404" stopIfTrue="1" operator="containsText" text="疫苗">
      <formula>NOT(ISERROR(SEARCH("疫苗",AF19)))</formula>
    </cfRule>
    <cfRule type="containsText" dxfId="231" priority="405" stopIfTrue="1" operator="containsText" text="勞假">
      <formula>NOT(ISERROR(SEARCH("勞假",AF19)))</formula>
    </cfRule>
    <cfRule type="containsText" dxfId="230" priority="406" stopIfTrue="1" operator="containsText" text="補假">
      <formula>NOT(ISERROR(SEARCH("補假",AF19)))</formula>
    </cfRule>
    <cfRule type="containsText" dxfId="229" priority="407" stopIfTrue="1" operator="containsText" text="例假">
      <formula>NOT(ISERROR(SEARCH("例假",AF19)))</formula>
    </cfRule>
    <cfRule type="containsText" dxfId="228" priority="408" stopIfTrue="1" operator="containsText" text="病假">
      <formula>NOT(ISERROR(SEARCH("病假",AF19)))</formula>
    </cfRule>
    <cfRule type="containsText" dxfId="227" priority="409" stopIfTrue="1" operator="containsText" text="大假">
      <formula>NOT(ISERROR(SEARCH("大假",AF19)))</formula>
    </cfRule>
    <cfRule type="containsText" dxfId="226" priority="410" stopIfTrue="1" operator="containsText" text="無薪">
      <formula>NOT(ISERROR(SEARCH("無薪",AF19)))</formula>
    </cfRule>
    <cfRule type="containsText" dxfId="225" priority="411" stopIfTrue="1" operator="containsText" text="TIL">
      <formula>NOT(ISERROR(SEARCH("TIL",AF19)))</formula>
    </cfRule>
    <cfRule type="containsText" dxfId="224" priority="412" stopIfTrue="1" operator="containsText" text="疫苗">
      <formula>NOT(ISERROR(SEARCH("疫苗",AF19)))</formula>
    </cfRule>
    <cfRule type="containsText" dxfId="223" priority="413" stopIfTrue="1" operator="containsText" text="勞假">
      <formula>NOT(ISERROR(SEARCH("勞假",AF19)))</formula>
    </cfRule>
    <cfRule type="containsText" dxfId="222" priority="414" stopIfTrue="1" operator="containsText" text="補假">
      <formula>NOT(ISERROR(SEARCH("補假",AF19)))</formula>
    </cfRule>
    <cfRule type="containsText" dxfId="221" priority="415" stopIfTrue="1" operator="containsText" text="例假">
      <formula>NOT(ISERROR(SEARCH("例假",AF19)))</formula>
    </cfRule>
    <cfRule type="containsText" dxfId="220" priority="416" stopIfTrue="1" operator="containsText" text="病假">
      <formula>NOT(ISERROR(SEARCH("病假",AF19)))</formula>
    </cfRule>
    <cfRule type="containsText" dxfId="219" priority="417" stopIfTrue="1" operator="containsText" text="大假">
      <formula>NOT(ISERROR(SEARCH("大假",AF19)))</formula>
    </cfRule>
    <cfRule type="containsText" dxfId="218" priority="418" stopIfTrue="1" operator="containsText" text="TIL">
      <formula>NOT(ISERROR(SEARCH("TIL",AF19)))</formula>
    </cfRule>
    <cfRule type="cellIs" dxfId="217" priority="419" stopIfTrue="1" operator="equal">
      <formula>"NP"</formula>
    </cfRule>
    <cfRule type="cellIs" dxfId="216" priority="420" stopIfTrue="1" operator="equal">
      <formula>"RD"</formula>
    </cfRule>
    <cfRule type="containsText" dxfId="215" priority="421" stopIfTrue="1" operator="containsText" text="TIL">
      <formula>NOT(ISERROR(SEARCH("TIL",AF19)))</formula>
    </cfRule>
    <cfRule type="containsText" dxfId="214" priority="422" stopIfTrue="1" operator="containsText" text="疫苗">
      <formula>NOT(ISERROR(SEARCH("疫苗",AF19)))</formula>
    </cfRule>
    <cfRule type="containsText" dxfId="213" priority="423" stopIfTrue="1" operator="containsText" text="勞假">
      <formula>NOT(ISERROR(SEARCH("勞假",AF19)))</formula>
    </cfRule>
    <cfRule type="containsText" dxfId="212" priority="424" stopIfTrue="1" operator="containsText" text="補假">
      <formula>NOT(ISERROR(SEARCH("補假",AF19)))</formula>
    </cfRule>
    <cfRule type="containsText" dxfId="211" priority="425" stopIfTrue="1" operator="containsText" text="例假">
      <formula>NOT(ISERROR(SEARCH("例假",AF19)))</formula>
    </cfRule>
    <cfRule type="containsText" dxfId="210" priority="426" stopIfTrue="1" operator="containsText" text="病假">
      <formula>NOT(ISERROR(SEARCH("病假",AF19)))</formula>
    </cfRule>
    <cfRule type="containsText" dxfId="209" priority="427" stopIfTrue="1" operator="containsText" text="大假">
      <formula>NOT(ISERROR(SEARCH("大假",AF19)))</formula>
    </cfRule>
    <cfRule type="containsText" dxfId="208" priority="428" stopIfTrue="1" operator="containsText" text="TIL">
      <formula>NOT(ISERROR(SEARCH("TIL",AF19)))</formula>
    </cfRule>
    <cfRule type="containsText" dxfId="207" priority="429" stopIfTrue="1" operator="containsText" text="疫苗">
      <formula>NOT(ISERROR(SEARCH("疫苗",AF19)))</formula>
    </cfRule>
    <cfRule type="containsText" dxfId="206" priority="430" stopIfTrue="1" operator="containsText" text="勞假">
      <formula>NOT(ISERROR(SEARCH("勞假",AF19)))</formula>
    </cfRule>
    <cfRule type="containsText" dxfId="205" priority="431" stopIfTrue="1" operator="containsText" text="補假">
      <formula>NOT(ISERROR(SEARCH("補假",AF19)))</formula>
    </cfRule>
    <cfRule type="containsText" dxfId="204" priority="432" stopIfTrue="1" operator="containsText" text="例假">
      <formula>NOT(ISERROR(SEARCH("例假",AF19)))</formula>
    </cfRule>
    <cfRule type="containsText" dxfId="203" priority="433" stopIfTrue="1" operator="containsText" text="病假">
      <formula>NOT(ISERROR(SEARCH("病假",AF19)))</formula>
    </cfRule>
    <cfRule type="containsText" dxfId="202" priority="434" stopIfTrue="1" operator="containsText" text="大假">
      <formula>NOT(ISERROR(SEARCH("大假",AF19)))</formula>
    </cfRule>
    <cfRule type="containsText" dxfId="201" priority="435" stopIfTrue="1" operator="containsText" text="無薪">
      <formula>NOT(ISERROR(SEARCH("無薪",AF19)))</formula>
    </cfRule>
    <cfRule type="containsText" dxfId="200" priority="436" stopIfTrue="1" operator="containsText" text="疫苗">
      <formula>NOT(ISERROR(SEARCH("疫苗",AF19)))</formula>
    </cfRule>
    <cfRule type="containsText" dxfId="199" priority="437" stopIfTrue="1" operator="containsText" text="勞假">
      <formula>NOT(ISERROR(SEARCH("勞假",AF19)))</formula>
    </cfRule>
    <cfRule type="containsText" dxfId="198" priority="438" stopIfTrue="1" operator="containsText" text="補假">
      <formula>NOT(ISERROR(SEARCH("補假",AF19)))</formula>
    </cfRule>
    <cfRule type="containsText" dxfId="197" priority="439" stopIfTrue="1" operator="containsText" text="例假">
      <formula>NOT(ISERROR(SEARCH("例假",AF19)))</formula>
    </cfRule>
    <cfRule type="containsText" dxfId="196" priority="440" stopIfTrue="1" operator="containsText" text="病假">
      <formula>NOT(ISERROR(SEARCH("病假",AF19)))</formula>
    </cfRule>
    <cfRule type="containsText" dxfId="195" priority="441" stopIfTrue="1" operator="containsText" text="大假">
      <formula>NOT(ISERROR(SEARCH("大假",AF19)))</formula>
    </cfRule>
    <cfRule type="containsText" dxfId="194" priority="442" stopIfTrue="1" operator="containsText" text="無薪">
      <formula>NOT(ISERROR(SEARCH("無薪",AF19)))</formula>
    </cfRule>
    <cfRule type="containsText" dxfId="193" priority="443" stopIfTrue="1" operator="containsText" text="TIL">
      <formula>NOT(ISERROR(SEARCH("TIL",AF19)))</formula>
    </cfRule>
    <cfRule type="containsText" dxfId="192" priority="444" stopIfTrue="1" operator="containsText" text="疫苗">
      <formula>NOT(ISERROR(SEARCH("疫苗",AF19)))</formula>
    </cfRule>
    <cfRule type="containsText" dxfId="191" priority="445" stopIfTrue="1" operator="containsText" text="勞假">
      <formula>NOT(ISERROR(SEARCH("勞假",AF19)))</formula>
    </cfRule>
    <cfRule type="containsText" dxfId="190" priority="446" stopIfTrue="1" operator="containsText" text="補假">
      <formula>NOT(ISERROR(SEARCH("補假",AF19)))</formula>
    </cfRule>
    <cfRule type="containsText" dxfId="189" priority="447" stopIfTrue="1" operator="containsText" text="例假">
      <formula>NOT(ISERROR(SEARCH("例假",AF19)))</formula>
    </cfRule>
    <cfRule type="containsText" dxfId="188" priority="448" stopIfTrue="1" operator="containsText" text="病假">
      <formula>NOT(ISERROR(SEARCH("病假",AF19)))</formula>
    </cfRule>
    <cfRule type="containsText" dxfId="187" priority="449" stopIfTrue="1" operator="containsText" text="大假">
      <formula>NOT(ISERROR(SEARCH("大假",AF19)))</formula>
    </cfRule>
    <cfRule type="containsText" dxfId="186" priority="450" stopIfTrue="1" operator="containsText" text="無薪">
      <formula>NOT(ISERROR(SEARCH("無薪",AF19)))</formula>
    </cfRule>
    <cfRule type="containsText" dxfId="185" priority="451" stopIfTrue="1" operator="containsText" text="TIL">
      <formula>NOT(ISERROR(SEARCH("TIL",AF19)))</formula>
    </cfRule>
    <cfRule type="containsText" dxfId="184" priority="452" stopIfTrue="1" operator="containsText" text="疫苗">
      <formula>NOT(ISERROR(SEARCH("疫苗",AF19)))</formula>
    </cfRule>
    <cfRule type="containsText" dxfId="183" priority="453" stopIfTrue="1" operator="containsText" text="勞假">
      <formula>NOT(ISERROR(SEARCH("勞假",AF19)))</formula>
    </cfRule>
    <cfRule type="containsText" dxfId="182" priority="454" stopIfTrue="1" operator="containsText" text="補假">
      <formula>NOT(ISERROR(SEARCH("補假",AF19)))</formula>
    </cfRule>
    <cfRule type="containsText" dxfId="181" priority="455" stopIfTrue="1" operator="containsText" text="例假">
      <formula>NOT(ISERROR(SEARCH("例假",AF19)))</formula>
    </cfRule>
    <cfRule type="containsText" dxfId="180" priority="456" stopIfTrue="1" operator="containsText" text="病假">
      <formula>NOT(ISERROR(SEARCH("病假",AF19)))</formula>
    </cfRule>
    <cfRule type="containsText" dxfId="179" priority="457" stopIfTrue="1" operator="containsText" text="大假">
      <formula>NOT(ISERROR(SEARCH("大假",AF19)))</formula>
    </cfRule>
    <cfRule type="containsText" dxfId="178" priority="458" stopIfTrue="1" operator="containsText" text="無薪">
      <formula>NOT(ISERROR(SEARCH("無薪",AF19)))</formula>
    </cfRule>
    <cfRule type="cellIs" dxfId="177" priority="459" operator="equal">
      <formula>"NC"</formula>
    </cfRule>
    <cfRule type="cellIs" dxfId="176" priority="460" operator="equal">
      <formula>"nd"</formula>
    </cfRule>
    <cfRule type="cellIs" dxfId="175" priority="461" operator="equal">
      <formula>0</formula>
    </cfRule>
    <cfRule type="cellIs" dxfId="174" priority="462" operator="equal">
      <formula>"R"</formula>
    </cfRule>
    <cfRule type="cellIs" dxfId="173" priority="463" operator="equal">
      <formula>"NH12"</formula>
    </cfRule>
    <cfRule type="cellIs" dxfId="172" priority="464" operator="equal">
      <formula>"Nh11"</formula>
    </cfRule>
    <cfRule type="containsText" dxfId="171" priority="465" stopIfTrue="1" operator="containsText" text="TIL">
      <formula>NOT(ISERROR(SEARCH("TIL",AF19)))</formula>
    </cfRule>
    <cfRule type="containsText" dxfId="170" priority="466" stopIfTrue="1" operator="containsText" text="疫苗">
      <formula>NOT(ISERROR(SEARCH("疫苗",AF19)))</formula>
    </cfRule>
    <cfRule type="containsText" dxfId="169" priority="467" stopIfTrue="1" operator="containsText" text="勞假">
      <formula>NOT(ISERROR(SEARCH("勞假",AF19)))</formula>
    </cfRule>
    <cfRule type="containsText" dxfId="168" priority="468" stopIfTrue="1" operator="containsText" text="補假">
      <formula>NOT(ISERROR(SEARCH("補假",AF19)))</formula>
    </cfRule>
    <cfRule type="containsText" dxfId="167" priority="469" stopIfTrue="1" operator="containsText" text="例假">
      <formula>NOT(ISERROR(SEARCH("例假",AF19)))</formula>
    </cfRule>
    <cfRule type="containsText" dxfId="166" priority="470" stopIfTrue="1" operator="containsText" text="病假">
      <formula>NOT(ISERROR(SEARCH("病假",AF19)))</formula>
    </cfRule>
    <cfRule type="containsText" dxfId="165" priority="471" stopIfTrue="1" operator="containsText" text="大假">
      <formula>NOT(ISERROR(SEARCH("大假",AF19)))</formula>
    </cfRule>
    <cfRule type="containsText" dxfId="164" priority="472" stopIfTrue="1" operator="containsText" text="無薪">
      <formula>NOT(ISERROR(SEARCH("無薪",AF19)))</formula>
    </cfRule>
    <cfRule type="containsText" dxfId="163" priority="473" stopIfTrue="1" operator="containsText" text="TIL">
      <formula>NOT(ISERROR(SEARCH("TIL",AF19)))</formula>
    </cfRule>
    <cfRule type="containsText" dxfId="162" priority="474" stopIfTrue="1" operator="containsText" text="疫苗">
      <formula>NOT(ISERROR(SEARCH("疫苗",AF19)))</formula>
    </cfRule>
    <cfRule type="containsText" dxfId="161" priority="475" stopIfTrue="1" operator="containsText" text="勞假">
      <formula>NOT(ISERROR(SEARCH("勞假",AF19)))</formula>
    </cfRule>
    <cfRule type="containsText" dxfId="160" priority="476" stopIfTrue="1" operator="containsText" text="補假">
      <formula>NOT(ISERROR(SEARCH("補假",AF19)))</formula>
    </cfRule>
    <cfRule type="containsText" dxfId="159" priority="477" stopIfTrue="1" operator="containsText" text="例假">
      <formula>NOT(ISERROR(SEARCH("例假",AF19)))</formula>
    </cfRule>
    <cfRule type="containsText" dxfId="158" priority="478" stopIfTrue="1" operator="containsText" text="病假">
      <formula>NOT(ISERROR(SEARCH("病假",AF19)))</formula>
    </cfRule>
    <cfRule type="containsText" dxfId="157" priority="479" stopIfTrue="1" operator="containsText" text="大假">
      <formula>NOT(ISERROR(SEARCH("大假",AF19)))</formula>
    </cfRule>
    <cfRule type="containsText" dxfId="156" priority="480" stopIfTrue="1" operator="containsText" text="無薪">
      <formula>NOT(ISERROR(SEARCH("無薪",AF19)))</formula>
    </cfRule>
    <cfRule type="containsText" dxfId="155" priority="481" stopIfTrue="1" operator="containsText" text="疫苗">
      <formula>NOT(ISERROR(SEARCH("疫苗",AF19)))</formula>
    </cfRule>
    <cfRule type="containsText" dxfId="154" priority="482" stopIfTrue="1" operator="containsText" text="勞假">
      <formula>NOT(ISERROR(SEARCH("勞假",AF19)))</formula>
    </cfRule>
    <cfRule type="containsText" dxfId="153" priority="483" stopIfTrue="1" operator="containsText" text="補假">
      <formula>NOT(ISERROR(SEARCH("補假",AF19)))</formula>
    </cfRule>
    <cfRule type="containsText" dxfId="152" priority="484" stopIfTrue="1" operator="containsText" text="例假">
      <formula>NOT(ISERROR(SEARCH("例假",AF19)))</formula>
    </cfRule>
    <cfRule type="containsText" dxfId="151" priority="485" stopIfTrue="1" operator="containsText" text="病假">
      <formula>NOT(ISERROR(SEARCH("病假",AF19)))</formula>
    </cfRule>
    <cfRule type="containsText" dxfId="150" priority="486" stopIfTrue="1" operator="containsText" text="大假">
      <formula>NOT(ISERROR(SEARCH("大假",AF19)))</formula>
    </cfRule>
    <cfRule type="containsText" dxfId="149" priority="487" stopIfTrue="1" operator="containsText" text="無薪">
      <formula>NOT(ISERROR(SEARCH("無薪",AF19)))</formula>
    </cfRule>
    <cfRule type="containsText" dxfId="148" priority="488" stopIfTrue="1" operator="containsText" text="TIL">
      <formula>NOT(ISERROR(SEARCH("TIL",AF19)))</formula>
    </cfRule>
    <cfRule type="containsText" dxfId="147" priority="489" stopIfTrue="1" operator="containsText" text="疫苗">
      <formula>NOT(ISERROR(SEARCH("疫苗",AF19)))</formula>
    </cfRule>
    <cfRule type="containsText" dxfId="146" priority="490" stopIfTrue="1" operator="containsText" text="勞假">
      <formula>NOT(ISERROR(SEARCH("勞假",AF19)))</formula>
    </cfRule>
    <cfRule type="containsText" dxfId="145" priority="491" stopIfTrue="1" operator="containsText" text="補假">
      <formula>NOT(ISERROR(SEARCH("補假",AF19)))</formula>
    </cfRule>
    <cfRule type="containsText" dxfId="144" priority="492" stopIfTrue="1" operator="containsText" text="例假">
      <formula>NOT(ISERROR(SEARCH("例假",AF19)))</formula>
    </cfRule>
    <cfRule type="containsText" dxfId="143" priority="493" stopIfTrue="1" operator="containsText" text="病假">
      <formula>NOT(ISERROR(SEARCH("病假",AF19)))</formula>
    </cfRule>
    <cfRule type="containsText" dxfId="142" priority="494" stopIfTrue="1" operator="containsText" text="大假">
      <formula>NOT(ISERROR(SEARCH("大假",AF19)))</formula>
    </cfRule>
    <cfRule type="containsText" dxfId="141" priority="495" stopIfTrue="1" operator="containsText" text="無薪">
      <formula>NOT(ISERROR(SEARCH("無薪",AF19)))</formula>
    </cfRule>
    <cfRule type="containsText" dxfId="140" priority="496" stopIfTrue="1" operator="containsText" text="TIL">
      <formula>NOT(ISERROR(SEARCH("TIL",AF19)))</formula>
    </cfRule>
    <cfRule type="containsText" dxfId="139" priority="497" stopIfTrue="1" operator="containsText" text="疫苗">
      <formula>NOT(ISERROR(SEARCH("疫苗",AF19)))</formula>
    </cfRule>
    <cfRule type="containsText" dxfId="138" priority="498" stopIfTrue="1" operator="containsText" text="勞假">
      <formula>NOT(ISERROR(SEARCH("勞假",AF19)))</formula>
    </cfRule>
    <cfRule type="containsText" dxfId="137" priority="499" stopIfTrue="1" operator="containsText" text="補假">
      <formula>NOT(ISERROR(SEARCH("補假",AF19)))</formula>
    </cfRule>
    <cfRule type="containsText" dxfId="136" priority="500" stopIfTrue="1" operator="containsText" text="例假">
      <formula>NOT(ISERROR(SEARCH("例假",AF19)))</formula>
    </cfRule>
    <cfRule type="containsText" dxfId="135" priority="501" stopIfTrue="1" operator="containsText" text="病假">
      <formula>NOT(ISERROR(SEARCH("病假",AF19)))</formula>
    </cfRule>
    <cfRule type="containsText" dxfId="134" priority="502" stopIfTrue="1" operator="containsText" text="大假">
      <formula>NOT(ISERROR(SEARCH("大假",AF19)))</formula>
    </cfRule>
    <cfRule type="containsText" dxfId="133" priority="503" stopIfTrue="1" operator="containsText" text="TIL">
      <formula>NOT(ISERROR(SEARCH("TIL",AF19)))</formula>
    </cfRule>
    <cfRule type="cellIs" dxfId="132" priority="504" stopIfTrue="1" operator="equal">
      <formula>"NP"</formula>
    </cfRule>
    <cfRule type="cellIs" dxfId="131" priority="505" stopIfTrue="1" operator="equal">
      <formula>"RD"</formula>
    </cfRule>
    <cfRule type="containsText" dxfId="130" priority="506" stopIfTrue="1" operator="containsText" text="TIL">
      <formula>NOT(ISERROR(SEARCH("TIL",AF19)))</formula>
    </cfRule>
    <cfRule type="containsText" dxfId="129" priority="507" stopIfTrue="1" operator="containsText" text="疫苗">
      <formula>NOT(ISERROR(SEARCH("疫苗",AF19)))</formula>
    </cfRule>
    <cfRule type="containsText" dxfId="128" priority="508" stopIfTrue="1" operator="containsText" text="勞假">
      <formula>NOT(ISERROR(SEARCH("勞假",AF19)))</formula>
    </cfRule>
    <cfRule type="containsText" dxfId="127" priority="509" stopIfTrue="1" operator="containsText" text="補假">
      <formula>NOT(ISERROR(SEARCH("補假",AF19)))</formula>
    </cfRule>
    <cfRule type="containsText" dxfId="126" priority="510" stopIfTrue="1" operator="containsText" text="例假">
      <formula>NOT(ISERROR(SEARCH("例假",AF19)))</formula>
    </cfRule>
    <cfRule type="containsText" dxfId="125" priority="511" stopIfTrue="1" operator="containsText" text="病假">
      <formula>NOT(ISERROR(SEARCH("病假",AF19)))</formula>
    </cfRule>
    <cfRule type="containsText" dxfId="124" priority="512" stopIfTrue="1" operator="containsText" text="大假">
      <formula>NOT(ISERROR(SEARCH("大假",AF19)))</formula>
    </cfRule>
    <cfRule type="containsText" dxfId="123" priority="513" stopIfTrue="1" operator="containsText" text="TIL">
      <formula>NOT(ISERROR(SEARCH("TIL",AF19)))</formula>
    </cfRule>
    <cfRule type="containsText" dxfId="122" priority="514" stopIfTrue="1" operator="containsText" text="疫苗">
      <formula>NOT(ISERROR(SEARCH("疫苗",AF19)))</formula>
    </cfRule>
    <cfRule type="containsText" dxfId="121" priority="515" stopIfTrue="1" operator="containsText" text="勞假">
      <formula>NOT(ISERROR(SEARCH("勞假",AF19)))</formula>
    </cfRule>
    <cfRule type="containsText" dxfId="120" priority="516" stopIfTrue="1" operator="containsText" text="補假">
      <formula>NOT(ISERROR(SEARCH("補假",AF19)))</formula>
    </cfRule>
    <cfRule type="containsText" dxfId="119" priority="517" stopIfTrue="1" operator="containsText" text="例假">
      <formula>NOT(ISERROR(SEARCH("例假",AF19)))</formula>
    </cfRule>
    <cfRule type="containsText" dxfId="118" priority="518" stopIfTrue="1" operator="containsText" text="病假">
      <formula>NOT(ISERROR(SEARCH("病假",AF19)))</formula>
    </cfRule>
    <cfRule type="containsText" dxfId="117" priority="519" stopIfTrue="1" operator="containsText" text="大假">
      <formula>NOT(ISERROR(SEARCH("大假",AF19)))</formula>
    </cfRule>
    <cfRule type="containsText" dxfId="116" priority="520" stopIfTrue="1" operator="containsText" text="無薪">
      <formula>NOT(ISERROR(SEARCH("無薪",AF19)))</formula>
    </cfRule>
    <cfRule type="containsText" dxfId="115" priority="521" stopIfTrue="1" operator="containsText" text="疫苗">
      <formula>NOT(ISERROR(SEARCH("疫苗",AF19)))</formula>
    </cfRule>
    <cfRule type="containsText" dxfId="114" priority="522" stopIfTrue="1" operator="containsText" text="勞假">
      <formula>NOT(ISERROR(SEARCH("勞假",AF19)))</formula>
    </cfRule>
    <cfRule type="containsText" dxfId="113" priority="523" stopIfTrue="1" operator="containsText" text="補假">
      <formula>NOT(ISERROR(SEARCH("補假",AF19)))</formula>
    </cfRule>
    <cfRule type="containsText" dxfId="112" priority="524" stopIfTrue="1" operator="containsText" text="例假">
      <formula>NOT(ISERROR(SEARCH("例假",AF19)))</formula>
    </cfRule>
    <cfRule type="containsText" dxfId="111" priority="525" stopIfTrue="1" operator="containsText" text="病假">
      <formula>NOT(ISERROR(SEARCH("病假",AF19)))</formula>
    </cfRule>
    <cfRule type="containsText" dxfId="110" priority="526" stopIfTrue="1" operator="containsText" text="大假">
      <formula>NOT(ISERROR(SEARCH("大假",AF19)))</formula>
    </cfRule>
    <cfRule type="containsText" dxfId="109" priority="527" stopIfTrue="1" operator="containsText" text="無薪">
      <formula>NOT(ISERROR(SEARCH("無薪",AF19)))</formula>
    </cfRule>
    <cfRule type="containsText" dxfId="108" priority="528" stopIfTrue="1" operator="containsText" text="TIL">
      <formula>NOT(ISERROR(SEARCH("TIL",AF19)))</formula>
    </cfRule>
    <cfRule type="containsText" dxfId="107" priority="529" stopIfTrue="1" operator="containsText" text="疫苗">
      <formula>NOT(ISERROR(SEARCH("疫苗",AF19)))</formula>
    </cfRule>
    <cfRule type="containsText" dxfId="106" priority="530" stopIfTrue="1" operator="containsText" text="勞假">
      <formula>NOT(ISERROR(SEARCH("勞假",AF19)))</formula>
    </cfRule>
    <cfRule type="containsText" dxfId="105" priority="531" stopIfTrue="1" operator="containsText" text="補假">
      <formula>NOT(ISERROR(SEARCH("補假",AF19)))</formula>
    </cfRule>
    <cfRule type="containsText" dxfId="104" priority="532" stopIfTrue="1" operator="containsText" text="例假">
      <formula>NOT(ISERROR(SEARCH("例假",AF19)))</formula>
    </cfRule>
    <cfRule type="containsText" dxfId="103" priority="533" stopIfTrue="1" operator="containsText" text="病假">
      <formula>NOT(ISERROR(SEARCH("病假",AF19)))</formula>
    </cfRule>
    <cfRule type="containsText" dxfId="102" priority="534" stopIfTrue="1" operator="containsText" text="大假">
      <formula>NOT(ISERROR(SEARCH("大假",AF19)))</formula>
    </cfRule>
    <cfRule type="containsText" dxfId="101" priority="535" stopIfTrue="1" operator="containsText" text="無薪">
      <formula>NOT(ISERROR(SEARCH("無薪",AF19)))</formula>
    </cfRule>
    <cfRule type="containsText" dxfId="100" priority="536" stopIfTrue="1" operator="containsText" text="TIL">
      <formula>NOT(ISERROR(SEARCH("TIL",AF19)))</formula>
    </cfRule>
    <cfRule type="containsText" dxfId="99" priority="537" stopIfTrue="1" operator="containsText" text="疫苗">
      <formula>NOT(ISERROR(SEARCH("疫苗",AF19)))</formula>
    </cfRule>
    <cfRule type="containsText" dxfId="98" priority="538" stopIfTrue="1" operator="containsText" text="勞假">
      <formula>NOT(ISERROR(SEARCH("勞假",AF19)))</formula>
    </cfRule>
    <cfRule type="containsText" dxfId="97" priority="539" stopIfTrue="1" operator="containsText" text="補假">
      <formula>NOT(ISERROR(SEARCH("補假",AF19)))</formula>
    </cfRule>
    <cfRule type="containsText" dxfId="96" priority="540" stopIfTrue="1" operator="containsText" text="例假">
      <formula>NOT(ISERROR(SEARCH("例假",AF19)))</formula>
    </cfRule>
    <cfRule type="containsText" dxfId="95" priority="541" stopIfTrue="1" operator="containsText" text="病假">
      <formula>NOT(ISERROR(SEARCH("病假",AF19)))</formula>
    </cfRule>
    <cfRule type="containsText" dxfId="94" priority="542" stopIfTrue="1" operator="containsText" text="大假">
      <formula>NOT(ISERROR(SEARCH("大假",AF19)))</formula>
    </cfRule>
    <cfRule type="containsText" dxfId="93" priority="543" stopIfTrue="1" operator="containsText" text="無薪">
      <formula>NOT(ISERROR(SEARCH("無薪",AF19)))</formula>
    </cfRule>
    <cfRule type="cellIs" dxfId="92" priority="544" operator="equal">
      <formula>"NC"</formula>
    </cfRule>
    <cfRule type="cellIs" dxfId="91" priority="545" operator="equal">
      <formula>"nd"</formula>
    </cfRule>
    <cfRule type="cellIs" dxfId="90" priority="546" operator="equal">
      <formula>0</formula>
    </cfRule>
    <cfRule type="cellIs" dxfId="89" priority="547" operator="equal">
      <formula>"R"</formula>
    </cfRule>
    <cfRule type="cellIs" dxfId="88" priority="548" operator="equal">
      <formula>"NH12"</formula>
    </cfRule>
    <cfRule type="cellIs" dxfId="87" priority="549" operator="equal">
      <formula>"Nh11"</formula>
    </cfRule>
    <cfRule type="containsText" dxfId="86" priority="550" stopIfTrue="1" operator="containsText" text="TIL">
      <formula>NOT(ISERROR(SEARCH("TIL",AF19)))</formula>
    </cfRule>
    <cfRule type="containsText" dxfId="85" priority="551" stopIfTrue="1" operator="containsText" text="疫苗">
      <formula>NOT(ISERROR(SEARCH("疫苗",AF19)))</formula>
    </cfRule>
    <cfRule type="containsText" dxfId="84" priority="552" stopIfTrue="1" operator="containsText" text="勞假">
      <formula>NOT(ISERROR(SEARCH("勞假",AF19)))</formula>
    </cfRule>
    <cfRule type="containsText" dxfId="83" priority="553" stopIfTrue="1" operator="containsText" text="補假">
      <formula>NOT(ISERROR(SEARCH("補假",AF19)))</formula>
    </cfRule>
    <cfRule type="containsText" dxfId="82" priority="554" stopIfTrue="1" operator="containsText" text="例假">
      <formula>NOT(ISERROR(SEARCH("例假",AF19)))</formula>
    </cfRule>
    <cfRule type="containsText" dxfId="81" priority="555" stopIfTrue="1" operator="containsText" text="病假">
      <formula>NOT(ISERROR(SEARCH("病假",AF19)))</formula>
    </cfRule>
    <cfRule type="containsText" dxfId="80" priority="556" stopIfTrue="1" operator="containsText" text="大假">
      <formula>NOT(ISERROR(SEARCH("大假",AF19)))</formula>
    </cfRule>
    <cfRule type="containsText" dxfId="79" priority="557" stopIfTrue="1" operator="containsText" text="無薪">
      <formula>NOT(ISERROR(SEARCH("無薪",AF19)))</formula>
    </cfRule>
    <cfRule type="containsText" dxfId="78" priority="558" stopIfTrue="1" operator="containsText" text="TIL">
      <formula>NOT(ISERROR(SEARCH("TIL",AF19)))</formula>
    </cfRule>
    <cfRule type="containsText" dxfId="77" priority="559" stopIfTrue="1" operator="containsText" text="疫苗">
      <formula>NOT(ISERROR(SEARCH("疫苗",AF19)))</formula>
    </cfRule>
    <cfRule type="containsText" dxfId="76" priority="560" stopIfTrue="1" operator="containsText" text="勞假">
      <formula>NOT(ISERROR(SEARCH("勞假",AF19)))</formula>
    </cfRule>
    <cfRule type="containsText" dxfId="75" priority="561" stopIfTrue="1" operator="containsText" text="補假">
      <formula>NOT(ISERROR(SEARCH("補假",AF19)))</formula>
    </cfRule>
    <cfRule type="containsText" dxfId="74" priority="562" stopIfTrue="1" operator="containsText" text="例假">
      <formula>NOT(ISERROR(SEARCH("例假",AF19)))</formula>
    </cfRule>
    <cfRule type="containsText" dxfId="73" priority="563" stopIfTrue="1" operator="containsText" text="病假">
      <formula>NOT(ISERROR(SEARCH("病假",AF19)))</formula>
    </cfRule>
    <cfRule type="containsText" dxfId="72" priority="564" stopIfTrue="1" operator="containsText" text="大假">
      <formula>NOT(ISERROR(SEARCH("大假",AF19)))</formula>
    </cfRule>
    <cfRule type="containsText" dxfId="71" priority="565" stopIfTrue="1" operator="containsText" text="無薪">
      <formula>NOT(ISERROR(SEARCH("無薪",AF19)))</formula>
    </cfRule>
    <cfRule type="containsText" dxfId="70" priority="566" stopIfTrue="1" operator="containsText" text="疫苗">
      <formula>NOT(ISERROR(SEARCH("疫苗",AF19)))</formula>
    </cfRule>
    <cfRule type="containsText" dxfId="69" priority="567" stopIfTrue="1" operator="containsText" text="勞假">
      <formula>NOT(ISERROR(SEARCH("勞假",AF19)))</formula>
    </cfRule>
    <cfRule type="containsText" dxfId="68" priority="568" stopIfTrue="1" operator="containsText" text="補假">
      <formula>NOT(ISERROR(SEARCH("補假",AF19)))</formula>
    </cfRule>
    <cfRule type="containsText" dxfId="67" priority="569" stopIfTrue="1" operator="containsText" text="例假">
      <formula>NOT(ISERROR(SEARCH("例假",AF19)))</formula>
    </cfRule>
    <cfRule type="containsText" dxfId="66" priority="570" stopIfTrue="1" operator="containsText" text="病假">
      <formula>NOT(ISERROR(SEARCH("病假",AF19)))</formula>
    </cfRule>
    <cfRule type="containsText" dxfId="65" priority="571" stopIfTrue="1" operator="containsText" text="大假">
      <formula>NOT(ISERROR(SEARCH("大假",AF19)))</formula>
    </cfRule>
  </conditionalFormatting>
  <conditionalFormatting sqref="AF52:AF53">
    <cfRule type="cellIs" dxfId="64" priority="1127" operator="equal">
      <formula>"NC"</formula>
    </cfRule>
  </conditionalFormatting>
  <conditionalFormatting sqref="AF10:AH11">
    <cfRule type="cellIs" dxfId="63" priority="1113" operator="equal">
      <formula>"VO"</formula>
    </cfRule>
    <cfRule type="cellIs" dxfId="62" priority="1114" operator="equal">
      <formula>"CW"</formula>
    </cfRule>
    <cfRule type="cellIs" dxfId="61" priority="1115" operator="equal">
      <formula>"CF"</formula>
    </cfRule>
  </conditionalFormatting>
  <conditionalFormatting sqref="AF5:AH6 AF12:AH12 AF16:AH17 AF39:AH40 AF48:AH48 AF50:AH51 AH52 AF53:AH55">
    <cfRule type="cellIs" dxfId="60" priority="1135" operator="equal">
      <formula>"R"</formula>
    </cfRule>
  </conditionalFormatting>
  <conditionalFormatting sqref="AH52:AH55 AF50:AH51">
    <cfRule type="cellIs" dxfId="59" priority="1167" stopIfTrue="1" operator="equal">
      <formula>"RD"</formula>
    </cfRule>
  </conditionalFormatting>
  <conditionalFormatting sqref="AH52:AH55">
    <cfRule type="cellIs" dxfId="58" priority="1166" stopIfTrue="1" operator="equal">
      <formula>"NP"</formula>
    </cfRule>
  </conditionalFormatting>
  <conditionalFormatting sqref="AF16:AH17 AF40:AH40">
    <cfRule type="cellIs" dxfId="57" priority="936" stopIfTrue="1" operator="equal">
      <formula>"NP"</formula>
    </cfRule>
  </conditionalFormatting>
  <conditionalFormatting sqref="AF12:AH12 AF39:AH40 AF48:AH48 AF53:AH1048576 AF5:AH6 AF16:AH17 AF50:AH51 AH52">
    <cfRule type="cellIs" dxfId="56" priority="1147" operator="equal">
      <formula>"NC"</formula>
    </cfRule>
  </conditionalFormatting>
  <conditionalFormatting sqref="AK5:AK8 AK35 AK42:AK44 AK39:AK40 AK16:AK17">
    <cfRule type="cellIs" dxfId="55" priority="28" stopIfTrue="1" operator="equal">
      <formula>"RD"</formula>
    </cfRule>
  </conditionalFormatting>
  <conditionalFormatting sqref="AK39">
    <cfRule type="cellIs" dxfId="54" priority="6" stopIfTrue="1" operator="equal">
      <formula>"NP"</formula>
    </cfRule>
  </conditionalFormatting>
  <conditionalFormatting sqref="AK16:AK35 AK50:AK1048576 AK48 AK39:AK44 AK12 AK5:AK8">
    <cfRule type="cellIs" dxfId="53" priority="18" operator="equal">
      <formula>"NC"</formula>
    </cfRule>
  </conditionalFormatting>
  <conditionalFormatting sqref="AK56:AK1048576">
    <cfRule type="cellIs" dxfId="52" priority="23" operator="equal">
      <formula>"R"</formula>
    </cfRule>
    <cfRule type="cellIs" dxfId="51" priority="24" operator="equal">
      <formula>"NH11"</formula>
    </cfRule>
  </conditionalFormatting>
  <conditionalFormatting sqref="AK16:AK35 AK10:AK12 AK39:AK44">
    <cfRule type="cellIs" dxfId="50" priority="14" operator="equal">
      <formula>"SH"</formula>
    </cfRule>
  </conditionalFormatting>
  <conditionalFormatting sqref="AK39:AK44 AK16:AK35 AK12">
    <cfRule type="cellIs" dxfId="49" priority="33" operator="equal">
      <formula>"NH"</formula>
    </cfRule>
  </conditionalFormatting>
  <conditionalFormatting sqref="AK50:AK55 AK48 AK39:AK44 AK16:AK35 AK12">
    <cfRule type="cellIs" dxfId="48" priority="19" operator="equal">
      <formula>"NH11"</formula>
    </cfRule>
  </conditionalFormatting>
  <conditionalFormatting sqref="AK12">
    <cfRule type="cellIs" dxfId="47" priority="36" stopIfTrue="1" operator="equal">
      <formula>"NP"</formula>
    </cfRule>
    <cfRule type="cellIs" dxfId="46" priority="37" stopIfTrue="1" operator="equal">
      <formula>"RD"</formula>
    </cfRule>
  </conditionalFormatting>
  <conditionalFormatting sqref="AK18:AK34">
    <cfRule type="containsText" dxfId="45" priority="34" stopIfTrue="1" operator="containsText" text="無薪">
      <formula>NOT(ISERROR(SEARCH("無薪",AK18)))</formula>
    </cfRule>
  </conditionalFormatting>
  <conditionalFormatting sqref="AK18:AK34">
    <cfRule type="containsText" dxfId="44" priority="25" stopIfTrue="1" operator="containsText" text="疫苗">
      <formula>NOT(ISERROR(SEARCH("疫苗",AK18)))</formula>
    </cfRule>
    <cfRule type="containsText" dxfId="43" priority="26" stopIfTrue="1" operator="containsText" text="TIL">
      <formula>NOT(ISERROR(SEARCH("TIL",AK18)))</formula>
    </cfRule>
    <cfRule type="containsText" dxfId="42" priority="38" stopIfTrue="1" operator="containsText" text="補假">
      <formula>NOT(ISERROR(SEARCH("補假",AK18)))</formula>
    </cfRule>
    <cfRule type="containsText" dxfId="41" priority="39" stopIfTrue="1" operator="containsText" text="例假">
      <formula>NOT(ISERROR(SEARCH("例假",AK18)))</formula>
    </cfRule>
    <cfRule type="containsText" dxfId="40" priority="40" stopIfTrue="1" operator="containsText" text="大假">
      <formula>NOT(ISERROR(SEARCH("大假",AK18)))</formula>
    </cfRule>
  </conditionalFormatting>
  <conditionalFormatting sqref="AK41">
    <cfRule type="containsText" dxfId="39" priority="7" stopIfTrue="1" operator="containsText" text="疫苗">
      <formula>NOT(ISERROR(SEARCH("疫苗",AK41)))</formula>
    </cfRule>
    <cfRule type="containsText" dxfId="38" priority="8" stopIfTrue="1" operator="containsText" text="TIL">
      <formula>NOT(ISERROR(SEARCH("TIL",AK41)))</formula>
    </cfRule>
    <cfRule type="containsText" dxfId="37" priority="9" stopIfTrue="1" operator="containsText" text="無薪">
      <formula>NOT(ISERROR(SEARCH("無薪",AK41)))</formula>
    </cfRule>
    <cfRule type="containsText" dxfId="36" priority="11" stopIfTrue="1" operator="containsText" text="補假">
      <formula>NOT(ISERROR(SEARCH("補假",AK41)))</formula>
    </cfRule>
    <cfRule type="containsText" dxfId="35" priority="12" stopIfTrue="1" operator="containsText" text="例假">
      <formula>NOT(ISERROR(SEARCH("例假",AK41)))</formula>
    </cfRule>
    <cfRule type="containsText" dxfId="34" priority="13" stopIfTrue="1" operator="containsText" text="大假">
      <formula>NOT(ISERROR(SEARCH("大假",AK41)))</formula>
    </cfRule>
  </conditionalFormatting>
  <conditionalFormatting sqref="AK10:AK11">
    <cfRule type="cellIs" dxfId="33" priority="16" stopIfTrue="1" operator="equal">
      <formula>"RD"</formula>
    </cfRule>
  </conditionalFormatting>
  <conditionalFormatting sqref="AK10:AK11">
    <cfRule type="cellIs" dxfId="32" priority="15" stopIfTrue="1" operator="equal">
      <formula>"NP"</formula>
    </cfRule>
    <cfRule type="cellIs" dxfId="31" priority="20" operator="equal">
      <formula>"NC"</formula>
    </cfRule>
    <cfRule type="cellIs" dxfId="30" priority="21" operator="equal">
      <formula>"NC"</formula>
    </cfRule>
    <cfRule type="cellIs" dxfId="29" priority="22" operator="equal">
      <formula>"R"</formula>
    </cfRule>
  </conditionalFormatting>
  <conditionalFormatting sqref="AK50:AK55 AK48 AK39:AK44 AK16:AK35 AK12 AK5:AK8">
    <cfRule type="cellIs" dxfId="28" priority="27" operator="equal">
      <formula>"R"</formula>
    </cfRule>
  </conditionalFormatting>
  <conditionalFormatting sqref="AK35 AK42:AK44 AK5:AK8 AK40 AK16:AK17">
    <cfRule type="cellIs" dxfId="27" priority="17" stopIfTrue="1" operator="equal">
      <formula>"NP"</formula>
    </cfRule>
  </conditionalFormatting>
  <conditionalFormatting sqref="AK16:AK35 AK39:AK44 AK12 AK5:AK8">
    <cfRule type="cellIs" dxfId="26" priority="30" operator="equal">
      <formula>"NC"</formula>
    </cfRule>
  </conditionalFormatting>
  <conditionalFormatting sqref="AL7:AL8">
    <cfRule type="cellIs" dxfId="25" priority="4" stopIfTrue="1" operator="equal">
      <formula>"RD"</formula>
    </cfRule>
  </conditionalFormatting>
  <conditionalFormatting sqref="AL7:AL8">
    <cfRule type="cellIs" dxfId="24" priority="2" operator="equal">
      <formula>"NC"</formula>
    </cfRule>
  </conditionalFormatting>
  <conditionalFormatting sqref="AL7:AL8">
    <cfRule type="cellIs" dxfId="23" priority="3" operator="equal">
      <formula>"R"</formula>
    </cfRule>
  </conditionalFormatting>
  <conditionalFormatting sqref="AL7:AL8">
    <cfRule type="cellIs" dxfId="22" priority="1" stopIfTrue="1" operator="equal">
      <formula>"NP"</formula>
    </cfRule>
  </conditionalFormatting>
  <conditionalFormatting sqref="AL7:AL8">
    <cfRule type="cellIs" dxfId="21" priority="5" operator="equal">
      <formula>"NC"</formula>
    </cfRule>
  </conditionalFormatting>
  <printOptions horizontalCentered="1"/>
  <pageMargins left="0.23622047244094491" right="0.23622047244094491" top="0.55118110236220474" bottom="0.35433070866141736" header="0.31496062992125984" footer="0.31496062992125984"/>
  <pageSetup paperSize="9" scale="3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03" operator="containsText" id="{C212CBC4-CED4-431C-8FBC-B77751CD01E3}">
            <xm:f>NOT(ISERROR(SEARCH("SL",D38)))</xm:f>
            <xm:f>"SL"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309" operator="containsText" id="{A4B95860-6999-4174-98EF-AA63C7B03573}">
            <xm:f>NOT(ISERROR(SEARCH("SL",D38)))</xm:f>
            <xm:f>"SL"</xm:f>
            <x14:dxf>
              <fill>
                <patternFill>
                  <bgColor rgb="FF00FFFF"/>
                </patternFill>
              </fill>
            </x14:dxf>
          </x14:cfRule>
          <xm:sqref>D38 K38 R38 Y38</xm:sqref>
        </x14:conditionalFormatting>
        <x14:conditionalFormatting xmlns:xm="http://schemas.microsoft.com/office/excel/2006/main">
          <x14:cfRule type="containsText" priority="1248" operator="containsText" id="{0269E8AD-C65E-4505-BD8B-65C625EDD133}">
            <xm:f>NOT(ISERROR(SEARCH("SH",D45)))</xm:f>
            <xm:f>"SH"</xm:f>
            <x14:dxf>
              <fill>
                <patternFill>
                  <bgColor rgb="FFCC99FF"/>
                </patternFill>
              </fill>
            </x14:dxf>
          </x14:cfRule>
          <xm:sqref>D45 K45 R45 Y45</xm:sqref>
        </x14:conditionalFormatting>
        <x14:conditionalFormatting xmlns:xm="http://schemas.microsoft.com/office/excel/2006/main">
          <x14:cfRule type="containsText" priority="1228" operator="containsText" id="{B9EB0928-2D53-4884-B1C8-44A215435B2F}">
            <xm:f>NOT(ISERROR(SEARCH("SL",D46)))</xm:f>
            <xm:f>"SL"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31" operator="containsText" id="{16BEB727-431E-4A74-AABA-DE22D62AE267}">
            <xm:f>NOT(ISERROR(SEARCH("SL",D46)))</xm:f>
            <xm:f>"SL"</xm:f>
            <x14:dxf>
              <fill>
                <patternFill>
                  <bgColor rgb="FF00FFFF"/>
                </patternFill>
              </fill>
            </x14:dxf>
          </x14:cfRule>
          <xm:sqref>D46 K46 R46 Y46</xm:sqref>
        </x14:conditionalFormatting>
        <x14:conditionalFormatting xmlns:xm="http://schemas.microsoft.com/office/excel/2006/main">
          <x14:cfRule type="containsText" priority="1230" operator="containsText" id="{371A3F0E-6777-4FB1-8B05-19CD21AF508E}">
            <xm:f>NOT(ISERROR(SEARCH("SH",D46)))</xm:f>
            <xm:f>"SH"</xm:f>
            <x14:dxf>
              <fill>
                <patternFill>
                  <bgColor rgb="FFCC99FF"/>
                </patternFill>
              </fill>
            </x14:dxf>
          </x14:cfRule>
          <xm:sqref>D46:D47 K46:K47 R46:R47 Y46:Y47</xm:sqref>
        </x14:conditionalFormatting>
        <x14:conditionalFormatting xmlns:xm="http://schemas.microsoft.com/office/excel/2006/main">
          <x14:cfRule type="containsText" priority="1210" operator="containsText" id="{F6DD7553-F732-4FE8-8B1D-7174A54DDDB4}">
            <xm:f>NOT(ISERROR(SEARCH("SL",D47)))</xm:f>
            <xm:f>"SL"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16" operator="containsText" id="{AE5B24F6-DAE0-484E-B614-EEFE7EFE26AD}">
            <xm:f>NOT(ISERROR(SEARCH("SL",D47)))</xm:f>
            <xm:f>"SL"</xm:f>
            <x14:dxf>
              <fill>
                <patternFill>
                  <bgColor rgb="FF00FFFF"/>
                </patternFill>
              </fill>
            </x14:dxf>
          </x14:cfRule>
          <xm:sqref>D47 K47 R47 Y47</xm:sqref>
        </x14:conditionalFormatting>
        <x14:conditionalFormatting xmlns:xm="http://schemas.microsoft.com/office/excel/2006/main">
          <x14:cfRule type="containsText" priority="7370" operator="containsText" id="{483DDD39-1CD5-40BD-B713-9A1E44834B78}">
            <xm:f>NOT(ISERROR(SEARCH("SL",D12)))</xm:f>
            <xm:f>"SL"</xm:f>
            <x14:dxf>
              <fill>
                <patternFill>
                  <bgColor theme="5" tint="0.59996337778862885"/>
                </patternFill>
              </fill>
            </x14:dxf>
          </x14:cfRule>
          <xm:sqref>D12:AE13 D14:D15 D16:AE17 D35:AE36 D37 D39:AE40 K14:K15 R14:R15 Y14:Y15 K37 R37 Y37 D44:AE44</xm:sqref>
        </x14:conditionalFormatting>
        <x14:conditionalFormatting xmlns:xm="http://schemas.microsoft.com/office/excel/2006/main">
          <x14:cfRule type="containsText" priority="8431" operator="containsText" id="{EC7DF7EF-3DA8-4DFC-A33F-7D34FE115BA1}">
            <xm:f>NOT(ISERROR(SEARCH("SL",D12)))</xm:f>
            <xm:f>"SL"</xm:f>
            <x14:dxf>
              <fill>
                <patternFill>
                  <bgColor rgb="FF00FFFF"/>
                </patternFill>
              </fill>
            </x14:dxf>
          </x14:cfRule>
          <xm:sqref>D12:AE13 D14:D15 K14:K15 R14:R15 Y14:Y15 D16:AE17 D35:AE36 D37 K37 R37 Y37 D39:AE40 D44:AE44</xm:sqref>
        </x14:conditionalFormatting>
        <x14:conditionalFormatting xmlns:xm="http://schemas.microsoft.com/office/excel/2006/main">
          <x14:cfRule type="containsText" priority="1247" operator="containsText" id="{050A3EA3-C613-4D31-997E-5C08DB45A325}">
            <xm:f>NOT(ISERROR(SEARCH("SL",D45)))</xm:f>
            <xm:f>"SL"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1249" operator="containsText" id="{DA2D4ABD-9A63-425A-8742-902539F60671}">
            <xm:f>NOT(ISERROR(SEARCH("SL",D45)))</xm:f>
            <xm:f>"SL"</xm:f>
            <x14:dxf>
              <fill>
                <patternFill>
                  <bgColor rgb="FF00FFFF"/>
                </patternFill>
              </fill>
            </x14:dxf>
          </x14:cfRule>
          <xm:sqref>D45:AE45</xm:sqref>
        </x14:conditionalFormatting>
        <x14:conditionalFormatting xmlns:xm="http://schemas.microsoft.com/office/excel/2006/main">
          <x14:cfRule type="containsText" priority="8296" operator="containsText" id="{C5A9F368-9E0E-401D-A51A-026D4461DC04}">
            <xm:f>NOT(ISERROR(SEARCH("SH",D12)))</xm:f>
            <xm:f>"SH"</xm:f>
            <x14:dxf>
              <fill>
                <patternFill>
                  <bgColor rgb="FFCC99FF"/>
                </patternFill>
              </fill>
            </x14:dxf>
          </x14:cfRule>
          <xm:sqref>AI18:AJ34 D12:AE12 D13:D15 K13:K15 R13:R15 Y13:Y15 D16:AE17 D36:D38 K36:K38 R36:R38 Y36:Y38 D39:AE40 D35:AE35 AL18:AM34</xm:sqref>
        </x14:conditionalFormatting>
        <x14:conditionalFormatting xmlns:xm="http://schemas.microsoft.com/office/excel/2006/main">
          <x14:cfRule type="containsText" priority="2777" operator="containsText" id="{44615758-B34D-4DC5-A987-DC1B1E87894E}">
            <xm:f>NOT(ISERROR(SEARCH("SH",AI41)))</xm:f>
            <xm:f>"SH"</xm:f>
            <x14:dxf>
              <fill>
                <patternFill>
                  <bgColor rgb="FFCC99FF"/>
                </patternFill>
              </fill>
            </x14:dxf>
          </x14:cfRule>
          <xm:sqref>AI41:AJ41 AL41:AM41</xm:sqref>
        </x14:conditionalFormatting>
        <x14:conditionalFormatting xmlns:xm="http://schemas.microsoft.com/office/excel/2006/main">
          <x14:cfRule type="containsText" priority="1148" operator="containsText" id="{F7261056-4FAE-42ED-8C25-A27F07A9ADAD}">
            <xm:f>NOT(ISERROR(SEARCH("SL",AF12)))</xm:f>
            <xm:f>"SL"</xm:f>
            <x14:dxf>
              <fill>
                <patternFill>
                  <bgColor theme="5" tint="0.59996337778862885"/>
                </patternFill>
              </fill>
            </x14:dxf>
          </x14:cfRule>
          <xm:sqref>AF12:AH12 AF16:AH17 AF35:AH35 AF39:AH40 AF44:AH44 AF13 AF36</xm:sqref>
        </x14:conditionalFormatting>
        <x14:conditionalFormatting xmlns:xm="http://schemas.microsoft.com/office/excel/2006/main">
          <x14:cfRule type="containsText" priority="1163" operator="containsText" id="{456006D6-A065-4891-B8B5-8A5297BFF6C5}">
            <xm:f>NOT(ISERROR(SEARCH("SL",AF12)))</xm:f>
            <xm:f>"SL"</xm:f>
            <x14:dxf>
              <fill>
                <patternFill>
                  <bgColor rgb="FF00FFFF"/>
                </patternFill>
              </fill>
            </x14:dxf>
          </x14:cfRule>
          <xm:sqref>AF12:AH12 AF16:AH17 AF35:AH35 AF39:AH40 AF44:AH44 AF13 AF36</xm:sqref>
        </x14:conditionalFormatting>
        <x14:conditionalFormatting xmlns:xm="http://schemas.microsoft.com/office/excel/2006/main">
          <x14:cfRule type="containsText" priority="49" operator="containsText" id="{5112C437-5D34-41D8-A7B9-2844AC839CA1}">
            <xm:f>NOT(ISERROR(SEARCH("SL",AF45)))</xm:f>
            <xm:f>"SL"</xm:f>
            <x14:dxf>
              <fill>
                <patternFill>
                  <bgColor theme="5" tint="0.59996337778862885"/>
                </patternFill>
              </fill>
            </x14:dxf>
          </x14:cfRule>
          <x14:cfRule type="containsText" priority="50" operator="containsText" id="{D3375054-94F3-4682-BAE6-502ACF49C7E1}">
            <xm:f>NOT(ISERROR(SEARCH("SL",AF45)))</xm:f>
            <xm:f>"SL"</xm:f>
            <x14:dxf>
              <fill>
                <patternFill>
                  <bgColor rgb="FF00FFFF"/>
                </patternFill>
              </fill>
            </x14:dxf>
          </x14:cfRule>
          <xm:sqref>AF45</xm:sqref>
        </x14:conditionalFormatting>
        <x14:conditionalFormatting xmlns:xm="http://schemas.microsoft.com/office/excel/2006/main">
          <x14:cfRule type="containsText" priority="1162" operator="containsText" id="{0C789802-C172-45AE-B967-3C9BF363F0BA}">
            <xm:f>NOT(ISERROR(SEARCH("SH",AF12)))</xm:f>
            <xm:f>"SH"</xm:f>
            <x14:dxf>
              <fill>
                <patternFill>
                  <bgColor rgb="FFCC99FF"/>
                </patternFill>
              </fill>
            </x14:dxf>
          </x14:cfRule>
          <xm:sqref>AF12:AH12 AF16:AH17 AF39:AH40 AF35:AH35</xm:sqref>
        </x14:conditionalFormatting>
        <x14:conditionalFormatting xmlns:xm="http://schemas.microsoft.com/office/excel/2006/main">
          <x14:cfRule type="containsText" priority="35" operator="containsText" id="{2161EF6B-90E3-45D2-BD7B-488A358B6DFA}">
            <xm:f>NOT(ISERROR(SEARCH("SH",AK18)))</xm:f>
            <xm:f>"SH"</xm:f>
            <x14:dxf>
              <fill>
                <patternFill>
                  <bgColor rgb="FFCC99FF"/>
                </patternFill>
              </fill>
            </x14:dxf>
          </x14:cfRule>
          <xm:sqref>AK18:AK34</xm:sqref>
        </x14:conditionalFormatting>
        <x14:conditionalFormatting xmlns:xm="http://schemas.microsoft.com/office/excel/2006/main">
          <x14:cfRule type="containsText" priority="10" operator="containsText" id="{E7F4553F-07FA-4971-82BB-68ADDBB9D1E4}">
            <xm:f>NOT(ISERROR(SEARCH("SH",AK41)))</xm:f>
            <xm:f>"SH"</xm:f>
            <x14:dxf>
              <fill>
                <patternFill>
                  <bgColor rgb="FFCC99FF"/>
                </patternFill>
              </fill>
            </x14:dxf>
          </x14:cfRule>
          <xm:sqref>AK41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90BA5729C5A34EA4FE80FBA33162CB" ma:contentTypeVersion="9" ma:contentTypeDescription="Create a new document." ma:contentTypeScope="" ma:versionID="a4a16bcc7bb7faac7796dc97d88a9fa7">
  <xsd:schema xmlns:xsd="http://www.w3.org/2001/XMLSchema" xmlns:xs="http://www.w3.org/2001/XMLSchema" xmlns:p="http://schemas.microsoft.com/office/2006/metadata/properties" xmlns:ns2="c3c593e2-a7d1-4ab9-848b-6b006c6509cd" targetNamespace="http://schemas.microsoft.com/office/2006/metadata/properties" ma:root="true" ma:fieldsID="96f618a56dadf6ba1793da76976fa92e" ns2:_="">
    <xsd:import namespace="c3c593e2-a7d1-4ab9-848b-6b006c6509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593e2-a7d1-4ab9-848b-6b006c6509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989970-EA96-4DD4-A6FC-373569FE3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c593e2-a7d1-4ab9-848b-6b006c6509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AA9970-28BC-4D0F-B79F-9A3518641A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1B5A2D-F46C-4808-8B48-1F1DA01DDD39}">
  <ds:schemaRefs>
    <ds:schemaRef ds:uri="http://schemas.microsoft.com/office/2006/metadata/properties"/>
    <ds:schemaRef ds:uri="http://schemas.microsoft.com/office/infopath/2007/PartnerControls"/>
    <ds:schemaRef ds:uri="4f538b32-06c5-43a0-848a-5f51d4484390"/>
    <ds:schemaRef ds:uri="b582a10e-23ff-4b63-aa4f-d0dc4b81a2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Roster-FEB2026</vt:lpstr>
      <vt:lpstr>'Roster-FEB2026'!Print_Area</vt:lpstr>
      <vt:lpstr>'Roster-FEB2026'!Print_Titles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YTE</dc:creator>
  <cp:keywords/>
  <dc:description/>
  <cp:lastModifiedBy>Qing</cp:lastModifiedBy>
  <cp:revision/>
  <cp:lastPrinted>2026-04-30T06:22:12Z</cp:lastPrinted>
  <dcterms:created xsi:type="dcterms:W3CDTF">2023-12-06T03:02:44Z</dcterms:created>
  <dcterms:modified xsi:type="dcterms:W3CDTF">2026-06-05T07:50:31Z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0x0101007D90BA5729C5A34EA4FE80FBA33162CB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