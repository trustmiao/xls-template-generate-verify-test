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oster-FEB2026" sheetId="1" state="visible" r:id="rId1"/>
  </sheets>
  <definedNames>
    <definedName name="_xlnm._FilterDatabase" localSheetId="0" hidden="1">'Roster-FEB2026'!$C$9:$C$45</definedName>
    <definedName name="_xlnm.Print_Titles" localSheetId="0">'Roster-FEB2026'!$1:$9</definedName>
    <definedName name="_xlnm.Print_Area" localSheetId="0">'Roster-FEB2026'!$B$1:$AM$56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0_);\(0\)"/>
    <numFmt numFmtId="166" formatCode="0_);[Red]\(0\)"/>
    <numFmt numFmtId="167" formatCode="0.00_);\(0.00\)"/>
    <numFmt numFmtId="168" formatCode="0.0_);\(0.0\)"/>
    <numFmt numFmtId="169" formatCode="0.00_);[Red]\(0.00\)"/>
  </numFmts>
  <fonts count="39">
    <font>
      <name val="等线"/>
      <charset val="136"/>
      <family val="2"/>
      <color theme="1"/>
      <sz val="12"/>
      <scheme val="minor"/>
    </font>
    <font>
      <name val="等线"/>
      <charset val="136"/>
      <family val="2"/>
      <color theme="1"/>
      <sz val="12"/>
      <scheme val="minor"/>
    </font>
    <font>
      <name val="等线"/>
      <charset val="136"/>
      <family val="2"/>
      <sz val="9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等线"/>
      <family val="1"/>
      <color theme="1"/>
      <sz val="12"/>
      <scheme val="minor"/>
    </font>
    <font>
      <name val="等线"/>
      <charset val="136"/>
      <family val="2"/>
      <color rgb="FF006100"/>
      <sz val="12"/>
      <scheme val="minor"/>
    </font>
    <font>
      <name val="Arial"/>
      <family val="2"/>
      <sz val="10"/>
    </font>
    <font>
      <name val="細明體"/>
      <charset val="136"/>
      <family val="3"/>
      <sz val="9"/>
    </font>
    <font>
      <name val="Microsoft JhengHei UI"/>
      <charset val="136"/>
      <family val="2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color rgb="FFFF0000"/>
      <sz val="11"/>
    </font>
    <font>
      <name val="Microsoft JhengHei UI"/>
      <charset val="136"/>
      <family val="2"/>
      <b val="1"/>
      <color theme="1"/>
      <sz val="11"/>
    </font>
    <font>
      <name val="Microsoft JhengHei UI"/>
      <charset val="136"/>
      <family val="2"/>
      <color rgb="FF000000"/>
      <sz val="11"/>
    </font>
    <font>
      <name val="Microsoft JhengHei UI"/>
      <charset val="136"/>
      <family val="2"/>
      <color theme="1"/>
      <sz val="11"/>
    </font>
    <font>
      <name val="Microsoft JhengHei UI"/>
      <charset val="136"/>
      <family val="2"/>
      <color indexed="14"/>
      <sz val="11"/>
    </font>
    <font>
      <name val="Microsoft JhengHei UI"/>
      <charset val="136"/>
      <family val="2"/>
      <b val="1"/>
      <color rgb="FFFF0000"/>
      <sz val="11"/>
    </font>
    <font>
      <name val="Microsoft JhengHei UI"/>
      <charset val="136"/>
      <family val="2"/>
      <b val="1"/>
      <color indexed="14"/>
      <sz val="11"/>
    </font>
    <font>
      <name val="Microsoft JhengHei UI"/>
      <charset val="136"/>
      <family val="2"/>
      <b val="1"/>
      <sz val="18"/>
    </font>
    <font>
      <name val="Microsoft JhengHei UI"/>
      <charset val="136"/>
      <family val="2"/>
      <b val="1"/>
      <color rgb="FF333333"/>
      <sz val="18"/>
    </font>
    <font>
      <name val="Microsoft JhengHei UI"/>
      <charset val="134"/>
      <family val="2"/>
      <color rgb="FFFF0000"/>
      <sz val="11"/>
    </font>
    <font>
      <name val="Microsoft YaHei"/>
      <charset val="134"/>
      <family val="2"/>
      <sz val="11"/>
    </font>
    <font>
      <name val="Microsoft YaHei"/>
      <charset val="134"/>
      <family val="2"/>
      <color rgb="FFFF0000"/>
      <sz val="12"/>
    </font>
    <font>
      <name val="Microsoft JhengHei UI"/>
      <charset val="134"/>
      <family val="2"/>
      <color rgb="FFFF0000"/>
      <sz val="12"/>
    </font>
    <font>
      <name val="Microsoft YaHei"/>
      <charset val="134"/>
      <family val="2"/>
      <color rgb="FFFF0000"/>
      <sz val="11"/>
    </font>
    <font>
      <name val="Microsoft YaHei"/>
      <charset val="134"/>
      <family val="2"/>
      <b val="1"/>
      <sz val="11"/>
    </font>
    <font>
      <name val="Microsoft JhengHei UI"/>
      <charset val="134"/>
      <family val="2"/>
      <b val="1"/>
      <sz val="11"/>
    </font>
    <font>
      <name val="Malgun Gothic Semilight"/>
      <charset val="136"/>
      <family val="2"/>
      <sz val="12"/>
    </font>
    <font>
      <name val="微軟正黑體"/>
      <charset val="136"/>
      <family val="2"/>
      <sz val="12"/>
    </font>
    <font>
      <name val="Microsoft JhengHei UI"/>
      <family val="2"/>
      <b val="1"/>
      <sz val="11"/>
    </font>
    <font>
      <name val="微軟正黑體"/>
      <charset val="136"/>
      <family val="2"/>
      <b val="1"/>
      <color theme="1"/>
      <sz val="11"/>
    </font>
    <font>
      <name val="Microsoft YaHei"/>
      <charset val="134"/>
      <family val="2"/>
      <b val="1"/>
      <color theme="1"/>
      <sz val="11"/>
    </font>
    <font>
      <name val="Calibri"/>
      <family val="2"/>
      <b val="1"/>
      <sz val="14"/>
    </font>
    <font>
      <name val="Microsoft JhengHei UI"/>
      <charset val="136"/>
      <family val="2"/>
      <b val="1"/>
      <sz val="14"/>
    </font>
    <font>
      <name val="Microsoft JhengHei UI"/>
      <charset val="136"/>
      <family val="2"/>
      <sz val="12"/>
    </font>
    <font>
      <name val="Arial Narrow"/>
      <family val="2"/>
      <sz val="14"/>
    </font>
    <font>
      <name val="Microsoft JhengHei UI"/>
      <charset val="136"/>
      <family val="2"/>
      <sz val="10"/>
    </font>
    <font>
      <name val="Calibri"/>
      <family val="2"/>
      <sz val="14"/>
    </font>
    <font>
      <name val="微软雅黑"/>
      <charset val="134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">
    <xf numFmtId="0" fontId="1" fillId="0" borderId="0" applyAlignment="1">
      <alignment vertical="center"/>
    </xf>
    <xf numFmtId="43" fontId="1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6" fillId="3" borderId="0" applyAlignment="1">
      <alignment vertical="center"/>
    </xf>
    <xf numFmtId="0" fontId="7" fillId="0" borderId="0"/>
    <xf numFmtId="0" fontId="4" fillId="0" borderId="0" applyAlignment="1">
      <alignment vertical="center"/>
    </xf>
    <xf numFmtId="0" fontId="4" fillId="0" borderId="0"/>
    <xf numFmtId="0" fontId="4" fillId="0" borderId="0"/>
  </cellStyleXfs>
  <cellXfs count="352"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2" borderId="43" applyAlignment="1" pivotButton="0" quotePrefix="0" xfId="0">
      <alignment horizontal="center" vertical="center"/>
    </xf>
    <xf numFmtId="164" fontId="12" fillId="2" borderId="16" applyAlignment="1" pivotButton="0" quotePrefix="0" xfId="0">
      <alignment horizontal="center" vertical="center"/>
    </xf>
    <xf numFmtId="164" fontId="12" fillId="2" borderId="17" applyAlignment="1" pivotButton="0" quotePrefix="0" xfId="0">
      <alignment horizontal="center" vertical="center"/>
    </xf>
    <xf numFmtId="164" fontId="12" fillId="2" borderId="18" applyAlignment="1" pivotButton="0" quotePrefix="0" xfId="0">
      <alignment horizontal="center" vertical="center"/>
    </xf>
    <xf numFmtId="2" fontId="13" fillId="0" borderId="26" applyAlignment="1" pivotButton="0" quotePrefix="0" xfId="8">
      <alignment horizontal="center" vertical="center" wrapText="1"/>
    </xf>
    <xf numFmtId="0" fontId="14" fillId="0" borderId="0" applyAlignment="1" pivotButton="0" quotePrefix="0" xfId="0">
      <alignment vertical="center"/>
    </xf>
    <xf numFmtId="2" fontId="13" fillId="0" borderId="25" applyAlignment="1" pivotButton="0" quotePrefix="0" xfId="8">
      <alignment horizontal="center" vertical="center" wrapText="1"/>
    </xf>
    <xf numFmtId="165" fontId="9" fillId="0" borderId="38" applyAlignment="1" pivotButton="0" quotePrefix="1" xfId="0">
      <alignment horizontal="center" vertical="center"/>
    </xf>
    <xf numFmtId="165" fontId="9" fillId="0" borderId="3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23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43" fontId="9" fillId="0" borderId="0" applyAlignment="1" pivotButton="0" quotePrefix="0" xfId="1">
      <alignment vertical="center"/>
    </xf>
    <xf numFmtId="39" fontId="14" fillId="0" borderId="0" applyAlignment="1" pivotButton="0" quotePrefix="0" xfId="0">
      <alignment vertical="center"/>
    </xf>
    <xf numFmtId="43" fontId="9" fillId="2" borderId="0" applyAlignment="1" pivotButton="0" quotePrefix="0" xfId="1">
      <alignment vertical="center"/>
    </xf>
    <xf numFmtId="0" fontId="9" fillId="0" borderId="28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1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14" fontId="14" fillId="0" borderId="0" applyAlignment="1" pivotButton="0" quotePrefix="0" xfId="0">
      <alignment horizontal="left"/>
    </xf>
    <xf numFmtId="0" fontId="9" fillId="0" borderId="5" applyAlignment="1" pivotButton="0" quotePrefix="0" xfId="0">
      <alignment vertical="center"/>
    </xf>
    <xf numFmtId="165" fontId="9" fillId="2" borderId="26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0" fillId="2" borderId="0" pivotButton="0" quotePrefix="0" xfId="0"/>
    <xf numFmtId="2" fontId="13" fillId="0" borderId="35" applyAlignment="1" pivotButton="0" quotePrefix="0" xfId="8">
      <alignment horizontal="center" vertical="center" wrapText="1"/>
    </xf>
    <xf numFmtId="165" fontId="9" fillId="0" borderId="36" applyAlignment="1" pivotButton="0" quotePrefix="1" xfId="0">
      <alignment horizontal="center" vertical="center"/>
    </xf>
    <xf numFmtId="165" fontId="9" fillId="0" borderId="37" applyAlignment="1" pivotButton="0" quotePrefix="1" xfId="0">
      <alignment horizontal="center" vertical="center"/>
    </xf>
    <xf numFmtId="0" fontId="18" fillId="0" borderId="0" applyAlignment="1" pivotButton="0" quotePrefix="0" xfId="0">
      <alignment vertical="center"/>
    </xf>
    <xf numFmtId="1" fontId="9" fillId="0" borderId="31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/>
    </xf>
    <xf numFmtId="165" fontId="9" fillId="0" borderId="45" applyAlignment="1" pivotButton="0" quotePrefix="1" xfId="0">
      <alignment horizontal="center" vertical="center"/>
    </xf>
    <xf numFmtId="0" fontId="22" fillId="2" borderId="0" applyAlignment="1" pivotButton="0" quotePrefix="0" xfId="0">
      <alignment horizontal="right"/>
    </xf>
    <xf numFmtId="0" fontId="23" fillId="2" borderId="0" pivotButton="0" quotePrefix="0" xfId="0"/>
    <xf numFmtId="0" fontId="24" fillId="2" borderId="0" applyAlignment="1" pivotButton="0" quotePrefix="0" xfId="0">
      <alignment horizontal="right"/>
    </xf>
    <xf numFmtId="0" fontId="11" fillId="2" borderId="0" pivotButton="0" quotePrefix="0" xfId="0"/>
    <xf numFmtId="164" fontId="12" fillId="2" borderId="11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7" fillId="0" borderId="18" applyAlignment="1" pivotButton="0" quotePrefix="0" xfId="0">
      <alignment horizontal="center" vertical="center"/>
    </xf>
    <xf numFmtId="2" fontId="13" fillId="6" borderId="35" applyAlignment="1" pivotButton="0" quotePrefix="0" xfId="8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2" borderId="23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2" borderId="21" applyAlignment="1" pivotButton="0" quotePrefix="0" xfId="0">
      <alignment horizontal="center" vertical="center"/>
    </xf>
    <xf numFmtId="2" fontId="13" fillId="0" borderId="22" applyAlignment="1" pivotButton="0" quotePrefix="0" xfId="8">
      <alignment horizontal="center" vertical="center" wrapText="1"/>
    </xf>
    <xf numFmtId="0" fontId="9" fillId="7" borderId="4" applyAlignment="1" pivotButton="0" quotePrefix="0" xfId="11">
      <alignment horizontal="center" vertical="center"/>
    </xf>
    <xf numFmtId="0" fontId="9" fillId="8" borderId="4" applyAlignment="1" pivotButton="0" quotePrefix="0" xfId="11">
      <alignment horizontal="center" vertical="center" wrapText="1"/>
    </xf>
    <xf numFmtId="2" fontId="9" fillId="9" borderId="4" applyAlignment="1" pivotButton="0" quotePrefix="0" xfId="0">
      <alignment horizontal="center" vertical="center" wrapText="1"/>
    </xf>
    <xf numFmtId="2" fontId="9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/>
    </xf>
    <xf numFmtId="0" fontId="9" fillId="12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7" fillId="0" borderId="4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165" fontId="9" fillId="0" borderId="39" applyAlignment="1" pivotButton="0" quotePrefix="1" xfId="0">
      <alignment horizontal="center" vertical="center"/>
    </xf>
    <xf numFmtId="165" fontId="9" fillId="0" borderId="40" applyAlignment="1" pivotButton="0" quotePrefix="1" xfId="0">
      <alignment horizontal="center" vertical="center"/>
    </xf>
    <xf numFmtId="165" fontId="9" fillId="0" borderId="41" applyAlignment="1" pivotButton="0" quotePrefix="1" xfId="0">
      <alignment horizontal="center" vertical="center"/>
    </xf>
    <xf numFmtId="0" fontId="27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167" fontId="9" fillId="0" borderId="36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167" fontId="9" fillId="0" borderId="38" applyAlignment="1" pivotButton="0" quotePrefix="0" xfId="0">
      <alignment horizontal="center" vertical="center"/>
    </xf>
    <xf numFmtId="167" fontId="9" fillId="0" borderId="45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0" fillId="0" borderId="46" applyAlignment="1" applyProtection="1" pivotButton="0" quotePrefix="0" xfId="0">
      <alignment horizontal="center" vertical="center"/>
      <protection locked="0" hidden="0"/>
    </xf>
    <xf numFmtId="0" fontId="27" fillId="0" borderId="48" applyAlignment="1" pivotButton="0" quotePrefix="0" xfId="0">
      <alignment horizontal="center" vertical="center"/>
    </xf>
    <xf numFmtId="2" fontId="13" fillId="6" borderId="22" applyAlignment="1" pivotButton="0" quotePrefix="0" xfId="8">
      <alignment horizontal="center" vertical="center" wrapText="1"/>
    </xf>
    <xf numFmtId="164" fontId="12" fillId="2" borderId="10" applyAlignment="1" pivotButton="0" quotePrefix="0" xfId="0">
      <alignment horizontal="center" vertical="center" wrapText="1"/>
    </xf>
    <xf numFmtId="164" fontId="12" fillId="2" borderId="12" applyAlignment="1" pivotButton="0" quotePrefix="0" xfId="0">
      <alignment horizontal="center" vertical="center" wrapText="1"/>
    </xf>
    <xf numFmtId="164" fontId="30" fillId="2" borderId="31" applyAlignment="1" pivotButton="0" quotePrefix="0" xfId="0">
      <alignment horizontal="center" vertical="center" wrapText="1"/>
    </xf>
    <xf numFmtId="164" fontId="31" fillId="2" borderId="4" applyAlignment="1" pivotButton="0" quotePrefix="0" xfId="0">
      <alignment horizontal="center" vertical="center" wrapText="1"/>
    </xf>
    <xf numFmtId="164" fontId="30" fillId="2" borderId="4" applyAlignment="1" pivotButton="0" quotePrefix="0" xfId="0">
      <alignment horizontal="center" vertical="center" wrapText="1"/>
    </xf>
    <xf numFmtId="164" fontId="31" fillId="2" borderId="32" applyAlignment="1" pivotButton="0" quotePrefix="0" xfId="0">
      <alignment horizontal="center" vertical="center" wrapText="1"/>
    </xf>
    <xf numFmtId="0" fontId="27" fillId="0" borderId="44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8" fillId="0" borderId="30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2" fontId="13" fillId="6" borderId="43" applyAlignment="1" pivotButton="0" quotePrefix="0" xfId="8">
      <alignment horizontal="center" vertical="center" wrapText="1"/>
    </xf>
    <xf numFmtId="164" fontId="12" fillId="2" borderId="13" applyAlignment="1" pivotButton="0" quotePrefix="0" xfId="0">
      <alignment horizontal="center" vertical="center" wrapText="1"/>
    </xf>
    <xf numFmtId="164" fontId="31" fillId="2" borderId="3" applyAlignment="1" pivotButton="0" quotePrefix="0" xfId="0">
      <alignment horizontal="center" vertical="center" wrapText="1"/>
    </xf>
    <xf numFmtId="164" fontId="31" fillId="2" borderId="31" applyAlignment="1" pivotButton="0" quotePrefix="0" xfId="0">
      <alignment horizontal="center" vertical="center" wrapText="1"/>
    </xf>
    <xf numFmtId="2" fontId="13" fillId="6" borderId="24" applyAlignment="1" pivotButton="0" quotePrefix="0" xfId="8">
      <alignment horizontal="center" vertical="center" wrapText="1"/>
    </xf>
    <xf numFmtId="2" fontId="13" fillId="6" borderId="34" applyAlignment="1" pivotButton="0" quotePrefix="0" xfId="8">
      <alignment horizontal="center" vertical="center" wrapText="1"/>
    </xf>
    <xf numFmtId="2" fontId="13" fillId="6" borderId="42" applyAlignment="1" pivotButton="0" quotePrefix="0" xfId="8">
      <alignment horizontal="center" vertical="center" wrapText="1"/>
    </xf>
    <xf numFmtId="167" fontId="9" fillId="0" borderId="45" applyAlignment="1" pivotButton="0" quotePrefix="1" xfId="0">
      <alignment horizontal="center" vertical="center"/>
    </xf>
    <xf numFmtId="167" fontId="9" fillId="0" borderId="37" applyAlignment="1" pivotButton="0" quotePrefix="1" xfId="0">
      <alignment horizontal="center" vertical="center"/>
    </xf>
    <xf numFmtId="167" fontId="9" fillId="0" borderId="38" applyAlignment="1" pivotButton="0" quotePrefix="1" xfId="0">
      <alignment horizontal="center" vertical="center"/>
    </xf>
    <xf numFmtId="165" fontId="9" fillId="0" borderId="27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65" fontId="14" fillId="0" borderId="27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wrapText="1"/>
    </xf>
    <xf numFmtId="0" fontId="36" fillId="0" borderId="17" applyAlignment="1" pivotButton="0" quotePrefix="0" xfId="0">
      <alignment horizontal="center" vertical="center"/>
    </xf>
    <xf numFmtId="165" fontId="37" fillId="0" borderId="44" applyAlignment="1" pivotButton="0" quotePrefix="0" xfId="0">
      <alignment horizontal="center" vertical="center" wrapText="1"/>
    </xf>
    <xf numFmtId="38" fontId="32" fillId="6" borderId="2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 wrapText="1"/>
    </xf>
    <xf numFmtId="0" fontId="27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27" fillId="0" borderId="49" applyAlignment="1" pivotButton="0" quotePrefix="0" xfId="0">
      <alignment horizontal="center" vertical="center"/>
    </xf>
    <xf numFmtId="165" fontId="37" fillId="0" borderId="10" applyAlignment="1" pivotButton="0" quotePrefix="0" xfId="0">
      <alignment horizontal="center" vertical="center" wrapText="1"/>
    </xf>
    <xf numFmtId="38" fontId="32" fillId="6" borderId="11" applyAlignment="1" pivotButton="0" quotePrefix="0" xfId="0">
      <alignment horizontal="center" vertical="center"/>
    </xf>
    <xf numFmtId="165" fontId="9" fillId="2" borderId="1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center" vertical="center" wrapText="1"/>
    </xf>
    <xf numFmtId="165" fontId="37" fillId="0" borderId="36" applyAlignment="1" pivotButton="0" quotePrefix="0" xfId="0">
      <alignment horizontal="center" vertical="center" wrapText="1"/>
    </xf>
    <xf numFmtId="38" fontId="32" fillId="6" borderId="37" applyAlignment="1" pivotButton="0" quotePrefix="0" xfId="0">
      <alignment horizontal="center" vertical="center"/>
    </xf>
    <xf numFmtId="165" fontId="9" fillId="2" borderId="37" applyAlignment="1" pivotButton="0" quotePrefix="0" xfId="0">
      <alignment horizontal="center" vertical="center"/>
    </xf>
    <xf numFmtId="165" fontId="9" fillId="0" borderId="37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 wrapText="1"/>
    </xf>
    <xf numFmtId="165" fontId="9" fillId="0" borderId="38" applyAlignment="1" pivotButton="0" quotePrefix="0" xfId="0">
      <alignment horizontal="center" vertical="center" wrapText="1"/>
    </xf>
    <xf numFmtId="167" fontId="9" fillId="2" borderId="23" applyAlignment="1" pivotButton="0" quotePrefix="0" xfId="0">
      <alignment horizontal="center" vertical="center"/>
    </xf>
    <xf numFmtId="167" fontId="9" fillId="2" borderId="26" applyAlignment="1" pivotButton="0" quotePrefix="0" xfId="0">
      <alignment horizontal="center" vertical="center"/>
    </xf>
    <xf numFmtId="2" fontId="9" fillId="2" borderId="31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 wrapText="1"/>
    </xf>
    <xf numFmtId="167" fontId="14" fillId="0" borderId="27" applyAlignment="1" pivotButton="0" quotePrefix="0" xfId="0">
      <alignment horizontal="center" vertical="center" wrapText="1"/>
    </xf>
    <xf numFmtId="167" fontId="9" fillId="0" borderId="33" applyAlignment="1" pivotButton="0" quotePrefix="0" xfId="0">
      <alignment horizontal="center" vertical="center" wrapText="1"/>
    </xf>
    <xf numFmtId="0" fontId="9" fillId="13" borderId="4" applyAlignment="1" pivotButton="0" quotePrefix="0" xfId="11">
      <alignment horizontal="center" vertical="center"/>
    </xf>
    <xf numFmtId="0" fontId="9" fillId="0" borderId="21" applyAlignment="1" pivotButton="0" quotePrefix="0" xfId="0">
      <alignment horizontal="center" vertical="center"/>
    </xf>
    <xf numFmtId="2" fontId="9" fillId="0" borderId="14" applyAlignment="1" pivotButton="0" quotePrefix="0" xfId="8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2" fontId="9" fillId="0" borderId="35" applyAlignment="1" pivotButton="0" quotePrefix="0" xfId="8">
      <alignment horizontal="center" vertical="center" wrapText="1"/>
    </xf>
    <xf numFmtId="0" fontId="9" fillId="14" borderId="36" applyAlignment="1" pivotButton="0" quotePrefix="0" xfId="0">
      <alignment horizontal="center" vertical="center"/>
    </xf>
    <xf numFmtId="0" fontId="9" fillId="14" borderId="37" applyAlignment="1" pivotButton="0" quotePrefix="0" xfId="0">
      <alignment horizontal="center" vertical="center"/>
    </xf>
    <xf numFmtId="0" fontId="27" fillId="14" borderId="37" applyAlignment="1" pivotButton="0" quotePrefix="0" xfId="0">
      <alignment horizontal="center" vertical="center"/>
    </xf>
    <xf numFmtId="0" fontId="27" fillId="14" borderId="38" applyAlignment="1" pivotButton="0" quotePrefix="0" xfId="0">
      <alignment horizontal="center" vertical="center"/>
    </xf>
    <xf numFmtId="0" fontId="27" fillId="14" borderId="45" applyAlignment="1" pivotButton="0" quotePrefix="0" xfId="0">
      <alignment horizontal="center" vertical="center"/>
    </xf>
    <xf numFmtId="0" fontId="28" fillId="14" borderId="37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167" fontId="10" fillId="0" borderId="21" applyAlignment="1" pivotButton="0" quotePrefix="0" xfId="0">
      <alignment horizontal="center" vertical="center"/>
    </xf>
    <xf numFmtId="165" fontId="10" fillId="0" borderId="33" applyAlignment="1" pivotButton="0" quotePrefix="0" xfId="0">
      <alignment horizontal="center" vertical="center" wrapText="1"/>
    </xf>
    <xf numFmtId="167" fontId="10" fillId="0" borderId="3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  <xf numFmtId="1" fontId="9" fillId="0" borderId="25" applyAlignment="1" pivotButton="0" quotePrefix="0" xfId="0">
      <alignment horizontal="center" vertical="center"/>
    </xf>
    <xf numFmtId="167" fontId="9" fillId="0" borderId="21" applyAlignment="1" pivotButton="0" quotePrefix="0" xfId="0">
      <alignment horizontal="center" vertical="center"/>
    </xf>
    <xf numFmtId="165" fontId="10" fillId="2" borderId="46" applyAlignment="1" pivotButton="0" quotePrefix="0" xfId="0">
      <alignment horizontal="center" vertical="center"/>
    </xf>
    <xf numFmtId="0" fontId="10" fillId="2" borderId="46" applyAlignment="1" pivotButton="0" quotePrefix="0" xfId="0">
      <alignment horizontal="center" vertical="center"/>
    </xf>
    <xf numFmtId="168" fontId="16" fillId="15" borderId="6" applyAlignment="1" pivotButton="0" quotePrefix="0" xfId="0">
      <alignment horizontal="center" vertical="center"/>
    </xf>
    <xf numFmtId="168" fontId="16" fillId="15" borderId="8" applyAlignment="1" pivotButton="0" quotePrefix="0" xfId="0">
      <alignment horizontal="center" vertical="center"/>
    </xf>
    <xf numFmtId="167" fontId="10" fillId="5" borderId="6" applyAlignment="1" pivotButton="0" quotePrefix="0" xfId="0">
      <alignment horizontal="center" vertical="center"/>
    </xf>
    <xf numFmtId="167" fontId="10" fillId="5" borderId="8" applyAlignment="1" pivotButton="0" quotePrefix="0" xfId="0">
      <alignment horizontal="center" vertical="center"/>
    </xf>
    <xf numFmtId="167" fontId="10" fillId="4" borderId="6" applyAlignment="1" pivotButton="0" quotePrefix="0" xfId="0">
      <alignment horizontal="center" vertical="center"/>
    </xf>
    <xf numFmtId="167" fontId="10" fillId="4" borderId="8" applyAlignment="1" pivotButton="0" quotePrefix="0" xfId="0">
      <alignment horizontal="center" vertical="center"/>
    </xf>
    <xf numFmtId="0" fontId="10" fillId="15" borderId="6" applyAlignment="1" pivotButton="0" quotePrefix="0" xfId="0">
      <alignment horizontal="center" vertical="center"/>
    </xf>
    <xf numFmtId="0" fontId="10" fillId="15" borderId="8" applyAlignment="1" pivotButton="0" quotePrefix="0" xfId="0">
      <alignment horizontal="center" vertical="center"/>
    </xf>
    <xf numFmtId="168" fontId="16" fillId="15" borderId="7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167" fontId="10" fillId="5" borderId="7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167" fontId="10" fillId="4" borderId="7" applyAlignment="1" pivotButton="0" quotePrefix="0" xfId="0">
      <alignment horizontal="center" vertical="center"/>
    </xf>
    <xf numFmtId="167" fontId="10" fillId="5" borderId="14" applyAlignment="1" pivotButton="0" quotePrefix="0" xfId="0">
      <alignment horizontal="center" vertical="center"/>
    </xf>
    <xf numFmtId="167" fontId="10" fillId="5" borderId="29" applyAlignment="1" pivotButton="0" quotePrefix="0" xfId="0">
      <alignment horizontal="center" vertical="center"/>
    </xf>
    <xf numFmtId="167" fontId="10" fillId="5" borderId="2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6" fontId="10" fillId="0" borderId="11" applyAlignment="1" applyProtection="1" pivotButton="0" quotePrefix="0" xfId="7">
      <alignment horizontal="center" vertical="center" wrapText="1"/>
      <protection locked="0" hidden="0"/>
    </xf>
    <xf numFmtId="166" fontId="10" fillId="0" borderId="4" applyAlignment="1" applyProtection="1" pivotButton="0" quotePrefix="0" xfId="7">
      <alignment horizontal="center" vertical="center" wrapText="1"/>
      <protection locked="0" hidden="0"/>
    </xf>
    <xf numFmtId="0" fontId="10" fillId="0" borderId="17" applyAlignment="1" pivotButton="0" quotePrefix="0" xfId="0">
      <alignment horizontal="center" vertical="center"/>
    </xf>
    <xf numFmtId="166" fontId="10" fillId="0" borderId="12" applyAlignment="1" applyProtection="1" pivotButton="0" quotePrefix="0" xfId="7">
      <alignment horizontal="center" vertical="center" wrapText="1"/>
      <protection locked="0" hidden="0"/>
    </xf>
    <xf numFmtId="166" fontId="10" fillId="0" borderId="32" applyAlignment="1" applyProtection="1" pivotButton="0" quotePrefix="0" xfId="7">
      <alignment horizontal="center" vertical="center" wrapText="1"/>
      <protection locked="0" hidden="0"/>
    </xf>
    <xf numFmtId="0" fontId="10" fillId="0" borderId="18" applyAlignment="1" pivotButton="0" quotePrefix="0" xfId="0">
      <alignment horizontal="center" vertical="center"/>
    </xf>
    <xf numFmtId="166" fontId="10" fillId="0" borderId="17" applyAlignment="1" applyProtection="1" pivotButton="0" quotePrefix="0" xfId="7">
      <alignment horizontal="center" vertical="center" wrapText="1"/>
      <protection locked="0" hidden="0"/>
    </xf>
    <xf numFmtId="166" fontId="26" fillId="0" borderId="11" applyAlignment="1" applyProtection="1" pivotButton="0" quotePrefix="0" xfId="7">
      <alignment horizontal="center" vertical="center" wrapText="1"/>
      <protection locked="0" hidden="0"/>
    </xf>
    <xf numFmtId="166" fontId="26" fillId="0" borderId="4" applyAlignment="1" applyProtection="1" pivotButton="0" quotePrefix="0" xfId="7">
      <alignment horizontal="center" vertical="center" wrapText="1"/>
      <protection locked="0" hidden="0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2" fillId="2" borderId="10" applyAlignment="1" pivotButton="0" quotePrefix="0" xfId="0">
      <alignment horizontal="center" vertical="center" wrapText="1"/>
    </xf>
    <xf numFmtId="0" fontId="32" fillId="2" borderId="31" applyAlignment="1" pivotButton="0" quotePrefix="0" xfId="0">
      <alignment horizontal="center" vertical="center" wrapText="1"/>
    </xf>
    <xf numFmtId="0" fontId="32" fillId="2" borderId="16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168" fontId="10" fillId="5" borderId="14" applyAlignment="1" pivotButton="0" quotePrefix="0" xfId="0">
      <alignment horizontal="center" vertical="center"/>
    </xf>
    <xf numFmtId="168" fontId="10" fillId="5" borderId="29" applyAlignment="1" pivotButton="0" quotePrefix="0" xfId="0">
      <alignment horizontal="center" vertical="center"/>
    </xf>
    <xf numFmtId="168" fontId="10" fillId="5" borderId="20" applyAlignment="1" pivotButton="0" quotePrefix="0" xfId="0">
      <alignment horizontal="center" vertical="center"/>
    </xf>
    <xf numFmtId="168" fontId="10" fillId="4" borderId="6" applyAlignment="1" pivotButton="0" quotePrefix="0" xfId="0">
      <alignment horizontal="center" vertical="center"/>
    </xf>
    <xf numFmtId="168" fontId="10" fillId="4" borderId="7" applyAlignment="1" pivotButton="0" quotePrefix="0" xfId="0">
      <alignment horizontal="center" vertical="center"/>
    </xf>
    <xf numFmtId="168" fontId="10" fillId="4" borderId="8" applyAlignment="1" pivotButton="0" quotePrefix="0" xfId="0">
      <alignment horizontal="center" vertical="center"/>
    </xf>
    <xf numFmtId="168" fontId="10" fillId="5" borderId="6" applyAlignment="1" pivotButton="0" quotePrefix="0" xfId="0">
      <alignment horizontal="center" vertical="center"/>
    </xf>
    <xf numFmtId="169" fontId="16" fillId="2" borderId="7" applyAlignment="1" pivotButton="0" quotePrefix="0" xfId="0">
      <alignment horizontal="center" vertical="center"/>
    </xf>
    <xf numFmtId="169" fontId="16" fillId="2" borderId="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68" fontId="10" fillId="5" borderId="8" applyAlignment="1" pivotButton="0" quotePrefix="0" xfId="0">
      <alignment horizontal="center" vertical="center"/>
    </xf>
    <xf numFmtId="166" fontId="10" fillId="2" borderId="11" applyAlignment="1" applyProtection="1" pivotButton="0" quotePrefix="0" xfId="7">
      <alignment horizontal="center" vertical="center" wrapText="1"/>
      <protection locked="0" hidden="0"/>
    </xf>
    <xf numFmtId="166" fontId="10" fillId="2" borderId="4" applyAlignment="1" applyProtection="1" pivotButton="0" quotePrefix="0" xfId="7">
      <alignment horizontal="center" vertical="center" wrapText="1"/>
      <protection locked="0" hidden="0"/>
    </xf>
    <xf numFmtId="166" fontId="10" fillId="2" borderId="17" applyAlignment="1" applyProtection="1" pivotButton="0" quotePrefix="0" xfId="7">
      <alignment horizontal="center" vertical="center" wrapText="1"/>
      <protection locked="0" hidden="0"/>
    </xf>
    <xf numFmtId="166" fontId="11" fillId="0" borderId="0" applyAlignment="1" pivotButton="0" quotePrefix="0" xfId="0">
      <alignment horizontal="left" vertical="center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38" fontId="32" fillId="6" borderId="11" applyAlignment="1" applyProtection="1" pivotButton="0" quotePrefix="0" xfId="7">
      <alignment horizontal="center" vertical="center" wrapText="1"/>
      <protection locked="0" hidden="0"/>
    </xf>
    <xf numFmtId="38" fontId="32" fillId="6" borderId="4" applyAlignment="1" applyProtection="1" pivotButton="0" quotePrefix="0" xfId="7">
      <alignment horizontal="center" vertical="center" wrapText="1"/>
      <protection locked="0" hidden="0"/>
    </xf>
    <xf numFmtId="38" fontId="32" fillId="6" borderId="17" applyAlignment="1" applyProtection="1" pivotButton="0" quotePrefix="0" xfId="7">
      <alignment horizontal="center" vertical="center" wrapText="1"/>
      <protection locked="0" hidden="0"/>
    </xf>
    <xf numFmtId="168" fontId="10" fillId="5" borderId="7" applyAlignment="1" pivotButton="0" quotePrefix="0" xfId="0">
      <alignment horizontal="center" vertical="center"/>
    </xf>
    <xf numFmtId="166" fontId="11" fillId="0" borderId="0" applyAlignment="1" pivotButton="0" quotePrefix="0" xfId="0">
      <alignment horizontal="left" vertical="center"/>
    </xf>
    <xf numFmtId="0" fontId="10" fillId="0" borderId="33" applyAlignment="1" applyProtection="1" pivotButton="0" quotePrefix="0" xfId="0">
      <alignment horizontal="center" vertical="center" wrapText="1"/>
      <protection locked="0" hidden="0"/>
    </xf>
    <xf numFmtId="164" fontId="12" fillId="2" borderId="10" applyAlignment="1" pivotButton="0" quotePrefix="0" xfId="0">
      <alignment horizontal="center" vertical="center" wrapText="1"/>
    </xf>
    <xf numFmtId="164" fontId="12" fillId="2" borderId="11" applyAlignment="1" pivotButton="0" quotePrefix="0" xfId="0">
      <alignment horizontal="center" vertical="center" wrapText="1"/>
    </xf>
    <xf numFmtId="164" fontId="12" fillId="2" borderId="12" applyAlignment="1" pivotButton="0" quotePrefix="0" xfId="0">
      <alignment horizontal="center" vertical="center" wrapText="1"/>
    </xf>
    <xf numFmtId="164" fontId="12" fillId="2" borderId="13" applyAlignment="1" pivotButton="0" quotePrefix="0" xfId="0">
      <alignment horizontal="center" vertical="center" wrapText="1"/>
    </xf>
    <xf numFmtId="0" fontId="10" fillId="2" borderId="33" applyAlignment="1" pivotButton="0" quotePrefix="0" xfId="0">
      <alignment horizontal="center" vertical="center" wrapText="1"/>
    </xf>
    <xf numFmtId="166" fontId="10" fillId="0" borderId="11" applyAlignment="1" applyProtection="1" pivotButton="0" quotePrefix="0" xfId="7">
      <alignment horizontal="center" vertical="center" wrapText="1"/>
      <protection locked="0" hidden="0"/>
    </xf>
    <xf numFmtId="166" fontId="10" fillId="2" borderId="11" applyAlignment="1" applyProtection="1" pivotButton="0" quotePrefix="0" xfId="7">
      <alignment horizontal="center" vertical="center" wrapText="1"/>
      <protection locked="0" hidden="0"/>
    </xf>
    <xf numFmtId="166" fontId="26" fillId="0" borderId="11" applyAlignment="1" applyProtection="1" pivotButton="0" quotePrefix="0" xfId="7">
      <alignment horizontal="center" vertical="center" wrapText="1"/>
      <protection locked="0" hidden="0"/>
    </xf>
    <xf numFmtId="166" fontId="10" fillId="0" borderId="12" applyAlignment="1" applyProtection="1" pivotButton="0" quotePrefix="0" xfId="7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164" fontId="30" fillId="2" borderId="31" applyAlignment="1" pivotButton="0" quotePrefix="0" xfId="0">
      <alignment horizontal="center" vertical="center" wrapText="1"/>
    </xf>
    <xf numFmtId="164" fontId="31" fillId="2" borderId="4" applyAlignment="1" pivotButton="0" quotePrefix="0" xfId="0">
      <alignment horizontal="center" vertical="center" wrapText="1"/>
    </xf>
    <xf numFmtId="164" fontId="31" fillId="2" borderId="32" applyAlignment="1" pivotButton="0" quotePrefix="0" xfId="0">
      <alignment horizontal="center" vertical="center" wrapText="1"/>
    </xf>
    <xf numFmtId="164" fontId="31" fillId="2" borderId="3" applyAlignment="1" pivotButton="0" quotePrefix="0" xfId="0">
      <alignment horizontal="center" vertical="center" wrapText="1"/>
    </xf>
    <xf numFmtId="164" fontId="30" fillId="2" borderId="4" applyAlignment="1" pivotButton="0" quotePrefix="0" xfId="0">
      <alignment horizontal="center" vertical="center" wrapText="1"/>
    </xf>
    <xf numFmtId="164" fontId="31" fillId="2" borderId="3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53" applyProtection="1" pivotButton="0" quotePrefix="0" xfId="0">
      <protection locked="0" hidden="0"/>
    </xf>
    <xf numFmtId="0" fontId="0" fillId="0" borderId="53" pivotButton="0" quotePrefix="0" xfId="0"/>
    <xf numFmtId="0" fontId="0" fillId="0" borderId="56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64" fontId="12" fillId="2" borderId="16" applyAlignment="1" pivotButton="0" quotePrefix="0" xfId="0">
      <alignment horizontal="center" vertical="center"/>
    </xf>
    <xf numFmtId="164" fontId="12" fillId="2" borderId="17" applyAlignment="1" pivotButton="0" quotePrefix="0" xfId="0">
      <alignment horizontal="center" vertical="center"/>
    </xf>
    <xf numFmtId="164" fontId="12" fillId="2" borderId="18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4" pivotButton="0" quotePrefix="0" xfId="0"/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30" applyProtection="1" pivotButton="0" quotePrefix="0" xfId="0">
      <protection locked="0" hidden="0"/>
    </xf>
    <xf numFmtId="165" fontId="9" fillId="0" borderId="23" applyAlignment="1" pivotButton="0" quotePrefix="0" xfId="0">
      <alignment horizontal="center" vertical="center" wrapText="1"/>
    </xf>
    <xf numFmtId="165" fontId="37" fillId="0" borderId="10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center" vertical="center" wrapText="1"/>
    </xf>
    <xf numFmtId="165" fontId="9" fillId="0" borderId="27" applyAlignment="1" pivotButton="0" quotePrefix="0" xfId="0">
      <alignment horizontal="center" vertical="center" wrapText="1"/>
    </xf>
    <xf numFmtId="165" fontId="37" fillId="0" borderId="36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/>
    </xf>
    <xf numFmtId="165" fontId="9" fillId="0" borderId="37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 wrapText="1"/>
    </xf>
    <xf numFmtId="165" fontId="9" fillId="0" borderId="38" applyAlignment="1" pivotButton="0" quotePrefix="0" xfId="0">
      <alignment horizontal="center" vertical="center" wrapText="1"/>
    </xf>
    <xf numFmtId="2" fontId="13" fillId="0" borderId="26" applyAlignment="1" pivotButton="0" quotePrefix="0" xfId="0">
      <alignment horizontal="center" vertical="center" wrapText="1"/>
    </xf>
    <xf numFmtId="2" fontId="13" fillId="0" borderId="22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0" fillId="0" borderId="8" pivotButton="0" quotePrefix="0" xfId="0"/>
    <xf numFmtId="165" fontId="9" fillId="0" borderId="36" applyAlignment="1" pivotButton="0" quotePrefix="1" xfId="0">
      <alignment horizontal="center" vertical="center"/>
    </xf>
    <xf numFmtId="165" fontId="9" fillId="0" borderId="37" applyAlignment="1" pivotButton="0" quotePrefix="1" xfId="0">
      <alignment horizontal="center" vertical="center"/>
    </xf>
    <xf numFmtId="165" fontId="9" fillId="0" borderId="38" applyAlignment="1" pivotButton="0" quotePrefix="1" xfId="0">
      <alignment horizontal="center" vertical="center"/>
    </xf>
    <xf numFmtId="165" fontId="9" fillId="0" borderId="45" applyAlignment="1" pivotButton="0" quotePrefix="1" xfId="0">
      <alignment horizontal="center" vertical="center"/>
    </xf>
    <xf numFmtId="165" fontId="9" fillId="0" borderId="39" applyAlignment="1" pivotButton="0" quotePrefix="1" xfId="0">
      <alignment horizontal="center" vertical="center"/>
    </xf>
    <xf numFmtId="165" fontId="9" fillId="0" borderId="40" applyAlignment="1" pivotButton="0" quotePrefix="1" xfId="0">
      <alignment horizontal="center" vertical="center"/>
    </xf>
    <xf numFmtId="165" fontId="9" fillId="0" borderId="41" applyAlignment="1" pivotButton="0" quotePrefix="1" xfId="0">
      <alignment horizontal="center" vertical="center"/>
    </xf>
    <xf numFmtId="165" fontId="9" fillId="0" borderId="33" applyAlignment="1" pivotButton="0" quotePrefix="0" xfId="0">
      <alignment horizontal="center" vertical="center" wrapText="1"/>
    </xf>
    <xf numFmtId="165" fontId="10" fillId="0" borderId="33" applyAlignment="1" pivotButton="0" quotePrefix="0" xfId="0">
      <alignment horizontal="center" vertical="center" wrapText="1"/>
    </xf>
    <xf numFmtId="43" fontId="9" fillId="0" borderId="0" applyAlignment="1" pivotButton="0" quotePrefix="0" xfId="1">
      <alignment vertical="center"/>
    </xf>
    <xf numFmtId="0" fontId="10" fillId="5" borderId="33" applyAlignment="1" pivotButton="0" quotePrefix="0" xfId="0">
      <alignment horizontal="center" vertical="center"/>
    </xf>
    <xf numFmtId="168" fontId="10" fillId="5" borderId="2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0" pivotButton="0" quotePrefix="0" xfId="0"/>
    <xf numFmtId="168" fontId="10" fillId="5" borderId="29" applyAlignment="1" pivotButton="0" quotePrefix="0" xfId="0">
      <alignment horizontal="center" vertical="center"/>
    </xf>
    <xf numFmtId="168" fontId="10" fillId="5" borderId="33" applyAlignment="1" pivotButton="0" quotePrefix="0" xfId="0">
      <alignment horizontal="center" vertical="center"/>
    </xf>
    <xf numFmtId="0" fontId="0" fillId="0" borderId="7" pivotButton="0" quotePrefix="0" xfId="0"/>
    <xf numFmtId="165" fontId="10" fillId="2" borderId="46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/>
    </xf>
    <xf numFmtId="168" fontId="10" fillId="4" borderId="33" applyAlignment="1" pivotButton="0" quotePrefix="0" xfId="0">
      <alignment horizontal="center" vertical="center"/>
    </xf>
    <xf numFmtId="0" fontId="10" fillId="15" borderId="33" applyAlignment="1" pivotButton="0" quotePrefix="0" xfId="0">
      <alignment horizontal="center" vertical="center"/>
    </xf>
    <xf numFmtId="168" fontId="16" fillId="15" borderId="33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7" fontId="9" fillId="2" borderId="23" applyAlignment="1" pivotButton="0" quotePrefix="0" xfId="0">
      <alignment horizontal="center" vertical="center"/>
    </xf>
    <xf numFmtId="167" fontId="9" fillId="2" borderId="26" applyAlignment="1" pivotButton="0" quotePrefix="0" xfId="0">
      <alignment horizontal="center" vertical="center"/>
    </xf>
    <xf numFmtId="165" fontId="37" fillId="0" borderId="44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 wrapText="1"/>
    </xf>
    <xf numFmtId="165" fontId="9" fillId="2" borderId="26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7" fontId="9" fillId="0" borderId="36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167" fontId="9" fillId="0" borderId="38" applyAlignment="1" pivotButton="0" quotePrefix="0" xfId="0">
      <alignment horizontal="center" vertical="center"/>
    </xf>
    <xf numFmtId="167" fontId="9" fillId="0" borderId="45" applyAlignment="1" pivotButton="0" quotePrefix="0" xfId="0">
      <alignment horizontal="center" vertical="center"/>
    </xf>
    <xf numFmtId="167" fontId="9" fillId="0" borderId="21" applyAlignment="1" pivotButton="0" quotePrefix="0" xfId="0">
      <alignment horizontal="center" vertical="center"/>
    </xf>
    <xf numFmtId="167" fontId="10" fillId="0" borderId="21" applyAlignment="1" pivotButton="0" quotePrefix="0" xfId="0">
      <alignment horizontal="center" vertical="center"/>
    </xf>
    <xf numFmtId="167" fontId="10" fillId="5" borderId="21" applyAlignment="1" pivotButton="0" quotePrefix="0" xfId="0">
      <alignment horizontal="center" vertical="center"/>
    </xf>
    <xf numFmtId="167" fontId="10" fillId="5" borderId="29" applyAlignment="1" pivotButton="0" quotePrefix="0" xfId="0">
      <alignment horizontal="center" vertical="center"/>
    </xf>
    <xf numFmtId="167" fontId="10" fillId="5" borderId="33" applyAlignment="1" pivotButton="0" quotePrefix="0" xfId="0">
      <alignment horizontal="center" vertical="center"/>
    </xf>
    <xf numFmtId="167" fontId="10" fillId="4" borderId="33" applyAlignment="1" pivotButton="0" quotePrefix="0" xfId="0">
      <alignment horizontal="center" vertical="center"/>
    </xf>
    <xf numFmtId="43" fontId="9" fillId="2" borderId="0" applyAlignment="1" pivotButton="0" quotePrefix="0" xfId="1">
      <alignment vertical="center"/>
    </xf>
    <xf numFmtId="165" fontId="10" fillId="0" borderId="0" applyAlignment="1" pivotButton="0" quotePrefix="0" xfId="0">
      <alignment horizontal="center" vertical="center"/>
    </xf>
    <xf numFmtId="165" fontId="9" fillId="2" borderId="23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 vertical="center" wrapText="1"/>
    </xf>
    <xf numFmtId="167" fontId="14" fillId="0" borderId="27" applyAlignment="1" pivotButton="0" quotePrefix="0" xfId="0">
      <alignment horizontal="center" vertical="center" wrapText="1"/>
    </xf>
    <xf numFmtId="2" fontId="13" fillId="6" borderId="24" applyAlignment="1" pivotButton="0" quotePrefix="0" xfId="0">
      <alignment horizontal="center" vertical="center" wrapText="1"/>
    </xf>
    <xf numFmtId="167" fontId="9" fillId="0" borderId="45" applyAlignment="1" pivotButton="0" quotePrefix="1" xfId="0">
      <alignment horizontal="center" vertical="center"/>
    </xf>
    <xf numFmtId="167" fontId="9" fillId="0" borderId="37" applyAlignment="1" pivotButton="0" quotePrefix="1" xfId="0">
      <alignment horizontal="center" vertical="center"/>
    </xf>
    <xf numFmtId="167" fontId="9" fillId="0" borderId="38" applyAlignment="1" pivotButton="0" quotePrefix="1" xfId="0">
      <alignment horizontal="center" vertical="center"/>
    </xf>
    <xf numFmtId="167" fontId="9" fillId="0" borderId="33" applyAlignment="1" pivotButton="0" quotePrefix="0" xfId="0">
      <alignment horizontal="center" vertical="center" wrapText="1"/>
    </xf>
    <xf numFmtId="167" fontId="10" fillId="0" borderId="33" applyAlignment="1" pivotButton="0" quotePrefix="0" xfId="0">
      <alignment horizontal="center" vertical="center" wrapText="1"/>
    </xf>
    <xf numFmtId="0" fontId="0" fillId="0" borderId="0" pivotButton="0" quotePrefix="0" xfId="0"/>
    <xf numFmtId="166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9" fontId="16" fillId="2" borderId="8" applyAlignment="1" pivotButton="0" quotePrefix="0" xfId="0">
      <alignment horizontal="center" vertical="center"/>
    </xf>
  </cellXfs>
  <cellStyles count="12">
    <cellStyle name="常规" xfId="0" builtinId="0"/>
    <cellStyle name="千位分隔" xfId="1" builtinId="3"/>
    <cellStyle name="Normal 2" xfId="2"/>
    <cellStyle name="一般 4" xfId="3"/>
    <cellStyle name="一般 6" xfId="4"/>
    <cellStyle name="一般 5" xfId="5"/>
    <cellStyle name="一般 2 2" xfId="6"/>
    <cellStyle name="好" xfId="7" builtinId="26"/>
    <cellStyle name="一般 2" xfId="8"/>
    <cellStyle name="一般 10 10" xfId="9"/>
    <cellStyle name="一般 10" xfId="10"/>
    <cellStyle name="Normal 2 2" xfId="11"/>
  </cellStyles>
  <dxfs count="3461"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2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"/>
        </patternFill>
      </fill>
    </dxf>
    <dxf>
      <fill>
        <patternFill>
          <bgColor theme="2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0</row>
      <rowOff>0</rowOff>
    </from>
    <to>
      <col>2</col>
      <colOff>1440000</colOff>
      <row>2</row>
      <rowOff>148107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0545" y="0"/>
          <a:ext cx="1440000" cy="745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 fitToPage="1"/>
  </sheetPr>
  <dimension ref="A1:CQ54"/>
  <sheetViews>
    <sheetView tabSelected="1" view="pageBreakPreview" zoomScale="60" zoomScaleNormal="60" workbookViewId="0">
      <pane xSplit="3" ySplit="9" topLeftCell="D28" activePane="bottomRight" state="frozen"/>
      <selection pane="topRight" activeCell="C1" sqref="C1"/>
      <selection pane="bottomLeft" activeCell="A11" sqref="A11"/>
      <selection pane="bottomRight" activeCell="AG49" sqref="AG49"/>
    </sheetView>
  </sheetViews>
  <sheetFormatPr baseColWidth="8" defaultColWidth="8.75" defaultRowHeight="15"/>
  <cols>
    <col width="2.625" customWidth="1" style="13" min="1" max="1"/>
    <col width="9" customWidth="1" style="13" min="2" max="2"/>
    <col width="24.625" customWidth="1" style="13" min="3" max="3"/>
    <col width="8.625" customWidth="1" style="13" min="4" max="34"/>
    <col width="9.625" customWidth="1" style="13" min="35" max="39"/>
    <col width="11.125" customWidth="1" style="13" min="40" max="40"/>
    <col width="7.875" customWidth="1" style="13" min="41" max="41"/>
    <col width="9" customWidth="1" style="13" min="42" max="59"/>
    <col width="8.75" customWidth="1" style="13" min="60" max="16384"/>
  </cols>
  <sheetData>
    <row r="1" ht="24" customFormat="1" customHeight="1" s="1">
      <c r="B1" s="48" t="n"/>
      <c r="C1" s="48" t="n"/>
      <c r="D1" s="213" t="inlineStr">
        <is>
          <t>泓 建 物 業 管 理 有 限 公 司</t>
        </is>
      </c>
      <c r="AF1" s="213" t="n"/>
      <c r="AG1" s="213" t="n"/>
      <c r="AH1" s="48" t="n"/>
      <c r="AI1" s="48" t="n"/>
      <c r="AJ1" s="48" t="n"/>
      <c r="AK1" s="48" t="n"/>
      <c r="AL1" s="48" t="n"/>
      <c r="AM1" s="48" t="n"/>
    </row>
    <row r="2" ht="24" customFormat="1" customHeight="1" s="1">
      <c r="B2" s="48" t="n"/>
      <c r="C2" s="48" t="n"/>
      <c r="D2" s="213" t="inlineStr">
        <is>
          <t>Pacific Extend Properties Management Limited</t>
        </is>
      </c>
      <c r="AF2" s="213" t="n"/>
      <c r="AG2" s="213" t="n"/>
      <c r="AH2" s="48" t="n"/>
      <c r="AI2" s="48" t="n"/>
      <c r="AJ2" s="48" t="n"/>
      <c r="AK2" s="48" t="n"/>
      <c r="AL2" s="48" t="n"/>
      <c r="AM2" s="48" t="n"/>
    </row>
    <row r="3" ht="24" customFormat="1" customHeight="1" s="1">
      <c r="B3" s="100" t="n"/>
      <c r="C3" s="100" t="n"/>
      <c r="D3" s="214" t="inlineStr">
        <is>
          <t>東匯邨</t>
        </is>
      </c>
      <c r="AF3" s="214" t="n"/>
      <c r="AG3" s="214" t="n"/>
      <c r="AH3" s="100" t="n"/>
      <c r="AI3" s="100" t="n"/>
      <c r="AJ3" s="100" t="n"/>
      <c r="AK3" s="100" t="n"/>
      <c r="AL3" s="100" t="n"/>
      <c r="AM3" s="100" t="n"/>
    </row>
    <row r="4" ht="24" customFormat="1" customHeight="1" s="1">
      <c r="C4" s="3" t="inlineStr">
        <is>
          <t>(C - 352108)</t>
        </is>
      </c>
      <c r="D4" s="213">
        <f>YEAR(E7)&amp;"年"&amp;MONTH(E7)&amp;"月清潔出勤及休假記錄 "</f>
        <v/>
      </c>
      <c r="AF4" s="213" t="n"/>
      <c r="AG4" s="213" t="n"/>
      <c r="AH4" s="48" t="n"/>
      <c r="AI4" s="48" t="n"/>
      <c r="AJ4" s="48" t="n"/>
      <c r="AK4" s="48" t="n"/>
      <c r="AL4" s="48" t="n"/>
      <c r="AM4" s="48" t="n"/>
    </row>
    <row r="5" ht="21.75" customFormat="1" customHeight="1" s="1">
      <c r="C5" s="17" t="inlineStr">
        <is>
          <t>總工作時數:</t>
        </is>
      </c>
      <c r="D5" s="243">
        <f>AC54</f>
        <v/>
      </c>
      <c r="Y5" s="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" ht="27.95" customFormat="1" customHeight="1" s="1" thickBot="1">
      <c r="B6" s="3" t="inlineStr">
        <is>
          <t>1. 清潔科文出勤時數 (要求出勤日數 : 星期一至日;每天工作8小時)</t>
        </is>
      </c>
      <c r="C6" s="3" t="n"/>
    </row>
    <row r="7" ht="27.95" customFormat="1" customHeight="1" s="1">
      <c r="B7" s="244" t="inlineStr">
        <is>
          <t>排位</t>
        </is>
      </c>
      <c r="C7" s="7" t="inlineStr">
        <is>
          <t xml:space="preserve">  姓名</t>
        </is>
      </c>
      <c r="D7" s="245" t="n">
        <v>46113</v>
      </c>
      <c r="E7" s="246">
        <f>D7+1</f>
        <v/>
      </c>
      <c r="F7" s="246">
        <f>E7+1</f>
        <v/>
      </c>
      <c r="G7" s="246">
        <f>F7+1</f>
        <v/>
      </c>
      <c r="H7" s="246">
        <f>G7+1</f>
        <v/>
      </c>
      <c r="I7" s="246">
        <f>H7+1</f>
        <v/>
      </c>
      <c r="J7" s="247">
        <f>I7+1</f>
        <v/>
      </c>
      <c r="K7" s="248">
        <f>J7+1</f>
        <v/>
      </c>
      <c r="L7" s="246">
        <f>K7+1</f>
        <v/>
      </c>
      <c r="M7" s="246">
        <f>L7+1</f>
        <v/>
      </c>
      <c r="N7" s="246">
        <f>M7+1</f>
        <v/>
      </c>
      <c r="O7" s="246">
        <f>N7+1</f>
        <v/>
      </c>
      <c r="P7" s="246">
        <f>O7+1</f>
        <v/>
      </c>
      <c r="Q7" s="247">
        <f>P7+1</f>
        <v/>
      </c>
      <c r="R7" s="248">
        <f>Q7+1</f>
        <v/>
      </c>
      <c r="S7" s="246">
        <f>R7+1</f>
        <v/>
      </c>
      <c r="T7" s="246">
        <f>S7+1</f>
        <v/>
      </c>
      <c r="U7" s="246">
        <f>T7+1</f>
        <v/>
      </c>
      <c r="V7" s="246">
        <f>U7+1</f>
        <v/>
      </c>
      <c r="W7" s="246">
        <f>V7+1</f>
        <v/>
      </c>
      <c r="X7" s="247">
        <f>W7+1</f>
        <v/>
      </c>
      <c r="Y7" s="245">
        <f>X7+1</f>
        <v/>
      </c>
      <c r="Z7" s="246">
        <f>Y7+1</f>
        <v/>
      </c>
      <c r="AA7" s="246">
        <f>Z7+1</f>
        <v/>
      </c>
      <c r="AB7" s="246">
        <f>AA7+1</f>
        <v/>
      </c>
      <c r="AC7" s="246">
        <f>AB7+1</f>
        <v/>
      </c>
      <c r="AD7" s="246">
        <f>AC7+1</f>
        <v/>
      </c>
      <c r="AE7" s="247">
        <f>AD7+1</f>
        <v/>
      </c>
      <c r="AF7" s="246">
        <f>AE7+1</f>
        <v/>
      </c>
      <c r="AG7" s="246">
        <f>AF7+1</f>
        <v/>
      </c>
      <c r="AH7" s="249" t="inlineStr">
        <is>
          <t>1-7號
時數</t>
        </is>
      </c>
      <c r="AI7" s="249" t="inlineStr">
        <is>
          <t>8-14號
時數</t>
        </is>
      </c>
      <c r="AJ7" s="249" t="inlineStr">
        <is>
          <t>15-21號
時數</t>
        </is>
      </c>
      <c r="AK7" s="249" t="inlineStr">
        <is>
          <t>22-28號
時數</t>
        </is>
      </c>
      <c r="AL7" s="249" t="inlineStr">
        <is>
          <t>29-30號
時數</t>
        </is>
      </c>
      <c r="AM7" s="249" t="inlineStr">
        <is>
          <t>每月
工作
時數</t>
        </is>
      </c>
      <c r="AN7" s="215" t="inlineStr">
        <is>
          <t>工作
日數</t>
        </is>
      </c>
      <c r="AO7" s="239" t="inlineStr">
        <is>
          <t>已放
年假</t>
        </is>
      </c>
      <c r="AP7" s="130" t="inlineStr">
        <is>
          <t>RD</t>
        </is>
      </c>
      <c r="AQ7" s="250" t="inlineStr">
        <is>
          <t>R
已放</t>
        </is>
      </c>
      <c r="AR7" s="251" t="inlineStr">
        <is>
          <t>OT</t>
        </is>
      </c>
      <c r="AS7" s="250" t="inlineStr">
        <is>
          <t>AL
年假</t>
        </is>
      </c>
      <c r="AT7" s="250" t="inlineStr">
        <is>
          <t>NP
無薪假</t>
        </is>
      </c>
      <c r="AU7" s="252" t="inlineStr">
        <is>
          <t>SL
病假</t>
        </is>
      </c>
      <c r="AV7" s="250" t="inlineStr">
        <is>
          <t>NS
無薪病假</t>
        </is>
      </c>
      <c r="AW7" s="250" t="inlineStr">
        <is>
          <t>SH
有薪/無薪法定假期</t>
        </is>
      </c>
      <c r="AX7" s="250" t="inlineStr">
        <is>
          <t>NSH
有薪/無薪法定假期</t>
        </is>
      </c>
      <c r="AY7" s="253" t="inlineStr">
        <is>
          <t>NC
非合約期</t>
        </is>
      </c>
    </row>
    <row r="8" hidden="1" ht="27.95" customFormat="1" customHeight="1" s="1">
      <c r="B8" s="254" t="n"/>
      <c r="C8" s="101" t="n"/>
      <c r="D8" s="255" t="n"/>
      <c r="E8" s="256" t="n"/>
      <c r="F8" s="256" t="n"/>
      <c r="G8" s="256" t="n"/>
      <c r="H8" s="256" t="n"/>
      <c r="I8" s="256" t="n"/>
      <c r="J8" s="257" t="n"/>
      <c r="K8" s="258" t="n"/>
      <c r="L8" s="256" t="n"/>
      <c r="M8" s="256" t="n"/>
      <c r="N8" s="256" t="n"/>
      <c r="O8" s="256" t="n"/>
      <c r="P8" s="256" t="n"/>
      <c r="Q8" s="257" t="n"/>
      <c r="R8" s="258" t="n"/>
      <c r="S8" s="256" t="n"/>
      <c r="T8" s="259" t="inlineStr">
        <is>
          <t>H</t>
        </is>
      </c>
      <c r="U8" s="259" t="inlineStr">
        <is>
          <t>H</t>
        </is>
      </c>
      <c r="V8" s="259" t="inlineStr">
        <is>
          <t>H</t>
        </is>
      </c>
      <c r="W8" s="256" t="n"/>
      <c r="X8" s="257" t="n"/>
      <c r="Y8" s="260" t="n"/>
      <c r="Z8" s="256" t="n"/>
      <c r="AA8" s="256" t="n"/>
      <c r="AB8" s="256" t="n"/>
      <c r="AC8" s="256" t="n"/>
      <c r="AD8" s="256" t="n"/>
      <c r="AE8" s="257" t="n"/>
      <c r="AF8" s="256" t="n"/>
      <c r="AG8" s="256" t="n"/>
      <c r="AH8" s="261" t="n"/>
      <c r="AI8" s="261" t="n"/>
      <c r="AJ8" s="261" t="n"/>
      <c r="AK8" s="261" t="n"/>
      <c r="AL8" s="261" t="n"/>
      <c r="AM8" s="261" t="n"/>
      <c r="AN8" s="262" t="n"/>
      <c r="AO8" s="263" t="n"/>
      <c r="AP8" s="264" t="n"/>
      <c r="AQ8" s="263" t="n"/>
      <c r="AR8" s="263" t="n"/>
      <c r="AS8" s="263" t="n"/>
      <c r="AT8" s="263" t="n"/>
      <c r="AU8" s="263" t="n"/>
      <c r="AV8" s="263" t="n"/>
      <c r="AW8" s="263" t="n"/>
      <c r="AX8" s="263" t="n"/>
      <c r="AY8" s="265" t="n"/>
    </row>
    <row r="9" ht="27.95" customFormat="1" customHeight="1" s="1" thickBot="1">
      <c r="B9" s="266" t="n"/>
      <c r="C9" s="8" t="inlineStr">
        <is>
          <t>中文 / 英文</t>
        </is>
      </c>
      <c r="D9" s="267">
        <f>SUBSTITUTE(TEXT(D7,"aaa"),"週","")</f>
        <v/>
      </c>
      <c r="E9" s="268">
        <f>SUBSTITUTE(TEXT(E7,"aaa"),"週","")</f>
        <v/>
      </c>
      <c r="F9" s="268">
        <f>SUBSTITUTE(TEXT(F7,"aaa"),"週","")</f>
        <v/>
      </c>
      <c r="G9" s="268">
        <f>SUBSTITUTE(TEXT(G7,"aaa"),"週","")</f>
        <v/>
      </c>
      <c r="H9" s="268">
        <f>SUBSTITUTE(TEXT(H7,"aaa"),"週","")</f>
        <v/>
      </c>
      <c r="I9" s="268">
        <f>SUBSTITUTE(TEXT(I7,"aaa"),"週","")</f>
        <v/>
      </c>
      <c r="J9" s="269">
        <f>SUBSTITUTE(TEXT(J7,"aaa"),"週","")</f>
        <v/>
      </c>
      <c r="K9" s="270">
        <f>SUBSTITUTE(TEXT(K7,"aaa"),"週","")</f>
        <v/>
      </c>
      <c r="L9" s="268">
        <f>SUBSTITUTE(TEXT(L7,"aaa"),"週","")</f>
        <v/>
      </c>
      <c r="M9" s="268">
        <f>SUBSTITUTE(TEXT(M7,"aaa"),"週","")</f>
        <v/>
      </c>
      <c r="N9" s="268">
        <f>SUBSTITUTE(TEXT(N7,"aaa"),"週","")</f>
        <v/>
      </c>
      <c r="O9" s="268">
        <f>SUBSTITUTE(TEXT(O7,"aaa"),"週","")</f>
        <v/>
      </c>
      <c r="P9" s="268">
        <f>SUBSTITUTE(TEXT(P7,"aaa"),"週","")</f>
        <v/>
      </c>
      <c r="Q9" s="269">
        <f>SUBSTITUTE(TEXT(Q7,"aaa"),"週","")</f>
        <v/>
      </c>
      <c r="R9" s="270">
        <f>SUBSTITUTE(TEXT(R7,"aaa"),"週","")</f>
        <v/>
      </c>
      <c r="S9" s="268">
        <f>SUBSTITUTE(TEXT(S7,"aaa"),"週","")</f>
        <v/>
      </c>
      <c r="T9" s="268">
        <f>SUBSTITUTE(TEXT(T7,"aaa"),"週","")</f>
        <v/>
      </c>
      <c r="U9" s="268">
        <f>SUBSTITUTE(TEXT(U7,"aaa"),"週","")</f>
        <v/>
      </c>
      <c r="V9" s="268">
        <f>SUBSTITUTE(TEXT(V7,"aaa"),"週","")</f>
        <v/>
      </c>
      <c r="W9" s="268">
        <f>SUBSTITUTE(TEXT(W7,"aaa"),"週","")</f>
        <v/>
      </c>
      <c r="X9" s="269">
        <f>SUBSTITUTE(TEXT(X7,"aaa"),"週","")</f>
        <v/>
      </c>
      <c r="Y9" s="267">
        <f>SUBSTITUTE(TEXT(Y7,"aaa"),"週","")</f>
        <v/>
      </c>
      <c r="Z9" s="268">
        <f>SUBSTITUTE(TEXT(Z7,"aaa"),"週","")</f>
        <v/>
      </c>
      <c r="AA9" s="268">
        <f>SUBSTITUTE(TEXT(AA7,"aaa"),"週","")</f>
        <v/>
      </c>
      <c r="AB9" s="268">
        <f>SUBSTITUTE(TEXT(AB7,"aaa"),"週","")</f>
        <v/>
      </c>
      <c r="AC9" s="268">
        <f>SUBSTITUTE(TEXT(AC7,"aaa"),"週","")</f>
        <v/>
      </c>
      <c r="AD9" s="268">
        <f>SUBSTITUTE(TEXT(AD7,"aaa"),"週","")</f>
        <v/>
      </c>
      <c r="AE9" s="269">
        <f>SUBSTITUTE(TEXT(AE7,"aaa"),"週","")</f>
        <v/>
      </c>
      <c r="AF9" s="268">
        <f>SUBSTITUTE(TEXT(AF7,"aaa"),"週","")</f>
        <v/>
      </c>
      <c r="AG9" s="268">
        <f>SUBSTITUTE(TEXT(AG7,"aaa"),"週","")</f>
        <v/>
      </c>
      <c r="AH9" s="271" t="n"/>
      <c r="AI9" s="271" t="n"/>
      <c r="AJ9" s="271" t="n"/>
      <c r="AK9" s="271" t="n"/>
      <c r="AL9" s="271" t="n"/>
      <c r="AM9" s="271" t="n"/>
      <c r="AN9" s="272" t="n"/>
      <c r="AO9" s="273" t="n"/>
      <c r="AP9" s="274" t="n"/>
      <c r="AQ9" s="273" t="n"/>
      <c r="AR9" s="273" t="n"/>
      <c r="AS9" s="273" t="n"/>
      <c r="AT9" s="273" t="n"/>
      <c r="AU9" s="273" t="n"/>
      <c r="AV9" s="273" t="n"/>
      <c r="AW9" s="273" t="n"/>
      <c r="AX9" s="273" t="n"/>
      <c r="AY9" s="275" t="n"/>
    </row>
    <row r="10" ht="27" customFormat="1" customHeight="1" s="1">
      <c r="B10" s="12" t="inlineStr">
        <is>
          <t>A1</t>
        </is>
      </c>
      <c r="C10" s="70" t="inlineStr">
        <is>
          <t>Test-1</t>
        </is>
      </c>
      <c r="D10" s="110" t="n">
        <v>8</v>
      </c>
      <c r="E10" s="111" t="n">
        <v>8</v>
      </c>
      <c r="F10" s="111" t="n">
        <v>8</v>
      </c>
      <c r="G10" s="111" t="n">
        <v>8</v>
      </c>
      <c r="H10" s="111" t="n">
        <v>8</v>
      </c>
      <c r="I10" s="111" t="n">
        <v>8</v>
      </c>
      <c r="J10" s="112" t="n">
        <v>8</v>
      </c>
      <c r="K10" s="113" t="n">
        <v>8</v>
      </c>
      <c r="L10" s="111" t="n">
        <v>8</v>
      </c>
      <c r="M10" s="111" t="n">
        <v>8</v>
      </c>
      <c r="N10" s="111" t="n">
        <v>8</v>
      </c>
      <c r="O10" s="111" t="n">
        <v>8</v>
      </c>
      <c r="P10" s="111" t="n">
        <v>8</v>
      </c>
      <c r="Q10" s="114" t="n">
        <v>8</v>
      </c>
      <c r="R10" s="113" t="n">
        <v>8</v>
      </c>
      <c r="S10" s="111" t="n">
        <v>8</v>
      </c>
      <c r="T10" s="111" t="n">
        <v>8</v>
      </c>
      <c r="U10" s="111" t="n">
        <v>8</v>
      </c>
      <c r="V10" s="111" t="n">
        <v>8</v>
      </c>
      <c r="W10" s="111" t="n">
        <v>8</v>
      </c>
      <c r="X10" s="112" t="n">
        <v>8</v>
      </c>
      <c r="Y10" s="110" t="n">
        <v>8</v>
      </c>
      <c r="Z10" s="111" t="n">
        <v>8</v>
      </c>
      <c r="AA10" s="111" t="n">
        <v>8</v>
      </c>
      <c r="AB10" s="111" t="n">
        <v>8</v>
      </c>
      <c r="AC10" s="111" t="n">
        <v>8</v>
      </c>
      <c r="AD10" s="115" t="n">
        <v>8</v>
      </c>
      <c r="AE10" s="112" t="n">
        <v>8</v>
      </c>
      <c r="AF10" s="111" t="n">
        <v>8</v>
      </c>
      <c r="AG10" s="115" t="n">
        <v>8</v>
      </c>
      <c r="AH10" s="276">
        <f>SUM(D10:J10)</f>
        <v/>
      </c>
      <c r="AI10" s="276">
        <f>SUM(K10:Q10)</f>
        <v/>
      </c>
      <c r="AJ10" s="276">
        <f>SUM(R10:X10)</f>
        <v/>
      </c>
      <c r="AK10" s="276">
        <f>SUM(Y10:AE10)</f>
        <v/>
      </c>
      <c r="AL10" s="276">
        <f>SUM(AF10:AG10)</f>
        <v/>
      </c>
      <c r="AM10" s="276">
        <f>SUM(AH10:AL10)</f>
        <v/>
      </c>
      <c r="AN10" s="277">
        <f>COUNTIFS(D10:AE10,"&gt;=4",D10:AE10,"&lt;=10")</f>
        <v/>
      </c>
      <c r="AO10" s="143" t="n"/>
      <c r="AP10" s="278">
        <f>$AP$8</f>
        <v/>
      </c>
      <c r="AQ10" s="279">
        <f>COUNTIF(D10:AE10,"RD")</f>
        <v/>
      </c>
      <c r="AR10" s="280">
        <f>AP10-AQ10</f>
        <v/>
      </c>
      <c r="AS10" s="279">
        <f>COUNTIF(C10:AE10,"AL")</f>
        <v/>
      </c>
      <c r="AT10" s="279">
        <f>COUNTIF(D10:AE10,"NP")</f>
        <v/>
      </c>
      <c r="AU10" s="279">
        <f>COUNTIF(C10:AE10,"SL")</f>
        <v/>
      </c>
      <c r="AV10" s="279">
        <f>COUNTIF(D10:AE10,"NS")</f>
        <v/>
      </c>
      <c r="AW10" s="279">
        <f>COUNTIF(C10:AE10,"SH")</f>
        <v/>
      </c>
      <c r="AX10" s="279">
        <f>COUNTIF(D10:AE10,"NSH")</f>
        <v/>
      </c>
      <c r="AY10" s="281">
        <f>COUNTIF(D10:AE10,"NC")</f>
        <v/>
      </c>
    </row>
    <row r="11" ht="27.95" customFormat="1" customHeight="1" s="1" thickBot="1">
      <c r="B11" s="14" t="inlineStr">
        <is>
          <t>A2</t>
        </is>
      </c>
      <c r="C11" s="116" t="inlineStr">
        <is>
          <t>Test-2</t>
        </is>
      </c>
      <c r="D11" s="99" t="n">
        <v>8</v>
      </c>
      <c r="E11" s="90" t="n">
        <v>8</v>
      </c>
      <c r="F11" s="90" t="n">
        <v>8</v>
      </c>
      <c r="G11" s="90" t="n">
        <v>8</v>
      </c>
      <c r="H11" s="90" t="n">
        <v>8</v>
      </c>
      <c r="I11" s="90" t="n">
        <v>8</v>
      </c>
      <c r="J11" s="62" t="n">
        <v>8</v>
      </c>
      <c r="K11" s="61" t="n">
        <v>8</v>
      </c>
      <c r="L11" s="90" t="n">
        <v>8</v>
      </c>
      <c r="M11" s="90" t="n">
        <v>8</v>
      </c>
      <c r="N11" s="90" t="n">
        <v>8</v>
      </c>
      <c r="O11" s="90" t="n">
        <v>8</v>
      </c>
      <c r="P11" s="90" t="n">
        <v>8</v>
      </c>
      <c r="Q11" s="62" t="n">
        <v>8</v>
      </c>
      <c r="R11" s="61" t="n">
        <v>8</v>
      </c>
      <c r="S11" s="90" t="n">
        <v>8</v>
      </c>
      <c r="T11" s="90" t="n">
        <v>8</v>
      </c>
      <c r="U11" s="83" t="n">
        <v>8</v>
      </c>
      <c r="V11" s="90" t="n">
        <v>8</v>
      </c>
      <c r="W11" s="90" t="n">
        <v>8</v>
      </c>
      <c r="X11" s="91" t="n">
        <v>8</v>
      </c>
      <c r="Y11" s="139" t="n">
        <v>8</v>
      </c>
      <c r="Z11" s="102" t="n">
        <v>8</v>
      </c>
      <c r="AA11" s="102" t="n">
        <v>8</v>
      </c>
      <c r="AB11" s="140" t="n">
        <v>8</v>
      </c>
      <c r="AC11" s="102" t="n">
        <v>8</v>
      </c>
      <c r="AD11" s="102" t="n">
        <v>8</v>
      </c>
      <c r="AE11" s="141" t="n">
        <v>8</v>
      </c>
      <c r="AF11" s="102" t="n">
        <v>8</v>
      </c>
      <c r="AG11" s="102" t="n">
        <v>8</v>
      </c>
      <c r="AH11" s="282">
        <f>SUM(D11:J11)</f>
        <v/>
      </c>
      <c r="AI11" s="282">
        <f>SUM(K11:Q11)</f>
        <v/>
      </c>
      <c r="AJ11" s="282">
        <f>SUM(R11:X11)</f>
        <v/>
      </c>
      <c r="AK11" s="282">
        <f>SUM(Y11:AE11)</f>
        <v/>
      </c>
      <c r="AL11" s="282">
        <f>SUM(AF11:AG11)</f>
        <v/>
      </c>
      <c r="AM11" s="282">
        <f>SUM(AH11:AL11)</f>
        <v/>
      </c>
      <c r="AN11" s="283">
        <f>COUNTIFS(D11:AE11,"&gt;=4",D11:AE11,"&lt;=10")</f>
        <v/>
      </c>
      <c r="AO11" s="149" t="n"/>
      <c r="AP11" s="284">
        <f>$AP$8</f>
        <v/>
      </c>
      <c r="AQ11" s="285">
        <f>COUNTIF(D11:AE11,"RD")</f>
        <v/>
      </c>
      <c r="AR11" s="286">
        <f>AP11-AQ11</f>
        <v/>
      </c>
      <c r="AS11" s="285">
        <f>COUNTIF(C11:AE11,"AL")</f>
        <v/>
      </c>
      <c r="AT11" s="285">
        <f>COUNTIF(D11:AE11,"NP")</f>
        <v/>
      </c>
      <c r="AU11" s="285">
        <f>COUNTIF(C11:AE11,"SL")</f>
        <v/>
      </c>
      <c r="AV11" s="285">
        <f>COUNTIF(D11:AE11,"NS")</f>
        <v/>
      </c>
      <c r="AW11" s="285">
        <f>COUNTIF(C11:AE11,"SH")</f>
        <v/>
      </c>
      <c r="AX11" s="285">
        <f>COUNTIF(D11:AE11,"NSH")</f>
        <v/>
      </c>
      <c r="AY11" s="287">
        <f>COUNTIF(D11:AE11,"NC")</f>
        <v/>
      </c>
    </row>
    <row r="12" ht="27.95" customFormat="1" customHeight="1" s="1" thickBot="1">
      <c r="B12" s="288" t="inlineStr">
        <is>
          <t>A3</t>
        </is>
      </c>
      <c r="C12" s="289" t="inlineStr">
        <is>
          <t>Test-3</t>
        </is>
      </c>
      <c r="D12" s="110" t="n">
        <v>8</v>
      </c>
      <c r="E12" s="111" t="n">
        <v>8</v>
      </c>
      <c r="F12" s="111" t="n">
        <v>8</v>
      </c>
      <c r="G12" s="111" t="n">
        <v>8</v>
      </c>
      <c r="H12" s="111" t="n">
        <v>8</v>
      </c>
      <c r="I12" s="111" t="n">
        <v>8</v>
      </c>
      <c r="J12" s="112" t="n">
        <v>8</v>
      </c>
      <c r="K12" s="113" t="n">
        <v>8</v>
      </c>
      <c r="L12" s="111" t="n">
        <v>8</v>
      </c>
      <c r="M12" s="111" t="n">
        <v>8</v>
      </c>
      <c r="N12" s="111" t="n">
        <v>8</v>
      </c>
      <c r="O12" s="111" t="n">
        <v>8</v>
      </c>
      <c r="P12" s="111" t="n">
        <v>8</v>
      </c>
      <c r="Q12" s="114" t="n">
        <v>8</v>
      </c>
      <c r="R12" s="113" t="n">
        <v>8</v>
      </c>
      <c r="S12" s="111" t="n">
        <v>8</v>
      </c>
      <c r="T12" s="111" t="n">
        <v>8</v>
      </c>
      <c r="U12" s="111" t="n">
        <v>8</v>
      </c>
      <c r="V12" s="111" t="n">
        <v>8</v>
      </c>
      <c r="W12" s="111" t="n">
        <v>8</v>
      </c>
      <c r="X12" s="112" t="n">
        <v>8</v>
      </c>
      <c r="Y12" s="110" t="n">
        <v>8</v>
      </c>
      <c r="Z12" s="111" t="n">
        <v>8</v>
      </c>
      <c r="AA12" s="111" t="n">
        <v>8</v>
      </c>
      <c r="AB12" s="111" t="n">
        <v>8</v>
      </c>
      <c r="AC12" s="111" t="n">
        <v>8</v>
      </c>
      <c r="AD12" s="115" t="n">
        <v>8</v>
      </c>
      <c r="AE12" s="112" t="n">
        <v>8</v>
      </c>
      <c r="AF12" s="111" t="n">
        <v>8</v>
      </c>
      <c r="AG12" s="115" t="n">
        <v>8</v>
      </c>
      <c r="AH12" s="276">
        <f>SUM(D12:J12)</f>
        <v/>
      </c>
      <c r="AI12" s="276">
        <f>SUM(K12:Q12)</f>
        <v/>
      </c>
      <c r="AJ12" s="276">
        <f>SUM(R12:X12)</f>
        <v/>
      </c>
      <c r="AK12" s="276">
        <f>SUM(Y12:AE12)</f>
        <v/>
      </c>
      <c r="AL12" s="276">
        <f>SUM(AF12:AG12)</f>
        <v/>
      </c>
      <c r="AM12" s="276">
        <f>SUM(AH12:AL12)</f>
        <v/>
      </c>
      <c r="AN12" s="277">
        <f>COUNTIFS(D12:AE12,"&gt;=4",D12:AE12,"&lt;=10")</f>
        <v/>
      </c>
      <c r="AO12" s="143" t="n"/>
      <c r="AP12" s="278">
        <f>$AP$8</f>
        <v/>
      </c>
      <c r="AQ12" s="279">
        <f>COUNTIF(D12:AE12,"RD")</f>
        <v/>
      </c>
      <c r="AR12" s="280">
        <f>AP12-AQ12</f>
        <v/>
      </c>
      <c r="AS12" s="279">
        <f>COUNTIF(C12:AE12,"AL")</f>
        <v/>
      </c>
      <c r="AT12" s="279">
        <f>COUNTIF(D12:AE12,"NP")</f>
        <v/>
      </c>
      <c r="AU12" s="279">
        <f>COUNTIF(C12:AE12,"SL")</f>
        <v/>
      </c>
      <c r="AV12" s="279">
        <f>COUNTIF(D12:AE12,"NS")</f>
        <v/>
      </c>
      <c r="AW12" s="279">
        <f>COUNTIF(C12:AE12,"SH")</f>
        <v/>
      </c>
      <c r="AX12" s="279">
        <f>COUNTIF(D12:AE12,"NSH")</f>
        <v/>
      </c>
      <c r="AY12" s="281">
        <f>COUNTIF(D12:AE12,"NC")</f>
        <v/>
      </c>
    </row>
    <row r="13" ht="30" customFormat="1" customHeight="1" s="1" thickBot="1">
      <c r="B13" s="288" t="inlineStr">
        <is>
          <t>A4</t>
        </is>
      </c>
      <c r="C13" s="289" t="inlineStr">
        <is>
          <t>Test-4</t>
        </is>
      </c>
      <c r="D13" s="110" t="n">
        <v>8</v>
      </c>
      <c r="E13" s="111" t="n">
        <v>8</v>
      </c>
      <c r="F13" s="111" t="n">
        <v>8</v>
      </c>
      <c r="G13" s="111" t="n">
        <v>8</v>
      </c>
      <c r="H13" s="111" t="n">
        <v>8</v>
      </c>
      <c r="I13" s="111" t="n">
        <v>8</v>
      </c>
      <c r="J13" s="112" t="n">
        <v>8</v>
      </c>
      <c r="K13" s="113" t="n">
        <v>8</v>
      </c>
      <c r="L13" s="111" t="n">
        <v>8</v>
      </c>
      <c r="M13" s="111" t="n">
        <v>8</v>
      </c>
      <c r="N13" s="111" t="n">
        <v>8</v>
      </c>
      <c r="O13" s="111" t="n">
        <v>8</v>
      </c>
      <c r="P13" s="111" t="n">
        <v>8</v>
      </c>
      <c r="Q13" s="114" t="n">
        <v>8</v>
      </c>
      <c r="R13" s="113" t="n">
        <v>8</v>
      </c>
      <c r="S13" s="111" t="n">
        <v>8</v>
      </c>
      <c r="T13" s="111" t="n">
        <v>8</v>
      </c>
      <c r="U13" s="111" t="n">
        <v>8</v>
      </c>
      <c r="V13" s="111" t="n">
        <v>8</v>
      </c>
      <c r="W13" s="111" t="n">
        <v>8</v>
      </c>
      <c r="X13" s="112" t="n">
        <v>8</v>
      </c>
      <c r="Y13" s="110" t="n">
        <v>8</v>
      </c>
      <c r="Z13" s="111" t="n">
        <v>8</v>
      </c>
      <c r="AA13" s="111" t="n">
        <v>8</v>
      </c>
      <c r="AB13" s="111" t="n">
        <v>8</v>
      </c>
      <c r="AC13" s="111" t="n">
        <v>8</v>
      </c>
      <c r="AD13" s="115" t="n">
        <v>8</v>
      </c>
      <c r="AE13" s="112" t="n">
        <v>8</v>
      </c>
      <c r="AF13" s="111" t="n">
        <v>8</v>
      </c>
      <c r="AG13" s="115" t="n">
        <v>8</v>
      </c>
      <c r="AH13" s="276">
        <f>SUM(D13:J13)</f>
        <v/>
      </c>
      <c r="AI13" s="276">
        <f>SUM(K13:Q13)</f>
        <v/>
      </c>
      <c r="AJ13" s="276">
        <f>SUM(R13:X13)</f>
        <v/>
      </c>
      <c r="AK13" s="276">
        <f>SUM(Y13:AE13)</f>
        <v/>
      </c>
      <c r="AL13" s="276">
        <f>SUM(AF13:AG13)</f>
        <v/>
      </c>
      <c r="AM13" s="276">
        <f>SUM(AH13:AL13)</f>
        <v/>
      </c>
      <c r="AN13" s="277">
        <f>COUNTIFS(D13:AE13,"&gt;=4",D13:AE13,"&lt;=10")</f>
        <v/>
      </c>
      <c r="AO13" s="143" t="n"/>
      <c r="AP13" s="278">
        <f>$AP$8</f>
        <v/>
      </c>
      <c r="AQ13" s="279">
        <f>COUNTIF(D13:AE13,"RD")</f>
        <v/>
      </c>
      <c r="AR13" s="280">
        <f>AP13-AQ13</f>
        <v/>
      </c>
      <c r="AS13" s="279">
        <f>COUNTIF(C13:AE13,"AL")</f>
        <v/>
      </c>
      <c r="AT13" s="279">
        <f>COUNTIF(D13:AE13,"NP")</f>
        <v/>
      </c>
      <c r="AU13" s="279">
        <f>COUNTIF(C13:AE13,"SL")</f>
        <v/>
      </c>
      <c r="AV13" s="279">
        <f>COUNTIF(D13:AE13,"NS")</f>
        <v/>
      </c>
      <c r="AW13" s="279">
        <f>COUNTIF(C13:AE13,"SH")</f>
        <v/>
      </c>
      <c r="AX13" s="279">
        <f>COUNTIF(D13:AE13,"NSH")</f>
        <v/>
      </c>
      <c r="AY13" s="281">
        <f>COUNTIF(D13:AE13,"NC")</f>
        <v/>
      </c>
    </row>
    <row r="14" ht="27.95" customFormat="1" customHeight="1" s="1" thickBot="1">
      <c r="B14" s="288" t="inlineStr">
        <is>
          <t>A5</t>
        </is>
      </c>
      <c r="C14" s="289" t="inlineStr">
        <is>
          <t>Test-5</t>
        </is>
      </c>
      <c r="D14" s="110" t="n">
        <v>8</v>
      </c>
      <c r="E14" s="111" t="n">
        <v>8</v>
      </c>
      <c r="F14" s="111" t="n">
        <v>8</v>
      </c>
      <c r="G14" s="111" t="n">
        <v>8</v>
      </c>
      <c r="H14" s="111" t="n">
        <v>8</v>
      </c>
      <c r="I14" s="111" t="n">
        <v>8</v>
      </c>
      <c r="J14" s="112" t="n">
        <v>8</v>
      </c>
      <c r="K14" s="113" t="n">
        <v>8</v>
      </c>
      <c r="L14" s="111" t="n">
        <v>8</v>
      </c>
      <c r="M14" s="111" t="n">
        <v>8</v>
      </c>
      <c r="N14" s="111" t="n">
        <v>8</v>
      </c>
      <c r="O14" s="111" t="n">
        <v>8</v>
      </c>
      <c r="P14" s="111" t="n">
        <v>8</v>
      </c>
      <c r="Q14" s="114" t="n">
        <v>8</v>
      </c>
      <c r="R14" s="113" t="n">
        <v>8</v>
      </c>
      <c r="S14" s="111" t="n">
        <v>8</v>
      </c>
      <c r="T14" s="111" t="n">
        <v>8</v>
      </c>
      <c r="U14" s="111" t="n">
        <v>8</v>
      </c>
      <c r="V14" s="111" t="n">
        <v>8</v>
      </c>
      <c r="W14" s="111" t="n">
        <v>8</v>
      </c>
      <c r="X14" s="112" t="n">
        <v>8</v>
      </c>
      <c r="Y14" s="110" t="n">
        <v>8</v>
      </c>
      <c r="Z14" s="111" t="n">
        <v>8</v>
      </c>
      <c r="AA14" s="111" t="n">
        <v>8</v>
      </c>
      <c r="AB14" s="111" t="n">
        <v>8</v>
      </c>
      <c r="AC14" s="111" t="n">
        <v>8</v>
      </c>
      <c r="AD14" s="115" t="n">
        <v>8</v>
      </c>
      <c r="AE14" s="112" t="n">
        <v>8</v>
      </c>
      <c r="AF14" s="111" t="n">
        <v>8</v>
      </c>
      <c r="AG14" s="115" t="n">
        <v>8</v>
      </c>
      <c r="AH14" s="276">
        <f>SUM(D14:J14)</f>
        <v/>
      </c>
      <c r="AI14" s="276">
        <f>SUM(K14:Q14)</f>
        <v/>
      </c>
      <c r="AJ14" s="276">
        <f>SUM(R14:X14)</f>
        <v/>
      </c>
      <c r="AK14" s="276">
        <f>SUM(Y14:AE14)</f>
        <v/>
      </c>
      <c r="AL14" s="276">
        <f>SUM(AF14:AG14)</f>
        <v/>
      </c>
      <c r="AM14" s="276">
        <f>SUM(AH14:AL14)</f>
        <v/>
      </c>
      <c r="AN14" s="277">
        <f>COUNTIFS(D14:AE14,"&gt;=4",D14:AE14,"&lt;=10")</f>
        <v/>
      </c>
      <c r="AO14" s="143" t="n"/>
      <c r="AP14" s="278">
        <f>$AP$8</f>
        <v/>
      </c>
      <c r="AQ14" s="279">
        <f>COUNTIF(D14:AE14,"RD")</f>
        <v/>
      </c>
      <c r="AR14" s="280">
        <f>AP14-AQ14</f>
        <v/>
      </c>
      <c r="AS14" s="279">
        <f>COUNTIF(C14:AE14,"AL")</f>
        <v/>
      </c>
      <c r="AT14" s="279">
        <f>COUNTIF(D14:AE14,"NP")</f>
        <v/>
      </c>
      <c r="AU14" s="279">
        <f>COUNTIF(C14:AE14,"SL")</f>
        <v/>
      </c>
      <c r="AV14" s="279">
        <f>COUNTIF(D14:AE14,"NS")</f>
        <v/>
      </c>
      <c r="AW14" s="279">
        <f>COUNTIF(C14:AE14,"SH")</f>
        <v/>
      </c>
      <c r="AX14" s="279">
        <f>COUNTIF(D14:AE14,"NSH")</f>
        <v/>
      </c>
      <c r="AY14" s="281">
        <f>COUNTIF(D14:AE14,"NC")</f>
        <v/>
      </c>
    </row>
    <row r="15" ht="27.95" customFormat="1" customHeight="1" s="1" thickBot="1">
      <c r="B15" s="290" t="inlineStr">
        <is>
          <t>清潔科文(實際) 每天工作總時數</t>
        </is>
      </c>
      <c r="C15" s="291" t="n"/>
      <c r="D15" s="292">
        <f>SUM(D10:D11)</f>
        <v/>
      </c>
      <c r="E15" s="293">
        <f>SUM(E10:E11)</f>
        <v/>
      </c>
      <c r="F15" s="293">
        <f>SUM(F10:F11)</f>
        <v/>
      </c>
      <c r="G15" s="293">
        <f>SUM(G10:G11)</f>
        <v/>
      </c>
      <c r="H15" s="293">
        <f>SUM(H10:H11)</f>
        <v/>
      </c>
      <c r="I15" s="293">
        <f>SUM(I10:I11)</f>
        <v/>
      </c>
      <c r="J15" s="294">
        <f>SUM(J10:J11)</f>
        <v/>
      </c>
      <c r="K15" s="295">
        <f>SUM(K10:K11)</f>
        <v/>
      </c>
      <c r="L15" s="293">
        <f>SUM(L10:L11)</f>
        <v/>
      </c>
      <c r="M15" s="293">
        <f>SUM(M10:M11)</f>
        <v/>
      </c>
      <c r="N15" s="293">
        <f>SUM(N10:N11)</f>
        <v/>
      </c>
      <c r="O15" s="293">
        <f>SUM(O10:O11)</f>
        <v/>
      </c>
      <c r="P15" s="293">
        <f>SUM(P10:P11)</f>
        <v/>
      </c>
      <c r="Q15" s="294">
        <f>SUM(Q10:Q11)</f>
        <v/>
      </c>
      <c r="R15" s="295">
        <f>SUM(R10:R11)</f>
        <v/>
      </c>
      <c r="S15" s="293">
        <f>SUM(S10:S11)</f>
        <v/>
      </c>
      <c r="T15" s="293">
        <f>SUM(T10:T11)</f>
        <v/>
      </c>
      <c r="U15" s="293">
        <f>SUM(U10:U11)</f>
        <v/>
      </c>
      <c r="V15" s="293">
        <f>SUM(V10:V11)</f>
        <v/>
      </c>
      <c r="W15" s="293">
        <f>SUM(W10:W11)</f>
        <v/>
      </c>
      <c r="X15" s="294">
        <f>SUM(X10:X11)</f>
        <v/>
      </c>
      <c r="Y15" s="296">
        <f>SUM(Y10:Y11)</f>
        <v/>
      </c>
      <c r="Z15" s="297">
        <f>SUM(Z10:Z11)</f>
        <v/>
      </c>
      <c r="AA15" s="297">
        <f>SUM(AA10:AA11)</f>
        <v/>
      </c>
      <c r="AB15" s="297">
        <f>SUM(AB10:AB11)</f>
        <v/>
      </c>
      <c r="AC15" s="297">
        <f>SUM(AC10:AC11)</f>
        <v/>
      </c>
      <c r="AD15" s="297">
        <f>SUM(AD10:AD11)</f>
        <v/>
      </c>
      <c r="AE15" s="298">
        <f>SUM(AE10:AE11)</f>
        <v/>
      </c>
      <c r="AF15" s="297">
        <f>SUM(AF10:AF11)</f>
        <v/>
      </c>
      <c r="AG15" s="297">
        <f>SUM(AG10:AG11)</f>
        <v/>
      </c>
      <c r="AH15" s="299">
        <f>SUM(D15:J15)</f>
        <v/>
      </c>
      <c r="AI15" s="299">
        <f>SUM(K15:Q15)</f>
        <v/>
      </c>
      <c r="AJ15" s="299">
        <f>SUM(R15:X15)</f>
        <v/>
      </c>
      <c r="AK15" s="299">
        <f>SUM(Y15:AE15)</f>
        <v/>
      </c>
      <c r="AL15" s="299">
        <f>SUM(AF15:AG15)</f>
        <v/>
      </c>
      <c r="AM15" s="300">
        <f>SUM(AH15:AL15)</f>
        <v/>
      </c>
      <c r="AQ15" s="301" t="n"/>
    </row>
    <row r="16" ht="14.25" customFormat="1" customHeight="1" s="1">
      <c r="B16" s="302" t="inlineStr">
        <is>
          <t>清潔科文(實際) 每週工作總時數</t>
        </is>
      </c>
      <c r="C16" s="291" t="n"/>
      <c r="D16" s="303">
        <f>SUM(D15:J15)</f>
        <v/>
      </c>
      <c r="E16" s="304" t="n"/>
      <c r="F16" s="304" t="n"/>
      <c r="G16" s="304" t="n"/>
      <c r="H16" s="304" t="n"/>
      <c r="I16" s="304" t="n"/>
      <c r="J16" s="305" t="n"/>
      <c r="K16" s="306">
        <f>SUM(K15:Q15)</f>
        <v/>
      </c>
      <c r="L16" s="304" t="n"/>
      <c r="M16" s="304" t="n"/>
      <c r="N16" s="304" t="n"/>
      <c r="O16" s="304" t="n"/>
      <c r="P16" s="304" t="n"/>
      <c r="Q16" s="304" t="n"/>
      <c r="R16" s="303">
        <f>SUM(R15:X15)</f>
        <v/>
      </c>
      <c r="S16" s="304" t="n"/>
      <c r="T16" s="304" t="n"/>
      <c r="U16" s="304" t="n"/>
      <c r="V16" s="304" t="n"/>
      <c r="W16" s="304" t="n"/>
      <c r="X16" s="305" t="n"/>
      <c r="Y16" s="303">
        <f>SUM(Y15:AE15)</f>
        <v/>
      </c>
      <c r="Z16" s="304" t="n"/>
      <c r="AA16" s="304" t="n"/>
      <c r="AB16" s="304" t="n"/>
      <c r="AC16" s="304" t="n"/>
      <c r="AD16" s="304" t="n"/>
      <c r="AE16" s="305" t="n"/>
      <c r="AF16" s="307">
        <f>SUM(AF15:AG15)</f>
        <v/>
      </c>
      <c r="AG16" s="291" t="n"/>
      <c r="AH16" s="307">
        <f>SUM(D16:AG16)</f>
        <v/>
      </c>
      <c r="AI16" s="308" t="n"/>
      <c r="AJ16" s="308" t="n"/>
      <c r="AK16" s="308" t="n"/>
      <c r="AL16" s="291" t="n"/>
      <c r="AM16" s="309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33" t="n"/>
      <c r="CF16" s="33" t="n"/>
      <c r="CG16" s="13" t="n"/>
      <c r="CH16" s="13" t="n"/>
      <c r="CI16" s="13" t="n"/>
      <c r="CJ16" s="33" t="n"/>
      <c r="CK16" s="33" t="n"/>
      <c r="CL16" s="13" t="n"/>
      <c r="CM16" s="13" t="n"/>
      <c r="CN16" s="13" t="n"/>
      <c r="CO16" s="13" t="n"/>
      <c r="CP16" s="13" t="n"/>
      <c r="CQ16" s="13" t="n"/>
    </row>
    <row r="17" ht="27.95" customFormat="1" customHeight="1" s="1" thickBot="1">
      <c r="B17" s="310" t="inlineStr">
        <is>
          <t>清潔科文每週所需工作總時數</t>
        </is>
      </c>
      <c r="C17" s="291" t="n"/>
      <c r="D17" s="311">
        <f>8*7</f>
        <v/>
      </c>
      <c r="E17" s="308" t="n"/>
      <c r="F17" s="308" t="n"/>
      <c r="G17" s="308" t="n"/>
      <c r="H17" s="308" t="n"/>
      <c r="I17" s="308" t="n"/>
      <c r="J17" s="291" t="n"/>
      <c r="K17" s="311">
        <f>8*7</f>
        <v/>
      </c>
      <c r="L17" s="308" t="n"/>
      <c r="M17" s="308" t="n"/>
      <c r="N17" s="308" t="n"/>
      <c r="O17" s="308" t="n"/>
      <c r="P17" s="308" t="n"/>
      <c r="Q17" s="291" t="n"/>
      <c r="R17" s="311">
        <f>8*7</f>
        <v/>
      </c>
      <c r="S17" s="308" t="n"/>
      <c r="T17" s="308" t="n"/>
      <c r="U17" s="308" t="n"/>
      <c r="V17" s="308" t="n"/>
      <c r="W17" s="308" t="n"/>
      <c r="X17" s="291" t="n"/>
      <c r="Y17" s="311">
        <f>8*7</f>
        <v/>
      </c>
      <c r="Z17" s="308" t="n"/>
      <c r="AA17" s="308" t="n"/>
      <c r="AB17" s="308" t="n"/>
      <c r="AC17" s="308" t="n"/>
      <c r="AD17" s="308" t="n"/>
      <c r="AE17" s="291" t="n"/>
      <c r="AF17" s="311">
        <f>Y17/7*COUNT(AF15:AG15)</f>
        <v/>
      </c>
      <c r="AG17" s="291" t="n"/>
      <c r="AH17" s="311">
        <f>SUM(D17:AG17)</f>
        <v/>
      </c>
      <c r="AI17" s="308" t="n"/>
      <c r="AJ17" s="308" t="n"/>
      <c r="AK17" s="308" t="n"/>
      <c r="AL17" s="291" t="n"/>
      <c r="AM17" s="309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33" t="n"/>
      <c r="CF17" s="33" t="n"/>
      <c r="CG17" s="13" t="n"/>
      <c r="CH17" s="13" t="n"/>
      <c r="CI17" s="13" t="n"/>
      <c r="CJ17" s="33" t="n"/>
      <c r="CK17" s="33" t="n"/>
      <c r="CL17" s="13" t="n"/>
      <c r="CM17" s="13" t="n"/>
      <c r="CN17" s="13" t="n"/>
      <c r="CO17" s="13" t="n"/>
      <c r="CP17" s="13" t="n"/>
      <c r="CQ17" s="13" t="n"/>
    </row>
    <row r="18" ht="27.95" customFormat="1" customHeight="1" s="1">
      <c r="B18" s="312" t="inlineStr">
        <is>
          <t>欠/多 清潔科文時數</t>
        </is>
      </c>
      <c r="C18" s="291" t="n"/>
      <c r="D18" s="313">
        <f>D16-D17</f>
        <v/>
      </c>
      <c r="E18" s="308" t="n"/>
      <c r="F18" s="308" t="n"/>
      <c r="G18" s="308" t="n"/>
      <c r="H18" s="308" t="n"/>
      <c r="I18" s="308" t="n"/>
      <c r="J18" s="291" t="n"/>
      <c r="K18" s="313">
        <f>K16-K17</f>
        <v/>
      </c>
      <c r="L18" s="308" t="n"/>
      <c r="M18" s="308" t="n"/>
      <c r="N18" s="308" t="n"/>
      <c r="O18" s="308" t="n"/>
      <c r="P18" s="308" t="n"/>
      <c r="Q18" s="291" t="n"/>
      <c r="R18" s="313">
        <f>R16-R17</f>
        <v/>
      </c>
      <c r="S18" s="308" t="n"/>
      <c r="T18" s="308" t="n"/>
      <c r="U18" s="308" t="n"/>
      <c r="V18" s="308" t="n"/>
      <c r="W18" s="308" t="n"/>
      <c r="X18" s="291" t="n"/>
      <c r="Y18" s="313">
        <f>Y16-Y17</f>
        <v/>
      </c>
      <c r="Z18" s="308" t="n"/>
      <c r="AA18" s="308" t="n"/>
      <c r="AB18" s="308" t="n"/>
      <c r="AC18" s="308" t="n"/>
      <c r="AD18" s="308" t="n"/>
      <c r="AE18" s="291" t="n"/>
      <c r="AF18" s="313">
        <f>AF16-AF17</f>
        <v/>
      </c>
      <c r="AG18" s="291" t="n"/>
      <c r="AH18" s="313">
        <f>SUM(D18:AG18)</f>
        <v/>
      </c>
      <c r="AI18" s="308" t="n"/>
      <c r="AJ18" s="308" t="n"/>
      <c r="AK18" s="308" t="n"/>
      <c r="AL18" s="291" t="n"/>
      <c r="AM18" s="309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33" t="n"/>
      <c r="CF18" s="33" t="n"/>
      <c r="CG18" s="13" t="n"/>
      <c r="CH18" s="13" t="n"/>
      <c r="CI18" s="13" t="n"/>
      <c r="CJ18" s="33" t="n"/>
      <c r="CK18" s="33" t="n"/>
      <c r="CL18" s="13" t="n"/>
      <c r="CM18" s="13" t="n"/>
      <c r="CN18" s="13" t="n"/>
      <c r="CO18" s="13" t="n"/>
      <c r="CP18" s="13" t="n"/>
      <c r="CQ18" s="13" t="n"/>
    </row>
    <row r="19" ht="27.95" customFormat="1" customHeight="1" s="31">
      <c r="B19" s="17" t="n"/>
      <c r="C19" s="17" t="n"/>
      <c r="D19" s="314" t="n"/>
      <c r="E19" s="314" t="n"/>
      <c r="F19" s="314" t="n"/>
      <c r="G19" s="314" t="n"/>
      <c r="H19" s="314" t="n"/>
      <c r="I19" s="314" t="n"/>
      <c r="J19" s="314" t="n"/>
      <c r="K19" s="314" t="n"/>
      <c r="L19" s="314" t="n"/>
      <c r="M19" s="314" t="n"/>
      <c r="N19" s="314" t="n"/>
      <c r="O19" s="314" t="n"/>
      <c r="P19" s="314" t="n"/>
      <c r="Q19" s="314" t="n"/>
      <c r="R19" s="314" t="n"/>
      <c r="S19" s="314" t="n"/>
      <c r="T19" s="314" t="n"/>
      <c r="U19" s="314" t="n"/>
      <c r="V19" s="314" t="n"/>
      <c r="W19" s="314" t="n"/>
      <c r="X19" s="314" t="n"/>
      <c r="Y19" s="314" t="n"/>
      <c r="Z19" s="314" t="n"/>
      <c r="AA19" s="314" t="n"/>
      <c r="AB19" s="314" t="n"/>
      <c r="AC19" s="314" t="n"/>
      <c r="AD19" s="314" t="n"/>
      <c r="AE19" s="314" t="n"/>
      <c r="AF19" s="314" t="n"/>
      <c r="AG19" s="314" t="n"/>
      <c r="AH19" s="315" t="n"/>
      <c r="AI19" s="315" t="n"/>
      <c r="AJ19" s="315" t="n"/>
      <c r="AK19" s="315" t="n"/>
      <c r="AL19" s="315" t="n"/>
      <c r="AM19" s="316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33" t="n"/>
      <c r="CF19" s="33" t="n"/>
      <c r="CG19" s="13" t="n"/>
      <c r="CH19" s="13" t="n"/>
      <c r="CI19" s="13" t="n"/>
      <c r="CJ19" s="33" t="n"/>
      <c r="CK19" s="33" t="n"/>
      <c r="CL19" s="13" t="n"/>
      <c r="CM19" s="13" t="n"/>
      <c r="CN19" s="13" t="n"/>
      <c r="CO19" s="13" t="n"/>
      <c r="CP19" s="13" t="n"/>
      <c r="CQ19" s="13" t="n"/>
    </row>
    <row r="20" ht="27.95" customFormat="1" customHeight="1" s="31">
      <c r="B20" s="3" t="inlineStr">
        <is>
          <t>2. 清潔工人出勤時數 (要求出勤日數 : 星期一至日;每天工作8小時)</t>
        </is>
      </c>
      <c r="C20" s="3" t="n"/>
      <c r="AQ20" s="301" t="n"/>
    </row>
    <row r="21" ht="27.95" customFormat="1" customHeight="1" s="31">
      <c r="B21" s="64" t="inlineStr">
        <is>
          <t>A1</t>
        </is>
      </c>
      <c r="C21" s="103" t="inlineStr">
        <is>
          <t>Test-1</t>
        </is>
      </c>
      <c r="D21" s="65" t="n">
        <v>8</v>
      </c>
      <c r="E21" s="82" t="n">
        <v>8</v>
      </c>
      <c r="F21" s="82" t="n">
        <v>8</v>
      </c>
      <c r="G21" s="82" t="n">
        <v>8</v>
      </c>
      <c r="H21" s="82" t="n">
        <v>8</v>
      </c>
      <c r="I21" s="82" t="n">
        <v>8</v>
      </c>
      <c r="J21" s="94" t="n">
        <v>8</v>
      </c>
      <c r="K21" s="93" t="n">
        <v>8</v>
      </c>
      <c r="L21" s="82" t="n">
        <v>8</v>
      </c>
      <c r="M21" s="82" t="n">
        <v>8</v>
      </c>
      <c r="N21" s="82" t="n">
        <v>8</v>
      </c>
      <c r="O21" s="82" t="n">
        <v>8</v>
      </c>
      <c r="P21" s="82" t="n">
        <v>8</v>
      </c>
      <c r="Q21" s="94" t="n">
        <v>8</v>
      </c>
      <c r="R21" s="57" t="n">
        <v>8</v>
      </c>
      <c r="S21" s="60" t="n">
        <v>8</v>
      </c>
      <c r="T21" s="58" t="n">
        <v>8</v>
      </c>
      <c r="U21" s="58" t="n">
        <v>8</v>
      </c>
      <c r="V21" s="58" t="n">
        <v>8</v>
      </c>
      <c r="W21" s="58" t="n">
        <v>8</v>
      </c>
      <c r="X21" s="94" t="n">
        <v>8</v>
      </c>
      <c r="Y21" s="93" t="n">
        <v>8</v>
      </c>
      <c r="Z21" s="82" t="n">
        <v>8</v>
      </c>
      <c r="AA21" s="82" t="n">
        <v>8</v>
      </c>
      <c r="AB21" s="82" t="n">
        <v>8</v>
      </c>
      <c r="AC21" s="82" t="n">
        <v>8</v>
      </c>
      <c r="AD21" s="82" t="n">
        <v>8</v>
      </c>
      <c r="AE21" s="94" t="n">
        <v>8</v>
      </c>
      <c r="AF21" s="82" t="n">
        <v>8</v>
      </c>
      <c r="AG21" s="82" t="n">
        <v>8</v>
      </c>
      <c r="AH21" s="64">
        <f>SUM(D21:J21)</f>
        <v/>
      </c>
      <c r="AI21" s="65">
        <f>SUM(K21:Q21)</f>
        <v/>
      </c>
      <c r="AJ21" s="65">
        <f>SUM(R21:X21)</f>
        <v/>
      </c>
      <c r="AK21" s="65">
        <f>SUM(Y21:AE21)</f>
        <v/>
      </c>
      <c r="AL21" s="64">
        <f>SUM(AF21:AG21)</f>
        <v/>
      </c>
      <c r="AM21" s="317">
        <f>SUM(AH21:AL21)</f>
        <v/>
      </c>
      <c r="AN21" s="277">
        <f>COUNTIFS(D21:AE21,"&gt;=4",D21:AE21,"&lt;=10")</f>
        <v/>
      </c>
      <c r="AO21" s="143" t="n"/>
      <c r="AP21" s="278">
        <f>$AP$8</f>
        <v/>
      </c>
      <c r="AQ21" s="279">
        <f>COUNTIF(D21:AE21,"RD")</f>
        <v/>
      </c>
      <c r="AR21" s="280">
        <f>AP21-AQ21</f>
        <v/>
      </c>
      <c r="AS21" s="279">
        <f>COUNTIF(C21:AE21,"AL")</f>
        <v/>
      </c>
      <c r="AT21" s="279">
        <f>COUNTIF(D21:AE21,"NP")</f>
        <v/>
      </c>
      <c r="AU21" s="279">
        <f>COUNTIF(C21:AE21,"SL")</f>
        <v/>
      </c>
      <c r="AV21" s="279">
        <f>COUNTIF(D21:AE21,"NS")</f>
        <v/>
      </c>
      <c r="AW21" s="279">
        <f>COUNTIF(C21:AE21,"SH")</f>
        <v/>
      </c>
      <c r="AX21" s="279">
        <f>COUNTIF(D21:AE21,"NSH")</f>
        <v/>
      </c>
      <c r="AY21" s="281">
        <f>COUNTIF(D21:AE21,"NC")</f>
        <v/>
      </c>
    </row>
    <row r="22" ht="27.95" customFormat="1" customHeight="1" s="1">
      <c r="B22" s="21" t="inlineStr">
        <is>
          <t>A2</t>
        </is>
      </c>
      <c r="C22" s="63" t="inlineStr">
        <is>
          <t>Test-2</t>
        </is>
      </c>
      <c r="D22" s="22" t="n">
        <v>8</v>
      </c>
      <c r="E22" s="77" t="n">
        <v>8</v>
      </c>
      <c r="F22" s="77" t="n">
        <v>8</v>
      </c>
      <c r="G22" s="77" t="n">
        <v>8</v>
      </c>
      <c r="H22" s="77" t="n">
        <v>8</v>
      </c>
      <c r="I22" s="77" t="n">
        <v>8</v>
      </c>
      <c r="J22" s="89" t="n">
        <v>8</v>
      </c>
      <c r="K22" s="88" t="n">
        <v>8</v>
      </c>
      <c r="L22" s="77" t="n">
        <v>8</v>
      </c>
      <c r="M22" s="77" t="n">
        <v>8</v>
      </c>
      <c r="N22" s="77" t="n">
        <v>8</v>
      </c>
      <c r="O22" s="77" t="n">
        <v>8</v>
      </c>
      <c r="P22" s="77" t="n">
        <v>8</v>
      </c>
      <c r="Q22" s="89" t="n">
        <v>8</v>
      </c>
      <c r="R22" s="88" t="n">
        <v>8</v>
      </c>
      <c r="S22" s="77" t="n">
        <v>8</v>
      </c>
      <c r="T22" s="77" t="n">
        <v>8</v>
      </c>
      <c r="U22" s="77" t="n">
        <v>8</v>
      </c>
      <c r="V22" s="77" t="n">
        <v>8</v>
      </c>
      <c r="W22" s="77" t="n">
        <v>8</v>
      </c>
      <c r="X22" s="89" t="n">
        <v>8</v>
      </c>
      <c r="Y22" s="88" t="n">
        <v>8</v>
      </c>
      <c r="Z22" s="77" t="n">
        <v>8</v>
      </c>
      <c r="AA22" s="77" t="n">
        <v>8</v>
      </c>
      <c r="AB22" s="77" t="n">
        <v>8</v>
      </c>
      <c r="AC22" s="77" t="n">
        <v>8</v>
      </c>
      <c r="AD22" s="77" t="n">
        <v>8</v>
      </c>
      <c r="AE22" s="89" t="n">
        <v>8</v>
      </c>
      <c r="AF22" s="77" t="n">
        <v>8</v>
      </c>
      <c r="AG22" s="77" t="n">
        <v>8</v>
      </c>
      <c r="AH22" s="177">
        <f>SUM(D22:J22)</f>
        <v/>
      </c>
      <c r="AI22" s="23">
        <f>SUM(K22:Q22)</f>
        <v/>
      </c>
      <c r="AJ22" s="156">
        <f>SUM(R22:X22)</f>
        <v/>
      </c>
      <c r="AK22" s="156">
        <f>SUM(Y22:AE22)</f>
        <v/>
      </c>
      <c r="AL22" s="177">
        <f>SUM(AF22:AG22)</f>
        <v/>
      </c>
      <c r="AM22" s="318">
        <f>SUM(AH22:AL22)</f>
        <v/>
      </c>
      <c r="AN22" s="319">
        <f>COUNTIFS(D22:AE22,"&gt;=4",D22:AE22,"&lt;=10")</f>
        <v/>
      </c>
      <c r="AO22" s="134" t="n"/>
      <c r="AP22" s="320">
        <f>$AP$8</f>
        <v/>
      </c>
      <c r="AQ22" s="321">
        <f>COUNTIF(D22:AE22,"RD")</f>
        <v/>
      </c>
      <c r="AR22" s="322">
        <f>AP22-AQ22</f>
        <v/>
      </c>
      <c r="AS22" s="321">
        <f>COUNTIF(C22:AE22,"AL")</f>
        <v/>
      </c>
      <c r="AT22" s="321">
        <f>COUNTIF(D22:AE22,"NP")</f>
        <v/>
      </c>
      <c r="AU22" s="321">
        <f>COUNTIF(C22:AE22,"SL")</f>
        <v/>
      </c>
      <c r="AV22" s="321">
        <f>COUNTIF(D22:AE22,"NS")</f>
        <v/>
      </c>
      <c r="AW22" s="321">
        <f>COUNTIF(C22:AE22,"SH")</f>
        <v/>
      </c>
      <c r="AX22" s="321">
        <f>COUNTIF(D22:AE22,"NSH")</f>
        <v/>
      </c>
      <c r="AY22" s="323">
        <f>COUNTIF(D22:AE22,"NC")</f>
        <v/>
      </c>
    </row>
    <row r="23" ht="27.75" customFormat="1" customHeight="1" s="1">
      <c r="B23" s="21" t="inlineStr">
        <is>
          <t>A3</t>
        </is>
      </c>
      <c r="C23" s="63" t="inlineStr">
        <is>
          <t>Test-3</t>
        </is>
      </c>
      <c r="D23" s="22" t="n">
        <v>8</v>
      </c>
      <c r="E23" s="77" t="n">
        <v>8</v>
      </c>
      <c r="F23" s="77" t="n">
        <v>8</v>
      </c>
      <c r="G23" s="77" t="n">
        <v>8</v>
      </c>
      <c r="H23" s="77" t="n">
        <v>8</v>
      </c>
      <c r="I23" s="77" t="n">
        <v>8</v>
      </c>
      <c r="J23" s="89" t="n">
        <v>8</v>
      </c>
      <c r="K23" s="88" t="n">
        <v>8</v>
      </c>
      <c r="L23" s="77" t="n">
        <v>8</v>
      </c>
      <c r="M23" s="77" t="n">
        <v>8</v>
      </c>
      <c r="N23" s="77" t="n">
        <v>8</v>
      </c>
      <c r="O23" s="77" t="n">
        <v>8</v>
      </c>
      <c r="P23" s="77" t="n">
        <v>8</v>
      </c>
      <c r="Q23" s="89" t="n">
        <v>8</v>
      </c>
      <c r="R23" s="88" t="n">
        <v>8</v>
      </c>
      <c r="S23" s="77" t="n">
        <v>8</v>
      </c>
      <c r="T23" s="77" t="n">
        <v>8</v>
      </c>
      <c r="U23" s="77" t="n">
        <v>8</v>
      </c>
      <c r="V23" s="77" t="n">
        <v>8</v>
      </c>
      <c r="W23" s="77" t="n">
        <v>8</v>
      </c>
      <c r="X23" s="89" t="n">
        <v>8</v>
      </c>
      <c r="Y23" s="88" t="n">
        <v>8</v>
      </c>
      <c r="Z23" s="77" t="n">
        <v>8</v>
      </c>
      <c r="AA23" s="77" t="n">
        <v>8</v>
      </c>
      <c r="AB23" s="77" t="n">
        <v>8</v>
      </c>
      <c r="AC23" s="77" t="n">
        <v>8</v>
      </c>
      <c r="AD23" s="77" t="n">
        <v>8</v>
      </c>
      <c r="AE23" s="89" t="n">
        <v>8</v>
      </c>
      <c r="AF23" s="77" t="n">
        <v>8</v>
      </c>
      <c r="AG23" s="77" t="n">
        <v>8</v>
      </c>
      <c r="AH23" s="177">
        <f>SUM(D23:J23)</f>
        <v/>
      </c>
      <c r="AI23" s="23">
        <f>SUM(K23:Q23)</f>
        <v/>
      </c>
      <c r="AJ23" s="23">
        <f>SUM(R23:X23)</f>
        <v/>
      </c>
      <c r="AK23" s="23">
        <f>SUM(Y23:AE23)</f>
        <v/>
      </c>
      <c r="AL23" s="177">
        <f>SUM(AF23:AG23)</f>
        <v/>
      </c>
      <c r="AM23" s="324">
        <f>SUM(AH23:AL23)</f>
        <v/>
      </c>
      <c r="AN23" s="319">
        <f>COUNTIFS(D23:AE23,"&gt;=4",D23:AE23,"&lt;=10")</f>
        <v/>
      </c>
      <c r="AO23" s="134" t="n"/>
      <c r="AP23" s="320">
        <f>$AP$8</f>
        <v/>
      </c>
      <c r="AQ23" s="321">
        <f>COUNTIF(D23:AE23,"RD")</f>
        <v/>
      </c>
      <c r="AR23" s="322">
        <f>AP23-AQ23</f>
        <v/>
      </c>
      <c r="AS23" s="321">
        <f>COUNTIF(C23:AE23,"AL")</f>
        <v/>
      </c>
      <c r="AT23" s="321">
        <f>COUNTIF(D23:AE23,"NP")</f>
        <v/>
      </c>
      <c r="AU23" s="321">
        <f>COUNTIF(C23:AE23,"SL")</f>
        <v/>
      </c>
      <c r="AV23" s="321">
        <f>COUNTIF(D23:AE23,"NS")</f>
        <v/>
      </c>
      <c r="AW23" s="321">
        <f>COUNTIF(C23:AE23,"SH")</f>
        <v/>
      </c>
      <c r="AX23" s="321">
        <f>COUNTIF(D23:AE23,"NSH")</f>
        <v/>
      </c>
      <c r="AY23" s="323">
        <f>COUNTIF(D23:AE23,"NC")</f>
        <v/>
      </c>
    </row>
    <row r="24" ht="27.75" customFormat="1" customHeight="1" s="1">
      <c r="B24" s="21" t="inlineStr">
        <is>
          <t>A4</t>
        </is>
      </c>
      <c r="C24" s="45" t="inlineStr">
        <is>
          <t>Test-4</t>
        </is>
      </c>
      <c r="D24" s="80" t="n">
        <v>8</v>
      </c>
      <c r="E24" s="77" t="n">
        <v>8</v>
      </c>
      <c r="F24" s="78" t="n">
        <v>8</v>
      </c>
      <c r="G24" s="78" t="n">
        <v>8</v>
      </c>
      <c r="H24" s="78" t="n">
        <v>8</v>
      </c>
      <c r="I24" s="78" t="n">
        <v>8</v>
      </c>
      <c r="J24" s="79" t="n">
        <v>8</v>
      </c>
      <c r="K24" s="87" t="n">
        <v>8</v>
      </c>
      <c r="L24" s="78" t="n">
        <v>8</v>
      </c>
      <c r="M24" s="78" t="n">
        <v>8</v>
      </c>
      <c r="N24" s="78" t="n">
        <v>8</v>
      </c>
      <c r="O24" s="78" t="n">
        <v>8</v>
      </c>
      <c r="P24" s="78" t="n">
        <v>8</v>
      </c>
      <c r="Q24" s="79" t="n">
        <v>8</v>
      </c>
      <c r="R24" s="87" t="n">
        <v>8</v>
      </c>
      <c r="S24" s="81" t="n">
        <v>8</v>
      </c>
      <c r="T24" s="78" t="n">
        <v>8</v>
      </c>
      <c r="U24" s="78" t="n">
        <v>8</v>
      </c>
      <c r="V24" s="78" t="n">
        <v>8</v>
      </c>
      <c r="W24" s="78" t="n">
        <v>8</v>
      </c>
      <c r="X24" s="79" t="n">
        <v>8</v>
      </c>
      <c r="Y24" s="87" t="n">
        <v>8</v>
      </c>
      <c r="Z24" s="78" t="n">
        <v>8</v>
      </c>
      <c r="AA24" s="78" t="n">
        <v>8</v>
      </c>
      <c r="AB24" s="78" t="n">
        <v>8</v>
      </c>
      <c r="AC24" s="78" t="n">
        <v>8</v>
      </c>
      <c r="AD24" s="78" t="n">
        <v>8</v>
      </c>
      <c r="AE24" s="79" t="n">
        <v>8</v>
      </c>
      <c r="AF24" s="78" t="n">
        <v>8</v>
      </c>
      <c r="AG24" s="78" t="n">
        <v>8</v>
      </c>
      <c r="AH24" s="177">
        <f>SUM(D24:J24)</f>
        <v/>
      </c>
      <c r="AI24" s="23">
        <f>SUM(K24:Q24)</f>
        <v/>
      </c>
      <c r="AJ24" s="23">
        <f>SUM(R24:X24)</f>
        <v/>
      </c>
      <c r="AK24" s="23">
        <f>SUM(Y24:AE24)</f>
        <v/>
      </c>
      <c r="AL24" s="177">
        <f>SUM(AF24:AG24)</f>
        <v/>
      </c>
      <c r="AM24" s="324">
        <f>SUM(AH24:AL24)</f>
        <v/>
      </c>
      <c r="AN24" s="319">
        <f>COUNTIFS(D24:AE24,"&gt;=4",D24:AE24,"&lt;=10")</f>
        <v/>
      </c>
      <c r="AO24" s="134" t="n"/>
      <c r="AP24" s="320">
        <f>$AP$8</f>
        <v/>
      </c>
      <c r="AQ24" s="321">
        <f>COUNTIF(D24:AE24,"RD")</f>
        <v/>
      </c>
      <c r="AR24" s="322">
        <f>AP24-AQ24</f>
        <v/>
      </c>
      <c r="AS24" s="321">
        <f>COUNTIF(C24:AE24,"AL")</f>
        <v/>
      </c>
      <c r="AT24" s="321">
        <f>COUNTIF(D24:AE24,"NP")</f>
        <v/>
      </c>
      <c r="AU24" s="321">
        <f>COUNTIF(C24:AE24,"SL")</f>
        <v/>
      </c>
      <c r="AV24" s="321">
        <f>COUNTIF(D24:AE24,"NS")</f>
        <v/>
      </c>
      <c r="AW24" s="321">
        <f>COUNTIF(C24:AE24,"SH")</f>
        <v/>
      </c>
      <c r="AX24" s="321">
        <f>COUNTIF(D24:AE24,"NSH")</f>
        <v/>
      </c>
      <c r="AY24" s="323">
        <f>COUNTIF(D24:AE24,"NC")</f>
        <v/>
      </c>
    </row>
    <row r="25" ht="27.75" customFormat="1" customHeight="1" s="1">
      <c r="B25" s="21" t="inlineStr">
        <is>
          <t>A5</t>
        </is>
      </c>
      <c r="C25" s="45" t="inlineStr">
        <is>
          <t>Test-5</t>
        </is>
      </c>
      <c r="D25" s="22" t="n">
        <v>8</v>
      </c>
      <c r="E25" s="77" t="n">
        <v>8</v>
      </c>
      <c r="F25" s="78" t="n">
        <v>8</v>
      </c>
      <c r="G25" s="78" t="n">
        <v>8</v>
      </c>
      <c r="H25" s="78" t="n">
        <v>8</v>
      </c>
      <c r="I25" s="78" t="n">
        <v>8</v>
      </c>
      <c r="J25" s="79" t="n">
        <v>8</v>
      </c>
      <c r="K25" s="87" t="n">
        <v>8</v>
      </c>
      <c r="L25" s="78" t="n">
        <v>8</v>
      </c>
      <c r="M25" s="78" t="n">
        <v>8</v>
      </c>
      <c r="N25" s="78" t="n">
        <v>8</v>
      </c>
      <c r="O25" s="78" t="n">
        <v>8</v>
      </c>
      <c r="P25" s="78" t="n">
        <v>8</v>
      </c>
      <c r="Q25" s="79" t="n">
        <v>8</v>
      </c>
      <c r="R25" s="87" t="n">
        <v>8</v>
      </c>
      <c r="S25" s="81" t="n">
        <v>8</v>
      </c>
      <c r="T25" s="78" t="n">
        <v>8</v>
      </c>
      <c r="U25" s="78" t="n">
        <v>8</v>
      </c>
      <c r="V25" s="78" t="n">
        <v>8</v>
      </c>
      <c r="W25" s="78" t="n">
        <v>8</v>
      </c>
      <c r="X25" s="79" t="n">
        <v>8</v>
      </c>
      <c r="Y25" s="87" t="n">
        <v>8</v>
      </c>
      <c r="Z25" s="78" t="n">
        <v>8</v>
      </c>
      <c r="AA25" s="78" t="n">
        <v>8</v>
      </c>
      <c r="AB25" s="78" t="n">
        <v>8</v>
      </c>
      <c r="AC25" s="78" t="n">
        <v>8</v>
      </c>
      <c r="AD25" s="78" t="n">
        <v>8</v>
      </c>
      <c r="AE25" s="79" t="n">
        <v>8</v>
      </c>
      <c r="AF25" s="78" t="n">
        <v>8</v>
      </c>
      <c r="AG25" s="78" t="n">
        <v>8</v>
      </c>
      <c r="AH25" s="21">
        <f>SUM(D25:J25)</f>
        <v/>
      </c>
      <c r="AI25" s="22">
        <f>SUM(K25:Q25)</f>
        <v/>
      </c>
      <c r="AJ25" s="22">
        <f>SUM(R25:X25)</f>
        <v/>
      </c>
      <c r="AK25" s="22">
        <f>SUM(Y25:AE25)</f>
        <v/>
      </c>
      <c r="AL25" s="21">
        <f>SUM(AF25:AG25)</f>
        <v/>
      </c>
      <c r="AM25" s="324">
        <f>SUM(AH25:AL25)</f>
        <v/>
      </c>
      <c r="AN25" s="319">
        <f>COUNTIFS(D25:AE25,"&gt;=4",D25:AE25,"&lt;=10")</f>
        <v/>
      </c>
      <c r="AO25" s="134" t="n"/>
      <c r="AP25" s="320">
        <f>$AP$8</f>
        <v/>
      </c>
      <c r="AQ25" s="321">
        <f>COUNTIF(D25:AE25,"RD")</f>
        <v/>
      </c>
      <c r="AR25" s="322">
        <f>AP25-AQ25</f>
        <v/>
      </c>
      <c r="AS25" s="321">
        <f>COUNTIF(C25:AE25,"AL")</f>
        <v/>
      </c>
      <c r="AT25" s="321">
        <f>COUNTIF(D25:AE25,"NP")</f>
        <v/>
      </c>
      <c r="AU25" s="321">
        <f>COUNTIF(C25:AE25,"SL")</f>
        <v/>
      </c>
      <c r="AV25" s="321">
        <f>COUNTIF(D25:AE25,"NS")</f>
        <v/>
      </c>
      <c r="AW25" s="321">
        <f>COUNTIF(C25:AE25,"SH")</f>
        <v/>
      </c>
      <c r="AX25" s="321">
        <f>COUNTIF(D25:AE25,"NSH")</f>
        <v/>
      </c>
      <c r="AY25" s="323">
        <f>COUNTIF(D25:AE25,"NC")</f>
        <v/>
      </c>
    </row>
    <row r="26" ht="27.75" customFormat="1" customHeight="1" s="1">
      <c r="B26" s="325" t="inlineStr">
        <is>
          <t>清潔工人(實際)每天工作總時數</t>
        </is>
      </c>
      <c r="C26" s="291" t="n"/>
      <c r="D26" s="326">
        <f>SUM(D21:D37)</f>
        <v/>
      </c>
      <c r="E26" s="327">
        <f>SUM(E21:E37)</f>
        <v/>
      </c>
      <c r="F26" s="327">
        <f>SUM(F21:F37)</f>
        <v/>
      </c>
      <c r="G26" s="327">
        <f>SUM(G21:G37)</f>
        <v/>
      </c>
      <c r="H26" s="327">
        <f>SUM(H21:H37)</f>
        <v/>
      </c>
      <c r="I26" s="327">
        <f>SUM(I21:I37)</f>
        <v/>
      </c>
      <c r="J26" s="328">
        <f>SUM(J21:J37)</f>
        <v/>
      </c>
      <c r="K26" s="329">
        <f>SUM(K21:K37)</f>
        <v/>
      </c>
      <c r="L26" s="327">
        <f>SUM(L21:L37)</f>
        <v/>
      </c>
      <c r="M26" s="327">
        <f>SUM(M21:M37)</f>
        <v/>
      </c>
      <c r="N26" s="327">
        <f>SUM(N21:N37)</f>
        <v/>
      </c>
      <c r="O26" s="327">
        <f>SUM(O21:O37)</f>
        <v/>
      </c>
      <c r="P26" s="327">
        <f>SUM(P21:P37)</f>
        <v/>
      </c>
      <c r="Q26" s="328">
        <f>SUM(Q21:Q37)</f>
        <v/>
      </c>
      <c r="R26" s="329">
        <f>SUM(R21:R37)</f>
        <v/>
      </c>
      <c r="S26" s="327">
        <f>SUM(S21:S37)</f>
        <v/>
      </c>
      <c r="T26" s="327">
        <f>SUM(T21:T37)</f>
        <v/>
      </c>
      <c r="U26" s="327">
        <f>SUM(U21:U37)</f>
        <v/>
      </c>
      <c r="V26" s="327">
        <f>SUM(V21:V37)</f>
        <v/>
      </c>
      <c r="W26" s="327">
        <f>SUM(W21:W37)</f>
        <v/>
      </c>
      <c r="X26" s="328">
        <f>SUM(X21:X37)</f>
        <v/>
      </c>
      <c r="Y26" s="329">
        <f>SUM(Y21:Y37)</f>
        <v/>
      </c>
      <c r="Z26" s="327">
        <f>SUM(Z21:Z37)</f>
        <v/>
      </c>
      <c r="AA26" s="327">
        <f>SUM(AA21:AA37)</f>
        <v/>
      </c>
      <c r="AB26" s="327">
        <f>SUM(AB21:AB37)</f>
        <v/>
      </c>
      <c r="AC26" s="327">
        <f>SUM(AC21:AC37)</f>
        <v/>
      </c>
      <c r="AD26" s="327">
        <f>SUM(AD21:AD37)</f>
        <v/>
      </c>
      <c r="AE26" s="328">
        <f>SUM(AE21:AE37)</f>
        <v/>
      </c>
      <c r="AF26" s="327">
        <f>SUM(AF21:AF37)</f>
        <v/>
      </c>
      <c r="AG26" s="327">
        <f>SUM(AG21:AG37)</f>
        <v/>
      </c>
      <c r="AH26" s="330">
        <f>SUM(D38:J38)</f>
        <v/>
      </c>
      <c r="AI26" s="326">
        <f>SUM(K38:Q38)</f>
        <v/>
      </c>
      <c r="AJ26" s="326">
        <f>SUM(Q38:W38)</f>
        <v/>
      </c>
      <c r="AK26" s="326">
        <f>SUM(R38:X38)</f>
        <v/>
      </c>
      <c r="AL26" s="330">
        <f>SUM(Y38:AE38)</f>
        <v/>
      </c>
      <c r="AM26" s="331">
        <f>SUM(D38:AE38)</f>
        <v/>
      </c>
    </row>
    <row r="27" ht="27.95" customFormat="1" customHeight="1" s="35" thickBot="1">
      <c r="B27" s="302" t="inlineStr">
        <is>
          <t>清潔工人(實際)每週工作總時數</t>
        </is>
      </c>
      <c r="C27" s="291" t="n"/>
      <c r="D27" s="332">
        <f>SUM(D38:J38)</f>
        <v/>
      </c>
      <c r="E27" s="304" t="n"/>
      <c r="F27" s="304" t="n"/>
      <c r="G27" s="304" t="n"/>
      <c r="H27" s="304" t="n"/>
      <c r="I27" s="304" t="n"/>
      <c r="J27" s="305" t="n"/>
      <c r="K27" s="333">
        <f>SUM(K38:Q38)</f>
        <v/>
      </c>
      <c r="L27" s="304" t="n"/>
      <c r="M27" s="304" t="n"/>
      <c r="N27" s="304" t="n"/>
      <c r="O27" s="304" t="n"/>
      <c r="P27" s="304" t="n"/>
      <c r="Q27" s="304" t="n"/>
      <c r="R27" s="332">
        <f>SUM(R38:X38)</f>
        <v/>
      </c>
      <c r="S27" s="304" t="n"/>
      <c r="T27" s="304" t="n"/>
      <c r="U27" s="304" t="n"/>
      <c r="V27" s="304" t="n"/>
      <c r="W27" s="304" t="n"/>
      <c r="X27" s="305" t="n"/>
      <c r="Y27" s="332">
        <f>SUM(Y38:AE38)</f>
        <v/>
      </c>
      <c r="Z27" s="304" t="n"/>
      <c r="AA27" s="304" t="n"/>
      <c r="AB27" s="304" t="n"/>
      <c r="AC27" s="304" t="n"/>
      <c r="AD27" s="304" t="n"/>
      <c r="AE27" s="305" t="n"/>
      <c r="AF27" s="334">
        <f>SUM(AF38:AG38)</f>
        <v/>
      </c>
      <c r="AG27" s="291" t="n"/>
      <c r="AH27" s="334">
        <f>SUM(D39:AG39)</f>
        <v/>
      </c>
      <c r="AI27" s="308" t="n"/>
      <c r="AJ27" s="308" t="n"/>
      <c r="AK27" s="308" t="n"/>
      <c r="AL27" s="291" t="n"/>
      <c r="AM27" s="181" t="n"/>
      <c r="AQ27" s="301" t="n"/>
    </row>
    <row r="28" ht="27.95" customFormat="1" customHeight="1" s="1">
      <c r="B28" s="310" t="inlineStr">
        <is>
          <t>清潔工人每週所需工作總時數</t>
        </is>
      </c>
      <c r="C28" s="291" t="n"/>
      <c r="D28" s="335">
        <f>728</f>
        <v/>
      </c>
      <c r="E28" s="308" t="n"/>
      <c r="F28" s="308" t="n"/>
      <c r="G28" s="308" t="n"/>
      <c r="H28" s="308" t="n"/>
      <c r="I28" s="308" t="n"/>
      <c r="J28" s="291" t="n"/>
      <c r="K28" s="335">
        <f>728</f>
        <v/>
      </c>
      <c r="L28" s="308" t="n"/>
      <c r="M28" s="308" t="n"/>
      <c r="N28" s="308" t="n"/>
      <c r="O28" s="308" t="n"/>
      <c r="P28" s="308" t="n"/>
      <c r="Q28" s="291" t="n"/>
      <c r="R28" s="335">
        <f>728</f>
        <v/>
      </c>
      <c r="S28" s="308" t="n"/>
      <c r="T28" s="308" t="n"/>
      <c r="U28" s="308" t="n"/>
      <c r="V28" s="308" t="n"/>
      <c r="W28" s="308" t="n"/>
      <c r="X28" s="291" t="n"/>
      <c r="Y28" s="335">
        <f>728</f>
        <v/>
      </c>
      <c r="Z28" s="308" t="n"/>
      <c r="AA28" s="308" t="n"/>
      <c r="AB28" s="308" t="n"/>
      <c r="AC28" s="308" t="n"/>
      <c r="AD28" s="308" t="n"/>
      <c r="AE28" s="291" t="n"/>
      <c r="AF28" s="335">
        <f>Y40/7*COUNT(AF38:AG38)</f>
        <v/>
      </c>
      <c r="AG28" s="291" t="n"/>
      <c r="AH28" s="335">
        <f>SUM(D40:AG40)</f>
        <v/>
      </c>
      <c r="AI28" s="308" t="n"/>
      <c r="AJ28" s="308" t="n"/>
      <c r="AK28" s="308" t="n"/>
      <c r="AL28" s="291" t="n"/>
      <c r="AM28" s="181" t="n"/>
      <c r="AQ28" s="301" t="n"/>
    </row>
    <row r="29" ht="27.95" customFormat="1" customHeight="1" s="1">
      <c r="B29" s="312" t="inlineStr">
        <is>
          <t>欠/多 清潔工人時數</t>
        </is>
      </c>
      <c r="C29" s="291" t="n"/>
      <c r="D29" s="313">
        <f>SUM(D39-728)</f>
        <v/>
      </c>
      <c r="E29" s="308" t="n"/>
      <c r="F29" s="308" t="n"/>
      <c r="G29" s="308" t="n"/>
      <c r="H29" s="308" t="n"/>
      <c r="I29" s="308" t="n"/>
      <c r="J29" s="291" t="n"/>
      <c r="K29" s="313">
        <f>SUM(K39-728)</f>
        <v/>
      </c>
      <c r="L29" s="308" t="n"/>
      <c r="M29" s="308" t="n"/>
      <c r="N29" s="308" t="n"/>
      <c r="O29" s="308" t="n"/>
      <c r="P29" s="308" t="n"/>
      <c r="Q29" s="291" t="n"/>
      <c r="R29" s="313">
        <f>SUM(R39-728)</f>
        <v/>
      </c>
      <c r="S29" s="308" t="n"/>
      <c r="T29" s="308" t="n"/>
      <c r="U29" s="308" t="n"/>
      <c r="V29" s="308" t="n"/>
      <c r="W29" s="308" t="n"/>
      <c r="X29" s="291" t="n"/>
      <c r="Y29" s="313">
        <f>SUM(Y39-728)</f>
        <v/>
      </c>
      <c r="Z29" s="308" t="n"/>
      <c r="AA29" s="308" t="n"/>
      <c r="AB29" s="308" t="n"/>
      <c r="AC29" s="308" t="n"/>
      <c r="AD29" s="308" t="n"/>
      <c r="AE29" s="291" t="n"/>
      <c r="AF29" s="313">
        <f>AF39-AF40</f>
        <v/>
      </c>
      <c r="AG29" s="291" t="n"/>
      <c r="AH29" s="313">
        <f>SUM(D41:AG41)</f>
        <v/>
      </c>
      <c r="AI29" s="308" t="n"/>
      <c r="AJ29" s="308" t="n"/>
      <c r="AK29" s="308" t="n"/>
      <c r="AL29" s="291" t="n"/>
      <c r="AM29" s="181" t="n"/>
      <c r="AN29" s="1" t="n"/>
      <c r="AQ29" s="336" t="n"/>
    </row>
    <row r="30" ht="27.75" customFormat="1" customHeight="1" s="1">
      <c r="B30" s="24" t="n"/>
      <c r="C30" s="25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  <c r="AD30" s="337" t="n"/>
      <c r="AE30" s="337" t="n"/>
      <c r="AF30" s="337" t="n"/>
      <c r="AG30" s="337" t="n"/>
      <c r="AH30" s="337" t="n"/>
      <c r="AI30" s="337" t="n"/>
      <c r="AJ30" s="337" t="n"/>
      <c r="AK30" s="337" t="n"/>
      <c r="AL30" s="337" t="n"/>
      <c r="AM30" s="337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  <c r="BS30" s="13" t="n"/>
      <c r="BT30" s="13" t="n"/>
      <c r="BU30" s="13" t="n"/>
      <c r="BV30" s="13" t="n"/>
      <c r="BW30" s="13" t="n"/>
      <c r="BX30" s="13" t="n"/>
      <c r="BY30" s="13" t="n"/>
      <c r="BZ30" s="13" t="n"/>
      <c r="CA30" s="13" t="n"/>
      <c r="CB30" s="13" t="n"/>
      <c r="CC30" s="13" t="n"/>
      <c r="CD30" s="13" t="n"/>
      <c r="CE30" s="33" t="n"/>
      <c r="CF30" s="33" t="n"/>
      <c r="CG30" s="13" t="n"/>
      <c r="CH30" s="13" t="n"/>
      <c r="CI30" s="13" t="n"/>
      <c r="CJ30" s="33" t="n"/>
      <c r="CK30" s="33" t="n"/>
      <c r="CL30" s="13" t="n"/>
      <c r="CM30" s="13" t="n"/>
      <c r="CN30" s="13" t="n"/>
      <c r="CO30" s="13" t="n"/>
      <c r="CP30" s="13" t="n"/>
      <c r="CQ30" s="13" t="n"/>
    </row>
    <row r="31" ht="27.95" customFormat="1" customHeight="1" s="1">
      <c r="B31" s="3" t="inlineStr">
        <is>
          <t>3. VO清潔工人出勤時數 (要求出勤日數 : 星期一至日;每天工作5.25小時)</t>
        </is>
      </c>
      <c r="C31" s="2" t="n"/>
      <c r="AM31" s="31" t="n"/>
    </row>
    <row r="32" ht="27.95" customFormat="1" customHeight="1" s="1">
      <c r="B32" s="64" t="inlineStr">
        <is>
          <t>A1</t>
        </is>
      </c>
      <c r="C32" s="120" t="inlineStr">
        <is>
          <t>Test-1</t>
        </is>
      </c>
      <c r="D32" s="93" t="n">
        <v>8</v>
      </c>
      <c r="E32" s="82" t="n">
        <v>8</v>
      </c>
      <c r="F32" s="58" t="n">
        <v>8</v>
      </c>
      <c r="G32" s="58" t="n">
        <v>8</v>
      </c>
      <c r="H32" s="58" t="n">
        <v>8</v>
      </c>
      <c r="I32" s="58" t="n">
        <v>8</v>
      </c>
      <c r="J32" s="59" t="n">
        <v>8</v>
      </c>
      <c r="K32" s="57" t="n">
        <v>8</v>
      </c>
      <c r="L32" s="58" t="n">
        <v>8</v>
      </c>
      <c r="M32" s="58" t="n">
        <v>8</v>
      </c>
      <c r="N32" s="58" t="n">
        <v>8</v>
      </c>
      <c r="O32" s="58" t="n">
        <v>8</v>
      </c>
      <c r="P32" s="58" t="n">
        <v>8</v>
      </c>
      <c r="Q32" s="59" t="n">
        <v>8</v>
      </c>
      <c r="R32" s="57" t="n">
        <v>8</v>
      </c>
      <c r="S32" s="60" t="n">
        <v>8</v>
      </c>
      <c r="T32" s="58" t="n">
        <v>8</v>
      </c>
      <c r="U32" s="58" t="n">
        <v>8</v>
      </c>
      <c r="V32" s="58" t="n">
        <v>8</v>
      </c>
      <c r="W32" s="58" t="n">
        <v>8</v>
      </c>
      <c r="X32" s="59" t="n">
        <v>8</v>
      </c>
      <c r="Y32" s="57" t="n">
        <v>8</v>
      </c>
      <c r="Z32" s="58" t="n">
        <v>8</v>
      </c>
      <c r="AA32" s="58" t="n">
        <v>8</v>
      </c>
      <c r="AB32" s="58" t="n">
        <v>8</v>
      </c>
      <c r="AC32" s="58" t="n">
        <v>8</v>
      </c>
      <c r="AD32" s="58" t="n">
        <v>8</v>
      </c>
      <c r="AE32" s="59" t="n">
        <v>8</v>
      </c>
      <c r="AF32" s="58" t="n">
        <v>8</v>
      </c>
      <c r="AG32" s="58" t="n">
        <v>8</v>
      </c>
      <c r="AH32" s="127">
        <f>SUM(D44:J44)</f>
        <v/>
      </c>
      <c r="AI32" s="128">
        <f>SUM(K44:Q44)</f>
        <v/>
      </c>
      <c r="AJ32" s="128">
        <f>SUM(R44:X44)</f>
        <v/>
      </c>
      <c r="AK32" s="128">
        <f>SUM(Y44:AE44)</f>
        <v/>
      </c>
      <c r="AL32" s="127">
        <f>SUM(AF44:AG44)</f>
        <v/>
      </c>
      <c r="AM32" s="338">
        <f>SUM(AH44:AL44)</f>
        <v/>
      </c>
      <c r="AN32" s="277">
        <f>COUNTIFS(D44:AE44,"&gt;=4",D44:AE44,"&lt;=10")</f>
        <v/>
      </c>
      <c r="AO32" s="143" t="n"/>
      <c r="AP32" s="278">
        <f>$AP$8</f>
        <v/>
      </c>
      <c r="AQ32" s="279">
        <f>COUNTIF(D44:AE44,"RD")</f>
        <v/>
      </c>
      <c r="AR32" s="280">
        <f>AP44-AQ44</f>
        <v/>
      </c>
      <c r="AS32" s="279">
        <f>COUNTIF(C44:AE44,"AL")</f>
        <v/>
      </c>
      <c r="AT32" s="279">
        <f>COUNTIF(D44:AE44,"NP")</f>
        <v/>
      </c>
      <c r="AU32" s="279">
        <f>COUNTIF(C44:AE44,"SL")</f>
        <v/>
      </c>
      <c r="AV32" s="279">
        <f>COUNTIF(D44:AE44,"NS")</f>
        <v/>
      </c>
      <c r="AW32" s="279">
        <f>COUNTIF(C44:AE44,"SH")</f>
        <v/>
      </c>
      <c r="AX32" s="279">
        <f>COUNTIF(D44:AE44,"NSH")</f>
        <v/>
      </c>
      <c r="AY32" s="281">
        <f>COUNTIF(D44:AE44,"NC")</f>
        <v/>
      </c>
    </row>
    <row r="33" ht="27.95" customFormat="1" customHeight="1" s="1" thickBot="1">
      <c r="B33" s="21" t="inlineStr">
        <is>
          <t>A2</t>
        </is>
      </c>
      <c r="C33" s="121" t="inlineStr">
        <is>
          <t>Test-2</t>
        </is>
      </c>
      <c r="D33" s="88" t="n">
        <v>8</v>
      </c>
      <c r="E33" s="77" t="n">
        <v>8</v>
      </c>
      <c r="F33" s="77" t="n">
        <v>8</v>
      </c>
      <c r="G33" s="77" t="n">
        <v>8</v>
      </c>
      <c r="H33" s="77" t="n">
        <v>8</v>
      </c>
      <c r="I33" s="77" t="n">
        <v>8</v>
      </c>
      <c r="J33" s="89" t="n">
        <v>8</v>
      </c>
      <c r="K33" s="88" t="n">
        <v>8</v>
      </c>
      <c r="L33" s="77" t="n">
        <v>8</v>
      </c>
      <c r="M33" s="77" t="n">
        <v>8</v>
      </c>
      <c r="N33" s="77" t="n">
        <v>8</v>
      </c>
      <c r="O33" s="77" t="n">
        <v>8</v>
      </c>
      <c r="P33" s="77" t="n">
        <v>8</v>
      </c>
      <c r="Q33" s="89" t="n">
        <v>8</v>
      </c>
      <c r="R33" s="87" t="n">
        <v>8</v>
      </c>
      <c r="S33" s="81" t="n">
        <v>8</v>
      </c>
      <c r="T33" s="78" t="n">
        <v>8</v>
      </c>
      <c r="U33" s="78" t="n">
        <v>8</v>
      </c>
      <c r="V33" s="78" t="n">
        <v>8</v>
      </c>
      <c r="W33" s="78" t="n">
        <v>8</v>
      </c>
      <c r="X33" s="89" t="n">
        <v>8</v>
      </c>
      <c r="Y33" s="88" t="n">
        <v>8</v>
      </c>
      <c r="Z33" s="77" t="n">
        <v>8</v>
      </c>
      <c r="AA33" s="77" t="n">
        <v>8</v>
      </c>
      <c r="AB33" s="77" t="n">
        <v>8</v>
      </c>
      <c r="AC33" s="77" t="n">
        <v>8</v>
      </c>
      <c r="AD33" s="77" t="n">
        <v>8</v>
      </c>
      <c r="AE33" s="89" t="n">
        <v>8</v>
      </c>
      <c r="AF33" s="77" t="n">
        <v>8</v>
      </c>
      <c r="AG33" s="77" t="n">
        <v>8</v>
      </c>
      <c r="AH33" s="339">
        <f>SUM(D45:J45)</f>
        <v/>
      </c>
      <c r="AI33" s="339">
        <f>SUM(K45:Q45)</f>
        <v/>
      </c>
      <c r="AJ33" s="339">
        <f>SUM(R45:X45)</f>
        <v/>
      </c>
      <c r="AK33" s="339">
        <f>SUM(Y45:AE45)</f>
        <v/>
      </c>
      <c r="AL33" s="339">
        <f>SUM(AF45:AG45)</f>
        <v/>
      </c>
      <c r="AM33" s="339">
        <f>SUM(AH45:AL45)</f>
        <v/>
      </c>
      <c r="AN33" s="319">
        <f>COUNTIFS(D45:AE45,"&gt;=4",D45:AE45,"&lt;=10")</f>
        <v/>
      </c>
      <c r="AO33" s="134" t="n"/>
      <c r="AP33" s="320">
        <f>$AP$8</f>
        <v/>
      </c>
      <c r="AQ33" s="321">
        <f>COUNTIF(D45:AE45,"RD")</f>
        <v/>
      </c>
      <c r="AR33" s="322">
        <f>AP45-AQ45</f>
        <v/>
      </c>
      <c r="AS33" s="321">
        <f>COUNTIF(C45:AE45,"AL")</f>
        <v/>
      </c>
      <c r="AT33" s="321">
        <f>COUNTIF(D45:AE45,"NP")</f>
        <v/>
      </c>
      <c r="AU33" s="321">
        <f>COUNTIF(C45:AE45,"SL")</f>
        <v/>
      </c>
      <c r="AV33" s="321">
        <f>COUNTIF(D45:AE45,"NS")</f>
        <v/>
      </c>
      <c r="AW33" s="321">
        <f>COUNTIF(C45:AE45,"SH")</f>
        <v/>
      </c>
      <c r="AX33" s="321">
        <f>COUNTIF(D45:AE45,"NSH")</f>
        <v/>
      </c>
      <c r="AY33" s="323">
        <f>COUNTIF(D45:AE45,"NC")</f>
        <v/>
      </c>
    </row>
    <row r="34" ht="27.95" customFormat="1" customHeight="1" s="1" thickBot="1">
      <c r="B34" s="67" t="inlineStr">
        <is>
          <t>A3</t>
        </is>
      </c>
      <c r="C34" s="122" t="inlineStr">
        <is>
          <t>Test-3</t>
        </is>
      </c>
      <c r="D34" s="92" t="n">
        <v>8</v>
      </c>
      <c r="E34" s="83" t="n">
        <v>8</v>
      </c>
      <c r="F34" s="83" t="n">
        <v>8</v>
      </c>
      <c r="G34" s="83" t="n">
        <v>8</v>
      </c>
      <c r="H34" s="83" t="n">
        <v>8</v>
      </c>
      <c r="I34" s="83" t="n">
        <v>8</v>
      </c>
      <c r="J34" s="91" t="n">
        <v>8</v>
      </c>
      <c r="K34" s="92" t="n">
        <v>8</v>
      </c>
      <c r="L34" s="83" t="n">
        <v>8</v>
      </c>
      <c r="M34" s="83" t="n">
        <v>8</v>
      </c>
      <c r="N34" s="83" t="n">
        <v>8</v>
      </c>
      <c r="O34" s="83" t="n">
        <v>8</v>
      </c>
      <c r="P34" s="83" t="n">
        <v>8</v>
      </c>
      <c r="Q34" s="91" t="n">
        <v>8</v>
      </c>
      <c r="R34" s="92" t="n">
        <v>8</v>
      </c>
      <c r="S34" s="83" t="n">
        <v>8</v>
      </c>
      <c r="T34" s="83" t="n">
        <v>8</v>
      </c>
      <c r="U34" s="83" t="n">
        <v>8</v>
      </c>
      <c r="V34" s="83" t="n">
        <v>8</v>
      </c>
      <c r="W34" s="83" t="n">
        <v>8</v>
      </c>
      <c r="X34" s="91" t="n">
        <v>8</v>
      </c>
      <c r="Y34" s="92" t="n">
        <v>8</v>
      </c>
      <c r="Z34" s="83" t="n">
        <v>8</v>
      </c>
      <c r="AA34" s="83" t="n">
        <v>8</v>
      </c>
      <c r="AB34" s="83" t="n">
        <v>8</v>
      </c>
      <c r="AC34" s="83" t="n">
        <v>8</v>
      </c>
      <c r="AD34" s="83" t="n">
        <v>8</v>
      </c>
      <c r="AE34" s="91" t="n">
        <v>8</v>
      </c>
      <c r="AF34" s="83" t="n">
        <v>8</v>
      </c>
      <c r="AG34" s="83" t="n">
        <v>8</v>
      </c>
      <c r="AH34" s="340">
        <f>SUM(D46:J46)</f>
        <v/>
      </c>
      <c r="AI34" s="340">
        <f>SUM(K46:Q46)</f>
        <v/>
      </c>
      <c r="AJ34" s="341">
        <f>SUM(R46:X46)</f>
        <v/>
      </c>
      <c r="AK34" s="341">
        <f>SUM(Y46:AE46)</f>
        <v/>
      </c>
      <c r="AL34" s="340">
        <f>SUM(AF46:AG46)</f>
        <v/>
      </c>
      <c r="AM34" s="341">
        <f>SUM(AH46:AL46)</f>
        <v/>
      </c>
      <c r="AN34" s="283">
        <f>COUNTIFS(D46:AE46,"&gt;=4",D46:AE46,"&lt;=10")</f>
        <v/>
      </c>
      <c r="AO34" s="149" t="n"/>
      <c r="AP34" s="284">
        <f>$AP$8</f>
        <v/>
      </c>
      <c r="AQ34" s="285">
        <f>COUNTIF(D46:AE46,"RD")</f>
        <v/>
      </c>
      <c r="AR34" s="286">
        <f>AP46-AQ46</f>
        <v/>
      </c>
      <c r="AS34" s="285">
        <f>COUNTIF(C46:AE46,"AL")</f>
        <v/>
      </c>
      <c r="AT34" s="285">
        <f>COUNTIF(D46:AE46,"NP")</f>
        <v/>
      </c>
      <c r="AU34" s="285">
        <f>COUNTIF(C46:AE46,"SL")</f>
        <v/>
      </c>
      <c r="AV34" s="285">
        <f>COUNTIF(D46:AE46,"NS")</f>
        <v/>
      </c>
      <c r="AW34" s="285">
        <f>COUNTIF(C46:AE46,"SH")</f>
        <v/>
      </c>
      <c r="AX34" s="285">
        <f>COUNTIF(D46:AE46,"NSH")</f>
        <v/>
      </c>
      <c r="AY34" s="287">
        <f>COUNTIF(D46:AE46,"NC")</f>
        <v/>
      </c>
    </row>
    <row r="35" ht="27.95" customFormat="1" customHeight="1" s="1" thickBot="1">
      <c r="B35" s="64" t="inlineStr">
        <is>
          <t>A4</t>
        </is>
      </c>
      <c r="C35" s="342" t="inlineStr">
        <is>
          <t>Test-4</t>
        </is>
      </c>
      <c r="D35" s="93" t="n">
        <v>8</v>
      </c>
      <c r="E35" s="82" t="n">
        <v>8</v>
      </c>
      <c r="F35" s="58" t="n">
        <v>8</v>
      </c>
      <c r="G35" s="58" t="n">
        <v>8</v>
      </c>
      <c r="H35" s="58" t="n">
        <v>8</v>
      </c>
      <c r="I35" s="58" t="n">
        <v>8</v>
      </c>
      <c r="J35" s="59" t="n">
        <v>8</v>
      </c>
      <c r="K35" s="57" t="n">
        <v>8</v>
      </c>
      <c r="L35" s="58" t="n">
        <v>8</v>
      </c>
      <c r="M35" s="58" t="n">
        <v>8</v>
      </c>
      <c r="N35" s="58" t="n">
        <v>8</v>
      </c>
      <c r="O35" s="58" t="n">
        <v>8</v>
      </c>
      <c r="P35" s="58" t="n">
        <v>8</v>
      </c>
      <c r="Q35" s="59" t="n">
        <v>8</v>
      </c>
      <c r="R35" s="57" t="n">
        <v>8</v>
      </c>
      <c r="S35" s="60" t="n">
        <v>8</v>
      </c>
      <c r="T35" s="58" t="n">
        <v>8</v>
      </c>
      <c r="U35" s="58" t="n">
        <v>8</v>
      </c>
      <c r="V35" s="58" t="n">
        <v>8</v>
      </c>
      <c r="W35" s="58" t="n">
        <v>8</v>
      </c>
      <c r="X35" s="59" t="n">
        <v>8</v>
      </c>
      <c r="Y35" s="57" t="n">
        <v>8</v>
      </c>
      <c r="Z35" s="58" t="n">
        <v>8</v>
      </c>
      <c r="AA35" s="58" t="n">
        <v>8</v>
      </c>
      <c r="AB35" s="58" t="n">
        <v>8</v>
      </c>
      <c r="AC35" s="58" t="n">
        <v>8</v>
      </c>
      <c r="AD35" s="58" t="n">
        <v>8</v>
      </c>
      <c r="AE35" s="59" t="n">
        <v>8</v>
      </c>
      <c r="AF35" s="58" t="n">
        <v>8</v>
      </c>
      <c r="AG35" s="58" t="n">
        <v>8</v>
      </c>
      <c r="AH35" s="127">
        <f>SUM(D47:J47)</f>
        <v/>
      </c>
      <c r="AI35" s="128">
        <f>SUM(K47:Q47)</f>
        <v/>
      </c>
      <c r="AJ35" s="128">
        <f>SUM(R47:X47)</f>
        <v/>
      </c>
      <c r="AK35" s="128">
        <f>SUM(Y47:AE47)</f>
        <v/>
      </c>
      <c r="AL35" s="127">
        <f>SUM(AF47:AG47)</f>
        <v/>
      </c>
      <c r="AM35" s="338">
        <f>SUM(AH47:AL47)</f>
        <v/>
      </c>
      <c r="AN35" s="277">
        <f>COUNTIFS(D47:AE47,"&gt;=4",D47:AE47,"&lt;=10")</f>
        <v/>
      </c>
      <c r="AO35" s="143" t="n"/>
      <c r="AP35" s="278">
        <f>$AP$8</f>
        <v/>
      </c>
      <c r="AQ35" s="279">
        <f>COUNTIF(D47:AE47,"RD")</f>
        <v/>
      </c>
      <c r="AR35" s="280">
        <f>AP47-AQ47</f>
        <v/>
      </c>
      <c r="AS35" s="279">
        <f>COUNTIF(C47:AE47,"AL")</f>
        <v/>
      </c>
      <c r="AT35" s="279">
        <f>COUNTIF(D47:AE47,"NP")</f>
        <v/>
      </c>
      <c r="AU35" s="279">
        <f>COUNTIF(C47:AE47,"SL")</f>
        <v/>
      </c>
      <c r="AV35" s="279">
        <f>COUNTIF(D47:AE47,"NS")</f>
        <v/>
      </c>
      <c r="AW35" s="279">
        <f>COUNTIF(C47:AE47,"SH")</f>
        <v/>
      </c>
      <c r="AX35" s="279">
        <f>COUNTIF(D47:AE47,"NSH")</f>
        <v/>
      </c>
      <c r="AY35" s="281">
        <f>COUNTIF(D47:AE47,"NC")</f>
        <v/>
      </c>
    </row>
    <row r="36" ht="27.95" customFormat="1" customHeight="1" s="1" thickBot="1">
      <c r="B36" s="64" t="inlineStr">
        <is>
          <t>A5</t>
        </is>
      </c>
      <c r="C36" s="342" t="inlineStr">
        <is>
          <t>Test-5</t>
        </is>
      </c>
      <c r="D36" s="93" t="n">
        <v>8</v>
      </c>
      <c r="E36" s="82" t="n">
        <v>8</v>
      </c>
      <c r="F36" s="58" t="n">
        <v>8</v>
      </c>
      <c r="G36" s="58" t="n">
        <v>8</v>
      </c>
      <c r="H36" s="58" t="n">
        <v>8</v>
      </c>
      <c r="I36" s="58" t="n">
        <v>8</v>
      </c>
      <c r="J36" s="59" t="n">
        <v>8</v>
      </c>
      <c r="K36" s="57" t="n">
        <v>8</v>
      </c>
      <c r="L36" s="58" t="n">
        <v>8</v>
      </c>
      <c r="M36" s="58" t="n">
        <v>8</v>
      </c>
      <c r="N36" s="58" t="n">
        <v>8</v>
      </c>
      <c r="O36" s="58" t="n">
        <v>8</v>
      </c>
      <c r="P36" s="58" t="n">
        <v>8</v>
      </c>
      <c r="Q36" s="59" t="n">
        <v>8</v>
      </c>
      <c r="R36" s="57" t="n">
        <v>8</v>
      </c>
      <c r="S36" s="60" t="n">
        <v>8</v>
      </c>
      <c r="T36" s="58" t="n">
        <v>8</v>
      </c>
      <c r="U36" s="58" t="n">
        <v>8</v>
      </c>
      <c r="V36" s="58" t="n">
        <v>8</v>
      </c>
      <c r="W36" s="58" t="n">
        <v>8</v>
      </c>
      <c r="X36" s="59" t="n">
        <v>8</v>
      </c>
      <c r="Y36" s="57" t="n">
        <v>8</v>
      </c>
      <c r="Z36" s="58" t="n">
        <v>8</v>
      </c>
      <c r="AA36" s="58" t="n">
        <v>8</v>
      </c>
      <c r="AB36" s="58" t="n">
        <v>8</v>
      </c>
      <c r="AC36" s="58" t="n">
        <v>8</v>
      </c>
      <c r="AD36" s="58" t="n">
        <v>8</v>
      </c>
      <c r="AE36" s="59" t="n">
        <v>8</v>
      </c>
      <c r="AF36" s="58" t="n">
        <v>8</v>
      </c>
      <c r="AG36" s="58" t="n">
        <v>8</v>
      </c>
      <c r="AH36" s="127">
        <f>SUM(D48:J48)</f>
        <v/>
      </c>
      <c r="AI36" s="128">
        <f>SUM(K48:Q48)</f>
        <v/>
      </c>
      <c r="AJ36" s="128">
        <f>SUM(R48:X48)</f>
        <v/>
      </c>
      <c r="AK36" s="128">
        <f>SUM(Y48:AE48)</f>
        <v/>
      </c>
      <c r="AL36" s="127">
        <f>SUM(AF48:AG48)</f>
        <v/>
      </c>
      <c r="AM36" s="338">
        <f>SUM(AH48:AL48)</f>
        <v/>
      </c>
      <c r="AN36" s="277">
        <f>COUNTIFS(D48:AE48,"&gt;=4",D48:AE48,"&lt;=10")</f>
        <v/>
      </c>
      <c r="AO36" s="143" t="n"/>
      <c r="AP36" s="278">
        <f>$AP$8</f>
        <v/>
      </c>
      <c r="AQ36" s="279">
        <f>COUNTIF(D48:AE48,"RD")</f>
        <v/>
      </c>
      <c r="AR36" s="280">
        <f>AP48-AQ48</f>
        <v/>
      </c>
      <c r="AS36" s="279">
        <f>COUNTIF(C48:AE48,"AL")</f>
        <v/>
      </c>
      <c r="AT36" s="279">
        <f>COUNTIF(D48:AE48,"NP")</f>
        <v/>
      </c>
      <c r="AU36" s="279">
        <f>COUNTIF(C48:AE48,"SL")</f>
        <v/>
      </c>
      <c r="AV36" s="279">
        <f>COUNTIF(D48:AE48,"NS")</f>
        <v/>
      </c>
      <c r="AW36" s="279">
        <f>COUNTIF(C48:AE48,"SH")</f>
        <v/>
      </c>
      <c r="AX36" s="279">
        <f>COUNTIF(D48:AE48,"NSH")</f>
        <v/>
      </c>
      <c r="AY36" s="281">
        <f>COUNTIF(D48:AE48,"NC")</f>
        <v/>
      </c>
    </row>
    <row r="37" ht="27.95" customFormat="1" customHeight="1" s="1" thickBot="1">
      <c r="B37" s="325" t="inlineStr">
        <is>
          <t>VO清潔工人(實際) 每天工作總時數</t>
        </is>
      </c>
      <c r="C37" s="291" t="n"/>
      <c r="D37" s="343">
        <f>SUM(D44:D46)</f>
        <v/>
      </c>
      <c r="E37" s="344">
        <f>SUM(E44:E46)</f>
        <v/>
      </c>
      <c r="F37" s="344">
        <f>SUM(F44:F46)</f>
        <v/>
      </c>
      <c r="G37" s="344">
        <f>SUM(G44:G46)</f>
        <v/>
      </c>
      <c r="H37" s="344">
        <f>SUM(H44:H46)</f>
        <v/>
      </c>
      <c r="I37" s="344">
        <f>SUM(I44:I46)</f>
        <v/>
      </c>
      <c r="J37" s="345">
        <f>SUM(J44:J46)</f>
        <v/>
      </c>
      <c r="K37" s="343">
        <f>SUM(K44:K46)</f>
        <v/>
      </c>
      <c r="L37" s="344">
        <f>SUM(L44:L46)</f>
        <v/>
      </c>
      <c r="M37" s="344">
        <f>SUM(M44:M46)</f>
        <v/>
      </c>
      <c r="N37" s="344">
        <f>SUM(N44:N46)</f>
        <v/>
      </c>
      <c r="O37" s="344">
        <f>SUM(O44:O46)</f>
        <v/>
      </c>
      <c r="P37" s="344">
        <f>SUM(P44:P46)</f>
        <v/>
      </c>
      <c r="Q37" s="345">
        <f>SUM(Q44:Q46)</f>
        <v/>
      </c>
      <c r="R37" s="343">
        <f>SUM(R44:R46)</f>
        <v/>
      </c>
      <c r="S37" s="344">
        <f>SUM(S44:S46)</f>
        <v/>
      </c>
      <c r="T37" s="344">
        <f>SUM(T44:T46)</f>
        <v/>
      </c>
      <c r="U37" s="344">
        <f>SUM(U44:U46)</f>
        <v/>
      </c>
      <c r="V37" s="344">
        <f>SUM(V44:V46)</f>
        <v/>
      </c>
      <c r="W37" s="344">
        <f>SUM(W44:W46)</f>
        <v/>
      </c>
      <c r="X37" s="345">
        <f>SUM(X44:X46)</f>
        <v/>
      </c>
      <c r="Y37" s="343">
        <f>SUM(Y44:Y46)</f>
        <v/>
      </c>
      <c r="Z37" s="344">
        <f>SUM(Z44:Z46)</f>
        <v/>
      </c>
      <c r="AA37" s="344">
        <f>SUM(AA44:AA46)</f>
        <v/>
      </c>
      <c r="AB37" s="344">
        <f>SUM(AB44:AB46)</f>
        <v/>
      </c>
      <c r="AC37" s="344">
        <f>SUM(AC44:AC46)</f>
        <v/>
      </c>
      <c r="AD37" s="344">
        <f>SUM(AD44:AD46)</f>
        <v/>
      </c>
      <c r="AE37" s="345">
        <f>SUM(AE44:AE46)</f>
        <v/>
      </c>
      <c r="AF37" s="344">
        <f>SUM(AF44:AF46)</f>
        <v/>
      </c>
      <c r="AG37" s="344">
        <f>SUM(AG44:AG46)</f>
        <v/>
      </c>
      <c r="AH37" s="346">
        <f>SUM(D49:J49)</f>
        <v/>
      </c>
      <c r="AI37" s="346">
        <f>SUM(K49:Q49)</f>
        <v/>
      </c>
      <c r="AJ37" s="346">
        <f>SUM(R49:X49)</f>
        <v/>
      </c>
      <c r="AK37" s="346">
        <f>SUM(Y49:AE49)</f>
        <v/>
      </c>
      <c r="AL37" s="346">
        <f>SUM(AF49:AG49)</f>
        <v/>
      </c>
      <c r="AM37" s="347">
        <f>SUM(AH49:AL49)</f>
        <v/>
      </c>
      <c r="AQ37" s="301" t="n"/>
    </row>
    <row r="38" ht="27.95" customFormat="1" customHeight="1" s="31" thickBot="1">
      <c r="B38" s="302" t="inlineStr">
        <is>
          <t>VO清潔工人(實際) 每週工作總時數</t>
        </is>
      </c>
      <c r="C38" s="291" t="n"/>
      <c r="D38" s="332">
        <f>SUM(D49:J49)</f>
        <v/>
      </c>
      <c r="E38" s="304" t="n"/>
      <c r="F38" s="304" t="n"/>
      <c r="G38" s="304" t="n"/>
      <c r="H38" s="304" t="n"/>
      <c r="I38" s="304" t="n"/>
      <c r="J38" s="305" t="n"/>
      <c r="K38" s="333">
        <f>SUM(K49:Q49)</f>
        <v/>
      </c>
      <c r="L38" s="304" t="n"/>
      <c r="M38" s="304" t="n"/>
      <c r="N38" s="304" t="n"/>
      <c r="O38" s="304" t="n"/>
      <c r="P38" s="304" t="n"/>
      <c r="Q38" s="304" t="n"/>
      <c r="R38" s="332">
        <f>SUM(R49:X49)</f>
        <v/>
      </c>
      <c r="S38" s="304" t="n"/>
      <c r="T38" s="304" t="n"/>
      <c r="U38" s="304" t="n"/>
      <c r="V38" s="304" t="n"/>
      <c r="W38" s="304" t="n"/>
      <c r="X38" s="305" t="n"/>
      <c r="Y38" s="332">
        <f>SUM(Y49:AE49)</f>
        <v/>
      </c>
      <c r="Z38" s="304" t="n"/>
      <c r="AA38" s="304" t="n"/>
      <c r="AB38" s="304" t="n"/>
      <c r="AC38" s="304" t="n"/>
      <c r="AD38" s="304" t="n"/>
      <c r="AE38" s="305" t="n"/>
      <c r="AF38" s="334">
        <f>SUM(AF49:AG49)</f>
        <v/>
      </c>
      <c r="AG38" s="291" t="n"/>
      <c r="AH38" s="334">
        <f>SUM(D50:AE50)</f>
        <v/>
      </c>
      <c r="AI38" s="308" t="n"/>
      <c r="AJ38" s="308" t="n"/>
      <c r="AK38" s="308" t="n"/>
      <c r="AL38" s="291" t="n"/>
      <c r="AM38" s="181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  <c r="BP38" s="13" t="n"/>
      <c r="BQ38" s="13" t="n"/>
      <c r="BR38" s="13" t="n"/>
      <c r="BS38" s="13" t="n"/>
      <c r="BT38" s="13" t="n"/>
      <c r="BU38" s="13" t="n"/>
      <c r="BV38" s="13" t="n"/>
      <c r="BW38" s="13" t="n"/>
      <c r="BX38" s="13" t="n"/>
      <c r="BY38" s="13" t="n"/>
      <c r="BZ38" s="13" t="n"/>
      <c r="CA38" s="13" t="n"/>
      <c r="CB38" s="13" t="n"/>
      <c r="CC38" s="13" t="n"/>
      <c r="CD38" s="13" t="n"/>
      <c r="CE38" s="33" t="n"/>
      <c r="CF38" s="33" t="n"/>
      <c r="CG38" s="13" t="n"/>
      <c r="CH38" s="13" t="n"/>
      <c r="CI38" s="13" t="n"/>
      <c r="CJ38" s="33" t="n"/>
      <c r="CK38" s="33" t="n"/>
      <c r="CL38" s="13" t="n"/>
      <c r="CM38" s="13" t="n"/>
      <c r="CN38" s="13" t="n"/>
      <c r="CO38" s="13" t="n"/>
      <c r="CP38" s="13" t="n"/>
      <c r="CQ38" s="13" t="n"/>
    </row>
    <row r="39" ht="18" customFormat="1" customHeight="1" s="1">
      <c r="B39" s="310" t="inlineStr">
        <is>
          <t>VO清潔工人每週所需工作總時數</t>
        </is>
      </c>
      <c r="C39" s="291" t="n"/>
      <c r="D39" s="335">
        <f>5.25*7</f>
        <v/>
      </c>
      <c r="E39" s="308" t="n"/>
      <c r="F39" s="308" t="n"/>
      <c r="G39" s="308" t="n"/>
      <c r="H39" s="308" t="n"/>
      <c r="I39" s="308" t="n"/>
      <c r="J39" s="291" t="n"/>
      <c r="K39" s="335">
        <f>5.25*7</f>
        <v/>
      </c>
      <c r="L39" s="308" t="n"/>
      <c r="M39" s="308" t="n"/>
      <c r="N39" s="308" t="n"/>
      <c r="O39" s="308" t="n"/>
      <c r="P39" s="308" t="n"/>
      <c r="Q39" s="291" t="n"/>
      <c r="R39" s="335">
        <f>5.25*7</f>
        <v/>
      </c>
      <c r="S39" s="308" t="n"/>
      <c r="T39" s="308" t="n"/>
      <c r="U39" s="308" t="n"/>
      <c r="V39" s="308" t="n"/>
      <c r="W39" s="308" t="n"/>
      <c r="X39" s="291" t="n"/>
      <c r="Y39" s="335">
        <f>5.25*7</f>
        <v/>
      </c>
      <c r="Z39" s="308" t="n"/>
      <c r="AA39" s="308" t="n"/>
      <c r="AB39" s="308" t="n"/>
      <c r="AC39" s="308" t="n"/>
      <c r="AD39" s="308" t="n"/>
      <c r="AE39" s="291" t="n"/>
      <c r="AF39" s="335">
        <f>Y51/7*COUNT(AF49:AG49)</f>
        <v/>
      </c>
      <c r="AG39" s="291" t="n"/>
      <c r="AH39" s="335">
        <f>SUM(D51:AE51)</f>
        <v/>
      </c>
      <c r="AI39" s="308" t="n"/>
      <c r="AJ39" s="308" t="n"/>
      <c r="AK39" s="308" t="n"/>
      <c r="AL39" s="291" t="n"/>
      <c r="AM39" s="181" t="n"/>
      <c r="AQ39" s="301" t="n"/>
    </row>
    <row r="40" ht="27.95" customFormat="1" customHeight="1" s="1" thickBot="1">
      <c r="B40" s="312" t="inlineStr">
        <is>
          <t>欠/多 清潔工人時數</t>
        </is>
      </c>
      <c r="C40" s="291" t="n"/>
      <c r="D40" s="313">
        <f>SUM(D50-D51)</f>
        <v/>
      </c>
      <c r="E40" s="308" t="n"/>
      <c r="F40" s="308" t="n"/>
      <c r="G40" s="308" t="n"/>
      <c r="H40" s="308" t="n"/>
      <c r="I40" s="308" t="n"/>
      <c r="J40" s="291" t="n"/>
      <c r="K40" s="313">
        <f>SUM(K50-K51)</f>
        <v/>
      </c>
      <c r="L40" s="308" t="n"/>
      <c r="M40" s="308" t="n"/>
      <c r="N40" s="308" t="n"/>
      <c r="O40" s="308" t="n"/>
      <c r="P40" s="308" t="n"/>
      <c r="Q40" s="291" t="n"/>
      <c r="R40" s="313">
        <f>SUM(R50-R51)</f>
        <v/>
      </c>
      <c r="S40" s="308" t="n"/>
      <c r="T40" s="308" t="n"/>
      <c r="U40" s="308" t="n"/>
      <c r="V40" s="308" t="n"/>
      <c r="W40" s="308" t="n"/>
      <c r="X40" s="291" t="n"/>
      <c r="Y40" s="313">
        <f>SUM(Y50-Y51)</f>
        <v/>
      </c>
      <c r="Z40" s="308" t="n"/>
      <c r="AA40" s="308" t="n"/>
      <c r="AB40" s="308" t="n"/>
      <c r="AC40" s="308" t="n"/>
      <c r="AD40" s="308" t="n"/>
      <c r="AE40" s="291" t="n"/>
      <c r="AF40" s="313">
        <f>AF50-AF51</f>
        <v/>
      </c>
      <c r="AG40" s="291" t="n"/>
      <c r="AH40" s="313">
        <f>AH50-AH51</f>
        <v/>
      </c>
      <c r="AI40" s="308" t="n"/>
      <c r="AJ40" s="308" t="n"/>
      <c r="AK40" s="308" t="n"/>
      <c r="AL40" s="291" t="n"/>
      <c r="AM40" s="181" t="n"/>
      <c r="AN40" s="1" t="n"/>
      <c r="AQ40" s="336" t="n"/>
    </row>
    <row r="41" ht="27.95" customHeight="1" s="348">
      <c r="B41" s="4" t="n"/>
      <c r="D41" s="349" t="n"/>
      <c r="K41" s="349" t="n"/>
      <c r="R41" s="349" t="n"/>
      <c r="Y41" s="349" t="n"/>
      <c r="AF41" s="349" t="n"/>
      <c r="AH41" s="3" t="n"/>
    </row>
    <row r="42" ht="27.95" customFormat="1" customHeight="1" s="1">
      <c r="B42" s="4" t="n"/>
      <c r="C42" s="17" t="inlineStr">
        <is>
          <t>備註：</t>
        </is>
      </c>
      <c r="D42" s="1" t="inlineStr">
        <is>
          <t>【AL=年假】【NSH=無薪法定假】【NP=無薪假期】【RD=例假】【SL=病假】【NC=非合約期】【ND=休班】【S=借調Secondment】</t>
        </is>
      </c>
      <c r="E42" s="350" t="n"/>
      <c r="F42" s="349" t="n"/>
      <c r="G42" s="349" t="n"/>
      <c r="H42" s="349" t="n"/>
      <c r="I42" s="349" t="n"/>
      <c r="J42" s="349" t="n"/>
      <c r="K42" s="349" t="n"/>
      <c r="L42" s="349" t="n"/>
      <c r="M42" s="349" t="n"/>
      <c r="N42" s="349" t="n"/>
      <c r="O42" s="349" t="n"/>
      <c r="P42" s="349" t="n"/>
      <c r="Q42" s="349" t="n"/>
      <c r="R42" s="349" t="n"/>
      <c r="S42" s="349" t="n"/>
      <c r="T42" s="349" t="n"/>
      <c r="U42" s="349" t="n"/>
      <c r="V42" s="290" t="inlineStr">
        <is>
          <t>本月清潔員工(實際)工作總時數:</t>
        </is>
      </c>
      <c r="W42" s="308" t="n"/>
      <c r="X42" s="308" t="n"/>
      <c r="Y42" s="308" t="n"/>
      <c r="Z42" s="308" t="n"/>
      <c r="AA42" s="308" t="n"/>
      <c r="AB42" s="291" t="n"/>
      <c r="AC42" s="351">
        <f>SUM(AH16,AH39,AH50)</f>
        <v/>
      </c>
      <c r="AD42" s="308" t="n"/>
      <c r="AE42" s="291" t="n"/>
    </row>
    <row r="43" ht="27.95" customFormat="1" customHeight="1" s="1" thickBot="1">
      <c r="B43" s="52" t="n"/>
      <c r="C43" s="25" t="n"/>
      <c r="D43" s="160" t="inlineStr">
        <is>
          <t>SH/NSH</t>
        </is>
      </c>
      <c r="E43" s="71" t="inlineStr">
        <is>
          <t>RD</t>
        </is>
      </c>
      <c r="F43" s="72" t="inlineStr">
        <is>
          <t>NP</t>
        </is>
      </c>
      <c r="G43" s="73" t="inlineStr">
        <is>
          <t>SL</t>
        </is>
      </c>
      <c r="H43" s="74" t="inlineStr">
        <is>
          <t>AL</t>
        </is>
      </c>
      <c r="I43" s="75" t="inlineStr">
        <is>
          <t>EC</t>
        </is>
      </c>
      <c r="J43" s="76" t="inlineStr">
        <is>
          <t>NC</t>
        </is>
      </c>
      <c r="K43" s="171" t="inlineStr">
        <is>
          <t>S</t>
        </is>
      </c>
      <c r="L43" s="6" t="n"/>
      <c r="M43" s="6" t="n"/>
      <c r="N43" s="6" t="n"/>
      <c r="O43" s="6" t="n"/>
      <c r="AN43" s="1" t="n"/>
      <c r="AO43" s="1" t="n"/>
      <c r="AP43" s="1" t="n"/>
      <c r="AQ43" s="1" t="n"/>
    </row>
    <row r="44" ht="27.95" customFormat="1" customHeight="1" s="1" thickBot="1">
      <c r="B44" s="52" t="n"/>
      <c r="C44" s="53" t="n"/>
      <c r="D44" s="53" t="n"/>
      <c r="E44" s="44" t="n"/>
      <c r="F44" s="29" t="n"/>
      <c r="G44" s="29" t="n"/>
      <c r="H44" s="29" t="n"/>
      <c r="I44" s="29" t="n"/>
      <c r="J44" s="6" t="n"/>
      <c r="K44" s="6" t="n"/>
      <c r="L44" s="6" t="n"/>
      <c r="M44" s="6" t="n"/>
      <c r="N44" s="6" t="n"/>
      <c r="O44" s="6" t="n"/>
      <c r="AE44" s="24" t="n"/>
      <c r="AH44" s="38" t="n"/>
      <c r="AI44" s="38" t="n"/>
      <c r="AJ44" s="38" t="n"/>
      <c r="AK44" s="38" t="n"/>
      <c r="AL44" s="38" t="n"/>
      <c r="AM44" s="38" t="n"/>
    </row>
    <row r="45" ht="27.95" customFormat="1" customHeight="1" s="1" thickBot="1">
      <c r="B45" s="52" t="n"/>
      <c r="C45" s="53" t="n"/>
      <c r="D45" s="53" t="n"/>
      <c r="E45" s="29" t="n"/>
      <c r="F45" s="29" t="n"/>
      <c r="G45" s="30" t="n"/>
      <c r="H45" s="1" t="n"/>
      <c r="I45" s="1" t="n"/>
      <c r="AE45" s="3" t="n"/>
      <c r="AM45" s="5" t="n"/>
    </row>
    <row r="46" ht="27.95" customFormat="1" customHeight="1" s="1" thickBot="1">
      <c r="B46" s="54" t="n"/>
      <c r="C46" s="55" t="n"/>
      <c r="D46" s="28" t="n"/>
      <c r="AE46" s="24" t="n"/>
      <c r="AH46" s="39" t="n"/>
      <c r="AI46" s="39" t="n"/>
      <c r="AJ46" s="39" t="n"/>
      <c r="AK46" s="39" t="n"/>
      <c r="AL46" s="39" t="n"/>
      <c r="AM46" s="39" t="n"/>
    </row>
    <row r="47" ht="27.95" customFormat="1" customHeight="1" s="31" thickBot="1">
      <c r="AE47" s="3" t="n"/>
      <c r="AM47" s="5" t="n"/>
    </row>
    <row r="48" ht="27.95" customFormat="1" customHeight="1" s="1" thickBot="1">
      <c r="AE48" s="24" t="n"/>
      <c r="AH48" s="40" t="n"/>
      <c r="AI48" s="40" t="n"/>
      <c r="AJ48" s="40" t="n"/>
      <c r="AK48" s="40" t="n"/>
      <c r="AL48" s="40" t="n"/>
      <c r="AM48" s="40" t="n"/>
    </row>
    <row r="49" ht="27.95" customFormat="1" customHeight="1" s="1" thickBot="1"/>
    <row r="50" ht="27.95" customFormat="1" customHeight="1" s="5"/>
    <row r="51" ht="27.95" customFormat="1" customHeight="1" s="5"/>
    <row r="52" ht="27.95" customHeight="1" s="348"/>
    <row r="53" ht="27.95" customHeight="1" s="348"/>
    <row r="54" ht="27.95" customHeight="1" s="348"/>
    <row r="55" ht="27.95" customHeight="1" s="348"/>
    <row r="56" ht="27.95" customHeight="1" s="348"/>
    <row r="57" ht="27.95" customHeight="1" s="348"/>
    <row r="58" ht="27.95" customHeight="1" s="348"/>
    <row r="59" ht="27.95" customHeight="1" s="348"/>
    <row r="60" ht="27.95" customHeight="1" s="348"/>
    <row r="61" ht="27.95" customHeight="1" s="348"/>
    <row r="62" ht="27.95" customHeight="1" s="348"/>
    <row r="63" ht="27.95" customHeight="1" s="348"/>
    <row r="64" ht="27.95" customHeight="1" s="348"/>
    <row r="65" ht="27.95" customHeight="1" s="348"/>
    <row r="66" ht="27.95" customHeight="1" s="348"/>
    <row r="67" ht="27.95" customHeight="1" s="348"/>
    <row r="68" ht="27.95" customHeight="1" s="348"/>
    <row r="69" ht="27.95" customHeight="1" s="348"/>
    <row r="70" ht="27.95" customHeight="1" s="348"/>
    <row r="71" ht="27.95" customHeight="1" s="348"/>
    <row r="72" ht="27.95" customHeight="1" s="348"/>
    <row r="73" ht="27.95" customHeight="1" s="348"/>
    <row r="74" ht="27.95" customHeight="1" s="348"/>
    <row r="75" ht="27.95" customHeight="1" s="348"/>
    <row r="76" ht="27.95" customHeight="1" s="348"/>
    <row r="77" ht="27.95" customHeight="1" s="348"/>
    <row r="78" ht="27.95" customHeight="1" s="348"/>
    <row r="79" ht="27.95" customHeight="1" s="348"/>
    <row r="80" ht="27.95" customHeight="1" s="348"/>
    <row r="81" ht="27.95" customHeight="1" s="348"/>
    <row r="82" ht="27.95" customHeight="1" s="348"/>
    <row r="83" ht="27.95" customHeight="1" s="348"/>
    <row r="84" ht="27.95" customHeight="1" s="348"/>
    <row r="85" ht="27.95" customHeight="1" s="348"/>
    <row r="86" ht="27.95" customHeight="1" s="348"/>
    <row r="87" ht="27.95" customHeight="1" s="348"/>
    <row r="88" ht="27.95" customHeight="1" s="348"/>
    <row r="89" ht="27.95" customHeight="1" s="348"/>
    <row r="90" ht="27.95" customHeight="1" s="348"/>
    <row r="91" ht="27.95" customHeight="1" s="348"/>
    <row r="92" ht="27.95" customHeight="1" s="348"/>
    <row r="93" ht="27.95" customHeight="1" s="348"/>
    <row r="94" ht="27.95" customHeight="1" s="348"/>
    <row r="95" ht="27.95" customHeight="1" s="348"/>
    <row r="96" ht="27.95" customHeight="1" s="348"/>
    <row r="97" ht="27.95" customHeight="1" s="348"/>
    <row r="98" ht="27.95" customHeight="1" s="348"/>
    <row r="99" ht="27.95" customHeight="1" s="348"/>
    <row r="100" ht="27.95" customHeight="1" s="348"/>
    <row r="101" ht="27.95" customHeight="1" s="348"/>
    <row r="102" ht="27.95" customHeight="1" s="348"/>
    <row r="103" ht="27.95" customHeight="1" s="348"/>
    <row r="104" ht="27.95" customHeight="1" s="348"/>
    <row r="105" ht="27.95" customHeight="1" s="348"/>
  </sheetData>
  <autoFilter ref="C9:C45"/>
  <mergeCells count="91">
    <mergeCell ref="AF18:AG18"/>
    <mergeCell ref="R41:X41"/>
    <mergeCell ref="Y18:AE18"/>
    <mergeCell ref="AI7:AI9"/>
    <mergeCell ref="AH18:AL18"/>
    <mergeCell ref="D51:J51"/>
    <mergeCell ref="R18:X18"/>
    <mergeCell ref="AY7:AY9"/>
    <mergeCell ref="B7:B9"/>
    <mergeCell ref="AK7:AK9"/>
    <mergeCell ref="AH50:AL50"/>
    <mergeCell ref="B38:C38"/>
    <mergeCell ref="D1:AE1"/>
    <mergeCell ref="AH39:AL39"/>
    <mergeCell ref="D52:J52"/>
    <mergeCell ref="R16:X16"/>
    <mergeCell ref="K51:Q51"/>
    <mergeCell ref="B40:C40"/>
    <mergeCell ref="B49:C49"/>
    <mergeCell ref="K41:Q41"/>
    <mergeCell ref="AF40:AG40"/>
    <mergeCell ref="B51:C51"/>
    <mergeCell ref="Y40:AE40"/>
    <mergeCell ref="AJ7:AJ9"/>
    <mergeCell ref="AL7:AL9"/>
    <mergeCell ref="B41:C41"/>
    <mergeCell ref="B16:C16"/>
    <mergeCell ref="K17:Q17"/>
    <mergeCell ref="D39:J39"/>
    <mergeCell ref="D3:AE3"/>
    <mergeCell ref="B18:C18"/>
    <mergeCell ref="AR7:AR9"/>
    <mergeCell ref="AF16:AG16"/>
    <mergeCell ref="K16:Q16"/>
    <mergeCell ref="AT7:AT9"/>
    <mergeCell ref="AV7:AV9"/>
    <mergeCell ref="AH40:AL40"/>
    <mergeCell ref="D5:F5"/>
    <mergeCell ref="Y39:AE39"/>
    <mergeCell ref="AW7:AW9"/>
    <mergeCell ref="AO7:AO9"/>
    <mergeCell ref="AQ7:AQ9"/>
    <mergeCell ref="B15:C15"/>
    <mergeCell ref="K40:Q40"/>
    <mergeCell ref="D17:J17"/>
    <mergeCell ref="AH16:AL16"/>
    <mergeCell ref="R17:X17"/>
    <mergeCell ref="AH52:AL52"/>
    <mergeCell ref="Y41:AE41"/>
    <mergeCell ref="B52:C52"/>
    <mergeCell ref="R52:X52"/>
    <mergeCell ref="AN7:AN9"/>
    <mergeCell ref="R39:X39"/>
    <mergeCell ref="K18:Q18"/>
    <mergeCell ref="AH7:AH9"/>
    <mergeCell ref="B17:C17"/>
    <mergeCell ref="D40:J40"/>
    <mergeCell ref="R40:X40"/>
    <mergeCell ref="AH51:AL51"/>
    <mergeCell ref="AF17:AG17"/>
    <mergeCell ref="D41:J41"/>
    <mergeCell ref="Y17:AE17"/>
    <mergeCell ref="AH41:AL41"/>
    <mergeCell ref="D16:J16"/>
    <mergeCell ref="R50:X50"/>
    <mergeCell ref="V54:AB54"/>
    <mergeCell ref="D18:J18"/>
    <mergeCell ref="K39:Q39"/>
    <mergeCell ref="AF39:AG39"/>
    <mergeCell ref="D4:AE4"/>
    <mergeCell ref="AS7:AS9"/>
    <mergeCell ref="AU7:AU9"/>
    <mergeCell ref="R51:X51"/>
    <mergeCell ref="AM7:AM9"/>
    <mergeCell ref="AH17:AL17"/>
    <mergeCell ref="AC54:AE54"/>
    <mergeCell ref="B39:C39"/>
    <mergeCell ref="D50:J50"/>
    <mergeCell ref="AF51:AG51"/>
    <mergeCell ref="Y51:AE51"/>
    <mergeCell ref="AF41:AG41"/>
    <mergeCell ref="K50:Q50"/>
    <mergeCell ref="AF50:AG50"/>
    <mergeCell ref="D2:AE2"/>
    <mergeCell ref="Y50:AE50"/>
    <mergeCell ref="K52:Q52"/>
    <mergeCell ref="AF52:AG52"/>
    <mergeCell ref="AX7:AX9"/>
    <mergeCell ref="B50:C50"/>
    <mergeCell ref="Y16:AE16"/>
    <mergeCell ref="Y52:AE52"/>
  </mergeCells>
  <conditionalFormatting sqref="B1:B2 AE49 AK48 AK50:AK1048576 AO35:XFD40">
    <cfRule type="cellIs" priority="6568" operator="equal" dxfId="21">
      <formula>"NC"</formula>
    </cfRule>
  </conditionalFormatting>
  <conditionalFormatting sqref="B1:B3 D1:D3 D5 D39:AE40 G52:AC52 AC53 AE52">
    <cfRule type="cellIs" priority="6566" operator="equal" dxfId="48">
      <formula>"NP"</formula>
    </cfRule>
  </conditionalFormatting>
  <conditionalFormatting sqref="B1:B3 B16:AE17 B18:B34 B40:AE40 AI5:AJ8 AI16:AJ17 AI35:AJ35 AI39:AJ40 AI42:AJ44 AL5:AN6 AL16:AM17 AL35:AN35 AL39:AR39 AL40:AN40 AL42:AN44 AM7:AN8 AN12:AN34 AS39:HQ40 AS44:HQ45 BA41:HQ43">
    <cfRule type="cellIs" priority="6571" operator="equal" dxfId="25" stopIfTrue="1">
      <formula>"RD"</formula>
    </cfRule>
  </conditionalFormatting>
  <conditionalFormatting sqref="B3 D5 AO35:XFD40">
    <cfRule type="cellIs" priority="7460" operator="equal" dxfId="24">
      <formula>"NC"</formula>
    </cfRule>
  </conditionalFormatting>
  <conditionalFormatting sqref="B35">
    <cfRule type="cellIs" priority="4729" operator="equal" dxfId="23">
      <formula>"R"</formula>
    </cfRule>
    <cfRule type="cellIs" priority="8013" operator="equal" dxfId="4" stopIfTrue="1">
      <formula>"NP"</formula>
    </cfRule>
    <cfRule type="cellIs" priority="8014" operator="equal" dxfId="25" stopIfTrue="1">
      <formula>"RD"</formula>
    </cfRule>
  </conditionalFormatting>
  <conditionalFormatting sqref="B41:B43 AI39:AJ39 AL39:AN39">
    <cfRule type="cellIs" priority="2771" operator="equal" dxfId="4" stopIfTrue="1">
      <formula>"NP"</formula>
    </cfRule>
  </conditionalFormatting>
  <conditionalFormatting sqref="B42:B43">
    <cfRule type="cellIs" priority="2628" operator="equal" dxfId="48">
      <formula>"NH11"</formula>
    </cfRule>
    <cfRule type="cellIs" priority="2629" operator="equal" dxfId="25" stopIfTrue="1">
      <formula>"RD"</formula>
    </cfRule>
    <cfRule type="cellIs" priority="2630" operator="equal" dxfId="48">
      <formula>"NH"</formula>
    </cfRule>
  </conditionalFormatting>
  <conditionalFormatting sqref="B44 B49 K49:V49">
    <cfRule type="cellIs" priority="8100" operator="equal" dxfId="4" stopIfTrue="1">
      <formula>"NP"</formula>
    </cfRule>
    <cfRule type="cellIs" priority="8101" operator="equal" dxfId="25" stopIfTrue="1">
      <formula>"RD"</formula>
    </cfRule>
  </conditionalFormatting>
  <conditionalFormatting sqref="B4:C4 B6:AE6 B7:C9 B12:B15 B36:B38 B39:AE39 B45:B47 B48:AE48 D12:AE12 D13:D15 D36:D38 D45:D47 K47 R47 Y47 AN36:AN38 AN45 AN46:HQ47 AO1:HQ6 AO11:HQ17 AO35:HQ38 AO48:HQ51 BA7:HQ10 BA18:HQ20 BA22:HQ34">
    <cfRule type="cellIs" priority="7253" operator="equal" dxfId="25" stopIfTrue="1">
      <formula>"RD"</formula>
    </cfRule>
  </conditionalFormatting>
  <conditionalFormatting sqref="B5:C5">
    <cfRule type="cellIs" priority="8231" operator="equal" dxfId="25" stopIfTrue="1">
      <formula>"RD"</formula>
    </cfRule>
  </conditionalFormatting>
  <conditionalFormatting sqref="B1:B2 B4:C11 B12 B16:AE17 B18:C34 B35 B39:AE40 B41:C41 B48:AE48 B53:AE1048576 D6:AE6 D12:AE12 G5:AE5 J51:AE51 L50:AE50 AE52 AI5:AJ8 AI12:AJ12 AI13:AI15 AI16:AJ35 AI39:AJ44 AI48:AJ48 AI50:AJ1048576 AL5:AN6 AL12:AN12 AL16:AN35 AL39:AN44 AL48:AN48 AL50:AN1048576 AM7:AN8 AN13:AN15 AO1:XFD6 AO11:XFD17 AO44:XFD45 BA7:XFD10">
    <cfRule type="cellIs" priority="4728" operator="equal" dxfId="24">
      <formula>"NC"</formula>
    </cfRule>
  </conditionalFormatting>
  <conditionalFormatting sqref="B18:C34 B35">
    <cfRule type="cellIs" priority="4727" operator="equal" dxfId="21">
      <formula>"NC"</formula>
    </cfRule>
  </conditionalFormatting>
  <conditionalFormatting sqref="B41:C41 AE49 AK48 AK50:AK1048576">
    <cfRule type="cellIs" priority="2769" operator="equal" dxfId="48">
      <formula>"NH"</formula>
    </cfRule>
  </conditionalFormatting>
  <conditionalFormatting sqref="B41:C43">
    <cfRule type="cellIs" priority="1907" operator="equal" dxfId="21">
      <formula>"NC"</formula>
    </cfRule>
  </conditionalFormatting>
  <conditionalFormatting sqref="B42:C43 B44">
    <cfRule type="cellIs" priority="1908" operator="equal" dxfId="24">
      <formula>"NC"</formula>
    </cfRule>
    <cfRule type="cellIs" priority="1909" operator="equal" dxfId="23">
      <formula>"R"</formula>
    </cfRule>
  </conditionalFormatting>
  <conditionalFormatting sqref="B41:E41">
    <cfRule type="cellIs" priority="2742" operator="equal" dxfId="23">
      <formula>"R"</formula>
    </cfRule>
  </conditionalFormatting>
  <conditionalFormatting sqref="B56:AE1048576 E49:V49 AI56:AJ1048576 AL56:XFD1048576">
    <cfRule type="cellIs" priority="5364" operator="equal" dxfId="23">
      <formula>"R"</formula>
    </cfRule>
    <cfRule type="cellIs" priority="5365" operator="equal" dxfId="48">
      <formula>"NH11"</formula>
    </cfRule>
  </conditionalFormatting>
  <conditionalFormatting sqref="C11">
    <cfRule type="cellIs" priority="4251" operator="equal" dxfId="21">
      <formula>"NC"</formula>
    </cfRule>
    <cfRule type="cellIs" priority="4253" operator="equal" dxfId="48">
      <formula>"NH11"</formula>
    </cfRule>
    <cfRule type="cellIs" priority="4254" operator="equal" dxfId="48">
      <formula>"NH"</formula>
    </cfRule>
  </conditionalFormatting>
  <conditionalFormatting sqref="C43">
    <cfRule type="cellIs" priority="1910" operator="equal" dxfId="48">
      <formula>"NH11"</formula>
    </cfRule>
    <cfRule type="cellIs" priority="1911" operator="equal" dxfId="48">
      <formula>"NH"</formula>
    </cfRule>
  </conditionalFormatting>
  <conditionalFormatting sqref="C49:C50">
    <cfRule type="cellIs" priority="3991" operator="equal" dxfId="23">
      <formula>"R"</formula>
    </cfRule>
    <cfRule type="cellIs" priority="3992" operator="equal" dxfId="48">
      <formula>"NH12"</formula>
    </cfRule>
    <cfRule type="cellIs" priority="3993" operator="equal" dxfId="48">
      <formula>"Nh11"</formula>
    </cfRule>
    <cfRule type="cellIs" priority="3994" operator="equal" dxfId="4" stopIfTrue="1">
      <formula>"NP"</formula>
    </cfRule>
    <cfRule type="cellIs" priority="3995" operator="equal" dxfId="25" stopIfTrue="1">
      <formula>"RD"</formula>
    </cfRule>
  </conditionalFormatting>
  <conditionalFormatting sqref="C11:R11">
    <cfRule type="cellIs" priority="2869" operator="equal" dxfId="23">
      <formula>"R"</formula>
    </cfRule>
  </conditionalFormatting>
  <conditionalFormatting sqref="D1:D2">
    <cfRule type="cellIs" priority="2783" operator="equal" dxfId="24">
      <formula>"NC"</formula>
    </cfRule>
    <cfRule type="cellIs" priority="2784" operator="equal" dxfId="21">
      <formula>"NC"</formula>
    </cfRule>
    <cfRule type="cellIs" priority="2785" operator="equal" dxfId="23">
      <formula>"R"</formula>
    </cfRule>
  </conditionalFormatting>
  <conditionalFormatting sqref="D1:D3">
    <cfRule type="cellIs" priority="2782" operator="equal" dxfId="4" stopIfTrue="1">
      <formula>"NP"</formula>
    </cfRule>
    <cfRule type="cellIs" priority="2786" operator="equal" dxfId="25" stopIfTrue="1">
      <formula>"RD"</formula>
    </cfRule>
  </conditionalFormatting>
  <conditionalFormatting sqref="D3">
    <cfRule type="cellIs" priority="2787" operator="equal" dxfId="21">
      <formula>"NC"</formula>
    </cfRule>
    <cfRule type="cellIs" priority="2788" operator="equal" dxfId="24">
      <formula>"NC"</formula>
    </cfRule>
    <cfRule type="cellIs" priority="2789" operator="equal" dxfId="23">
      <formula>"R"</formula>
    </cfRule>
  </conditionalFormatting>
  <conditionalFormatting sqref="B13:B15 B36:B38 B45:B47 B49 D13:D15 D36:D38 D45:D47 K13:K15 K36:K38 K45:K47 R13:R15 R36:R38 R45:R47 Y13:Y15 Y36:Y38 Y45:Y47 AN36:AN38 AN45:AN47">
    <cfRule type="cellIs" priority="7967" operator="equal" dxfId="24">
      <formula>"NC"</formula>
    </cfRule>
  </conditionalFormatting>
  <conditionalFormatting sqref="B13:B15 B36:B38 B44:B47 B49 D13:D15 D36:D38 D45:D47 G52:AC52 K13:K15 K36:K38 K45:K47 R13:R15 R36:R38 R45:R47 Y13:Y15 Y36:Y38 Y45:Y47 AC49 AN36:AN38 AN45 AN46:XFD47 AO35:XFD40">
    <cfRule type="cellIs" priority="8007" operator="equal" dxfId="48">
      <formula>"NH11"</formula>
    </cfRule>
  </conditionalFormatting>
  <conditionalFormatting sqref="B3 B4:C4 B5:D5 B7:C11 B13:B15 B36:B38 B45:B47 B49 D13:D15 D36:D38 D45:D47 G52:AC52 K13:K15 K36:K38 K45:K47 R13:R15 R36:R38 R45:R47 Y13:Y15 Y36:Y38 Y45:Y47 AC49 AN36:AN38 AN45 AN46:XFD47 AO35:XFD40">
    <cfRule type="cellIs" priority="8006" operator="equal" dxfId="23">
      <formula>"R"</formula>
    </cfRule>
  </conditionalFormatting>
  <conditionalFormatting sqref="D18:D34 D18:Q18 D19:X19 D20:AE20">
    <cfRule type="containsText" priority="3863" operator="containsText" dxfId="38" stopIfTrue="1" text="TIL">
      <formula>NOT(ISERROR(SEARCH("TIL",D18)))</formula>
    </cfRule>
    <cfRule type="containsText" priority="3864" operator="containsText" dxfId="39" stopIfTrue="1" text="疫苗">
      <formula>NOT(ISERROR(SEARCH("疫苗",D18)))</formula>
    </cfRule>
    <cfRule type="containsText" priority="3865" operator="containsText" dxfId="0" stopIfTrue="1" text="勞假">
      <formula>NOT(ISERROR(SEARCH("勞假",D18)))</formula>
    </cfRule>
    <cfRule type="containsText" priority="3866" operator="containsText" dxfId="36" stopIfTrue="1" text="補假">
      <formula>NOT(ISERROR(SEARCH("補假",D18)))</formula>
    </cfRule>
    <cfRule type="containsText" priority="3867" operator="containsText" dxfId="35" stopIfTrue="1" text="例假">
      <formula>NOT(ISERROR(SEARCH("例假",D18)))</formula>
    </cfRule>
    <cfRule type="containsText" priority="3868" operator="containsText" dxfId="4" stopIfTrue="1" text="病假">
      <formula>NOT(ISERROR(SEARCH("病假",D18)))</formula>
    </cfRule>
    <cfRule type="containsText" priority="3869" operator="containsText" dxfId="34" stopIfTrue="1" text="大假">
      <formula>NOT(ISERROR(SEARCH("大假",D18)))</formula>
    </cfRule>
    <cfRule type="containsText" priority="3870" operator="containsText" dxfId="37" stopIfTrue="1" text="無薪">
      <formula>NOT(ISERROR(SEARCH("無薪",D18)))</formula>
    </cfRule>
    <cfRule type="containsText" priority="3871" operator="containsText" dxfId="38" stopIfTrue="1" text="TIL">
      <formula>NOT(ISERROR(SEARCH("TIL",D18)))</formula>
    </cfRule>
    <cfRule type="containsText" priority="3872" operator="containsText" dxfId="39" stopIfTrue="1" text="疫苗">
      <formula>NOT(ISERROR(SEARCH("疫苗",D18)))</formula>
    </cfRule>
    <cfRule type="containsText" priority="3873" operator="containsText" dxfId="0" stopIfTrue="1" text="勞假">
      <formula>NOT(ISERROR(SEARCH("勞假",D18)))</formula>
    </cfRule>
    <cfRule type="containsText" priority="3874" operator="containsText" dxfId="36" stopIfTrue="1" text="補假">
      <formula>NOT(ISERROR(SEARCH("補假",D18)))</formula>
    </cfRule>
    <cfRule type="containsText" priority="3875" operator="containsText" dxfId="35" stopIfTrue="1" text="例假">
      <formula>NOT(ISERROR(SEARCH("例假",D18)))</formula>
    </cfRule>
    <cfRule type="containsText" priority="3876" operator="containsText" dxfId="4" stopIfTrue="1" text="病假">
      <formula>NOT(ISERROR(SEARCH("病假",D18)))</formula>
    </cfRule>
    <cfRule type="containsText" priority="3877" operator="containsText" dxfId="34" stopIfTrue="1" text="大假">
      <formula>NOT(ISERROR(SEARCH("大假",D18)))</formula>
    </cfRule>
    <cfRule type="cellIs" priority="3879" operator="equal" dxfId="4" stopIfTrue="1">
      <formula>"NP"</formula>
    </cfRule>
    <cfRule type="cellIs" priority="3880" operator="equal" dxfId="25" stopIfTrue="1">
      <formula>"RD"</formula>
    </cfRule>
    <cfRule type="containsText" priority="3881" operator="containsText" dxfId="38" stopIfTrue="1" text="TIL">
      <formula>NOT(ISERROR(SEARCH("TIL",D18)))</formula>
    </cfRule>
    <cfRule type="containsText" priority="3882" operator="containsText" dxfId="39" stopIfTrue="1" text="疫苗">
      <formula>NOT(ISERROR(SEARCH("疫苗",D18)))</formula>
    </cfRule>
    <cfRule type="containsText" priority="3883" operator="containsText" dxfId="0" stopIfTrue="1" text="勞假">
      <formula>NOT(ISERROR(SEARCH("勞假",D18)))</formula>
    </cfRule>
    <cfRule type="containsText" priority="3884" operator="containsText" dxfId="36" stopIfTrue="1" text="補假">
      <formula>NOT(ISERROR(SEARCH("補假",D18)))</formula>
    </cfRule>
    <cfRule type="containsText" priority="3885" operator="containsText" dxfId="35" stopIfTrue="1" text="例假">
      <formula>NOT(ISERROR(SEARCH("例假",D18)))</formula>
    </cfRule>
    <cfRule type="containsText" priority="3886" operator="containsText" dxfId="4" stopIfTrue="1" text="病假">
      <formula>NOT(ISERROR(SEARCH("病假",D18)))</formula>
    </cfRule>
    <cfRule type="containsText" priority="3887" operator="containsText" dxfId="34" stopIfTrue="1" text="大假">
      <formula>NOT(ISERROR(SEARCH("大假",D18)))</formula>
    </cfRule>
    <cfRule type="containsText" priority="3905" operator="containsText" dxfId="39" stopIfTrue="1" text="疫苗">
      <formula>NOT(ISERROR(SEARCH("疫苗",D18)))</formula>
    </cfRule>
    <cfRule type="containsText" priority="3906" operator="containsText" dxfId="0" stopIfTrue="1" text="勞假">
      <formula>NOT(ISERROR(SEARCH("勞假",D18)))</formula>
    </cfRule>
    <cfRule type="containsText" priority="3907" operator="containsText" dxfId="36" stopIfTrue="1" text="補假">
      <formula>NOT(ISERROR(SEARCH("補假",D18)))</formula>
    </cfRule>
    <cfRule type="containsText" priority="3908" operator="containsText" dxfId="35" stopIfTrue="1" text="例假">
      <formula>NOT(ISERROR(SEARCH("例假",D18)))</formula>
    </cfRule>
    <cfRule type="containsText" priority="3909" operator="containsText" dxfId="4" stopIfTrue="1" text="病假">
      <formula>NOT(ISERROR(SEARCH("病假",D18)))</formula>
    </cfRule>
    <cfRule type="containsText" priority="3910" operator="containsText" dxfId="34" stopIfTrue="1" text="大假">
      <formula>NOT(ISERROR(SEARCH("大假",D18)))</formula>
    </cfRule>
    <cfRule type="containsText" priority="3911" operator="containsText" dxfId="37" stopIfTrue="1" text="無薪">
      <formula>NOT(ISERROR(SEARCH("無薪",D18)))</formula>
    </cfRule>
    <cfRule type="containsText" priority="3912" operator="containsText" dxfId="39" stopIfTrue="1" text="疫苗">
      <formula>NOT(ISERROR(SEARCH("疫苗",D18)))</formula>
    </cfRule>
    <cfRule type="containsText" priority="3913" operator="containsText" dxfId="0" stopIfTrue="1" text="勞假">
      <formula>NOT(ISERROR(SEARCH("勞假",D18)))</formula>
    </cfRule>
    <cfRule type="containsText" priority="3914" operator="containsText" dxfId="36" stopIfTrue="1" text="補假">
      <formula>NOT(ISERROR(SEARCH("補假",D18)))</formula>
    </cfRule>
    <cfRule type="containsText" priority="3915" operator="containsText" dxfId="35" stopIfTrue="1" text="例假">
      <formula>NOT(ISERROR(SEARCH("例假",D18)))</formula>
    </cfRule>
    <cfRule type="containsText" priority="3916" operator="containsText" dxfId="4" stopIfTrue="1" text="病假">
      <formula>NOT(ISERROR(SEARCH("病假",D18)))</formula>
    </cfRule>
    <cfRule type="containsText" priority="3917" operator="containsText" dxfId="34" stopIfTrue="1" text="大假">
      <formula>NOT(ISERROR(SEARCH("大假",D18)))</formula>
    </cfRule>
    <cfRule type="containsText" priority="3918" operator="containsText" dxfId="37" stopIfTrue="1" text="無薪">
      <formula>NOT(ISERROR(SEARCH("無薪",D18)))</formula>
    </cfRule>
    <cfRule type="containsText" priority="3919" operator="containsText" dxfId="38" stopIfTrue="1" text="TIL">
      <formula>NOT(ISERROR(SEARCH("TIL",D18)))</formula>
    </cfRule>
    <cfRule type="containsText" priority="3920" operator="containsText" dxfId="39" stopIfTrue="1" text="疫苗">
      <formula>NOT(ISERROR(SEARCH("疫苗",D18)))</formula>
    </cfRule>
    <cfRule type="containsText" priority="3921" operator="containsText" dxfId="0" stopIfTrue="1" text="勞假">
      <formula>NOT(ISERROR(SEARCH("勞假",D18)))</formula>
    </cfRule>
    <cfRule type="containsText" priority="3922" operator="containsText" dxfId="36" stopIfTrue="1" text="補假">
      <formula>NOT(ISERROR(SEARCH("補假",D18)))</formula>
    </cfRule>
    <cfRule type="containsText" priority="3923" operator="containsText" dxfId="35" stopIfTrue="1" text="例假">
      <formula>NOT(ISERROR(SEARCH("例假",D18)))</formula>
    </cfRule>
    <cfRule type="containsText" priority="3924" operator="containsText" dxfId="4" stopIfTrue="1" text="病假">
      <formula>NOT(ISERROR(SEARCH("病假",D18)))</formula>
    </cfRule>
    <cfRule type="containsText" priority="3925" operator="containsText" dxfId="34" stopIfTrue="1" text="大假">
      <formula>NOT(ISERROR(SEARCH("大假",D18)))</formula>
    </cfRule>
    <cfRule type="containsText" priority="3926" operator="containsText" dxfId="37" stopIfTrue="1" text="無薪">
      <formula>NOT(ISERROR(SEARCH("無薪",D18)))</formula>
    </cfRule>
    <cfRule type="containsText" priority="3927" operator="containsText" dxfId="38" stopIfTrue="1" text="TIL">
      <formula>NOT(ISERROR(SEARCH("TIL",D18)))</formula>
    </cfRule>
    <cfRule type="containsText" priority="3928" operator="containsText" dxfId="39" stopIfTrue="1" text="疫苗">
      <formula>NOT(ISERROR(SEARCH("疫苗",D18)))</formula>
    </cfRule>
    <cfRule type="containsText" priority="3929" operator="containsText" dxfId="0" stopIfTrue="1" text="勞假">
      <formula>NOT(ISERROR(SEARCH("勞假",D18)))</formula>
    </cfRule>
    <cfRule type="containsText" priority="3930" operator="containsText" dxfId="36" stopIfTrue="1" text="補假">
      <formula>NOT(ISERROR(SEARCH("補假",D18)))</formula>
    </cfRule>
    <cfRule type="containsText" priority="3931" operator="containsText" dxfId="35" stopIfTrue="1" text="例假">
      <formula>NOT(ISERROR(SEARCH("例假",D18)))</formula>
    </cfRule>
    <cfRule type="containsText" priority="3932" operator="containsText" dxfId="4" stopIfTrue="1" text="病假">
      <formula>NOT(ISERROR(SEARCH("病假",D18)))</formula>
    </cfRule>
    <cfRule type="containsText" priority="3933" operator="containsText" dxfId="34" stopIfTrue="1" text="大假">
      <formula>NOT(ISERROR(SEARCH("大假",D18)))</formula>
    </cfRule>
    <cfRule type="containsText" priority="3969" operator="containsText" dxfId="38" stopIfTrue="1" text="TIL">
      <formula>NOT(ISERROR(SEARCH("TIL",D18)))</formula>
    </cfRule>
    <cfRule type="containsText" priority="3970" operator="containsText" dxfId="39" stopIfTrue="1" text="疫苗">
      <formula>NOT(ISERROR(SEARCH("疫苗",D18)))</formula>
    </cfRule>
    <cfRule type="containsText" priority="3971" operator="containsText" dxfId="0" stopIfTrue="1" text="勞假">
      <formula>NOT(ISERROR(SEARCH("勞假",D18)))</formula>
    </cfRule>
    <cfRule type="containsText" priority="3972" operator="containsText" dxfId="36" stopIfTrue="1" text="補假">
      <formula>NOT(ISERROR(SEARCH("補假",D18)))</formula>
    </cfRule>
    <cfRule type="containsText" priority="3973" operator="containsText" dxfId="35" stopIfTrue="1" text="例假">
      <formula>NOT(ISERROR(SEARCH("例假",D18)))</formula>
    </cfRule>
    <cfRule type="containsText" priority="3974" operator="containsText" dxfId="4" stopIfTrue="1" text="病假">
      <formula>NOT(ISERROR(SEARCH("病假",D18)))</formula>
    </cfRule>
    <cfRule type="containsText" priority="3975" operator="containsText" dxfId="34" stopIfTrue="1" text="大假">
      <formula>NOT(ISERROR(SEARCH("大假",D18)))</formula>
    </cfRule>
    <cfRule type="containsText" priority="3976" operator="containsText" dxfId="37" stopIfTrue="1" text="無薪">
      <formula>NOT(ISERROR(SEARCH("無薪",D18)))</formula>
    </cfRule>
  </conditionalFormatting>
  <conditionalFormatting sqref="D21">
    <cfRule type="cellIs" priority="3791" operator="equal" dxfId="405">
      <formula>"NSH"</formula>
    </cfRule>
    <cfRule type="containsText" priority="3792" operator="containsText" dxfId="4" text="RD">
      <formula>NOT(ISERROR(SEARCH("RD",D21)))</formula>
    </cfRule>
    <cfRule type="containsText" priority="3793" operator="containsText" dxfId="405" text="NP">
      <formula>NOT(ISERROR(SEARCH("NP",D21)))</formula>
    </cfRule>
  </conditionalFormatting>
  <conditionalFormatting sqref="D32">
    <cfRule type="cellIs" priority="3794" operator="equal" dxfId="405">
      <formula>"NSH"</formula>
    </cfRule>
    <cfRule type="containsText" priority="3795" operator="containsText" dxfId="4" text="RD">
      <formula>NOT(ISERROR(SEARCH("RD",D32)))</formula>
    </cfRule>
    <cfRule type="containsText" priority="3796" operator="containsText" dxfId="405" text="NP">
      <formula>NOT(ISERROR(SEARCH("NP",D32)))</formula>
    </cfRule>
  </conditionalFormatting>
  <conditionalFormatting sqref="D33:D34">
    <cfRule type="containsText" priority="3797" operator="containsText" dxfId="39" stopIfTrue="1" text="疫苗">
      <formula>NOT(ISERROR(SEARCH("疫苗",D33)))</formula>
    </cfRule>
    <cfRule type="containsText" priority="3798" operator="containsText" dxfId="0" stopIfTrue="1" text="勞假">
      <formula>NOT(ISERROR(SEARCH("勞假",D33)))</formula>
    </cfRule>
    <cfRule type="containsText" priority="3799" operator="containsText" dxfId="36" stopIfTrue="1" text="補假">
      <formula>NOT(ISERROR(SEARCH("補假",D33)))</formula>
    </cfRule>
    <cfRule type="containsText" priority="3800" operator="containsText" dxfId="35" stopIfTrue="1" text="例假">
      <formula>NOT(ISERROR(SEARCH("例假",D33)))</formula>
    </cfRule>
    <cfRule type="containsText" priority="3801" operator="containsText" dxfId="4" stopIfTrue="1" text="病假">
      <formula>NOT(ISERROR(SEARCH("病假",D33)))</formula>
    </cfRule>
    <cfRule type="containsText" priority="3802" operator="containsText" dxfId="34" stopIfTrue="1" text="大假">
      <formula>NOT(ISERROR(SEARCH("大假",D33)))</formula>
    </cfRule>
    <cfRule type="containsText" priority="3803" operator="containsText" dxfId="38" stopIfTrue="1" text="TIL">
      <formula>NOT(ISERROR(SEARCH("TIL",D33)))</formula>
    </cfRule>
    <cfRule type="cellIs" priority="3804" operator="equal" dxfId="405">
      <formula>"NSH"</formula>
    </cfRule>
    <cfRule type="containsText" priority="3805" operator="containsText" dxfId="4" text="RD">
      <formula>NOT(ISERROR(SEARCH("RD",D33)))</formula>
    </cfRule>
    <cfRule type="containsText" priority="3806" operator="containsText" dxfId="405" text="NP">
      <formula>NOT(ISERROR(SEARCH("NP",D33)))</formula>
    </cfRule>
    <cfRule type="containsText" priority="3807" operator="containsText" dxfId="39" stopIfTrue="1" text="疫苗">
      <formula>NOT(ISERROR(SEARCH("疫苗",D33)))</formula>
    </cfRule>
    <cfRule type="containsText" priority="3808" operator="containsText" dxfId="0" stopIfTrue="1" text="勞假">
      <formula>NOT(ISERROR(SEARCH("勞假",D33)))</formula>
    </cfRule>
    <cfRule type="containsText" priority="3809" operator="containsText" dxfId="36" stopIfTrue="1" text="補假">
      <formula>NOT(ISERROR(SEARCH("補假",D33)))</formula>
    </cfRule>
    <cfRule type="containsText" priority="3810" operator="containsText" dxfId="35" stopIfTrue="1" text="例假">
      <formula>NOT(ISERROR(SEARCH("例假",D33)))</formula>
    </cfRule>
    <cfRule type="containsText" priority="3811" operator="containsText" dxfId="4" stopIfTrue="1" text="病假">
      <formula>NOT(ISERROR(SEARCH("病假",D33)))</formula>
    </cfRule>
    <cfRule type="containsText" priority="3812" operator="containsText" dxfId="34" stopIfTrue="1" text="大假">
      <formula>NOT(ISERROR(SEARCH("大假",D33)))</formula>
    </cfRule>
    <cfRule type="containsText" priority="3813" operator="containsText" dxfId="37" stopIfTrue="1" text="無薪">
      <formula>NOT(ISERROR(SEARCH("無薪",D33)))</formula>
    </cfRule>
    <cfRule type="containsText" priority="3814" operator="containsText" dxfId="38" stopIfTrue="1" text="TIL">
      <formula>NOT(ISERROR(SEARCH("TIL",D33)))</formula>
    </cfRule>
    <cfRule type="containsText" priority="3815" operator="containsText" dxfId="39" stopIfTrue="1" text="疫苗">
      <formula>NOT(ISERROR(SEARCH("疫苗",D33)))</formula>
    </cfRule>
    <cfRule type="containsText" priority="3816" operator="containsText" dxfId="0" stopIfTrue="1" text="勞假">
      <formula>NOT(ISERROR(SEARCH("勞假",D33)))</formula>
    </cfRule>
    <cfRule type="containsText" priority="3817" operator="containsText" dxfId="36" stopIfTrue="1" text="補假">
      <formula>NOT(ISERROR(SEARCH("補假",D33)))</formula>
    </cfRule>
    <cfRule type="containsText" priority="3818" operator="containsText" dxfId="35" stopIfTrue="1" text="例假">
      <formula>NOT(ISERROR(SEARCH("例假",D33)))</formula>
    </cfRule>
    <cfRule type="containsText" priority="3819" operator="containsText" dxfId="4" stopIfTrue="1" text="病假">
      <formula>NOT(ISERROR(SEARCH("病假",D33)))</formula>
    </cfRule>
    <cfRule type="containsText" priority="3820" operator="containsText" dxfId="34" stopIfTrue="1" text="大假">
      <formula>NOT(ISERROR(SEARCH("大假",D33)))</formula>
    </cfRule>
    <cfRule type="containsText" priority="3821" operator="containsText" dxfId="37" stopIfTrue="1" text="無薪">
      <formula>NOT(ISERROR(SEARCH("無薪",D33)))</formula>
    </cfRule>
    <cfRule type="containsText" priority="3822" operator="containsText" dxfId="38" stopIfTrue="1" text="TIL">
      <formula>NOT(ISERROR(SEARCH("TIL",D33)))</formula>
    </cfRule>
    <cfRule type="containsText" priority="3823" operator="containsText" dxfId="37" stopIfTrue="1" text="無薪">
      <formula>NOT(ISERROR(SEARCH("無薪",D33)))</formula>
    </cfRule>
    <cfRule type="containsText" priority="3824" operator="containsText" dxfId="38" stopIfTrue="1" text="TIL">
      <formula>NOT(ISERROR(SEARCH("TIL",D33)))</formula>
    </cfRule>
    <cfRule type="containsText" priority="3825" operator="containsText" dxfId="39" stopIfTrue="1" text="疫苗">
      <formula>NOT(ISERROR(SEARCH("疫苗",D33)))</formula>
    </cfRule>
    <cfRule type="containsText" priority="3826" operator="containsText" dxfId="0" stopIfTrue="1" text="勞假">
      <formula>NOT(ISERROR(SEARCH("勞假",D33)))</formula>
    </cfRule>
    <cfRule type="containsText" priority="3827" operator="containsText" dxfId="36" stopIfTrue="1" text="補假">
      <formula>NOT(ISERROR(SEARCH("補假",D33)))</formula>
    </cfRule>
    <cfRule type="containsText" priority="3828" operator="containsText" dxfId="35" stopIfTrue="1" text="例假">
      <formula>NOT(ISERROR(SEARCH("例假",D33)))</formula>
    </cfRule>
    <cfRule type="containsText" priority="3829" operator="containsText" dxfId="4" stopIfTrue="1" text="病假">
      <formula>NOT(ISERROR(SEARCH("病假",D33)))</formula>
    </cfRule>
    <cfRule type="containsText" priority="3830" operator="containsText" dxfId="34" stopIfTrue="1" text="大假">
      <formula>NOT(ISERROR(SEARCH("大假",D33)))</formula>
    </cfRule>
    <cfRule type="containsText" priority="3831" operator="containsText" dxfId="37" stopIfTrue="1" text="無薪">
      <formula>NOT(ISERROR(SEARCH("無薪",D33)))</formula>
    </cfRule>
    <cfRule type="containsText" priority="3832" operator="containsText" dxfId="38" stopIfTrue="1" text="TIL">
      <formula>NOT(ISERROR(SEARCH("TIL",D33)))</formula>
    </cfRule>
    <cfRule type="containsText" priority="3833" operator="containsText" dxfId="39" stopIfTrue="1" text="疫苗">
      <formula>NOT(ISERROR(SEARCH("疫苗",D33)))</formula>
    </cfRule>
    <cfRule type="containsText" priority="3834" operator="containsText" dxfId="0" stopIfTrue="1" text="勞假">
      <formula>NOT(ISERROR(SEARCH("勞假",D33)))</formula>
    </cfRule>
    <cfRule type="containsText" priority="3835" operator="containsText" dxfId="36" stopIfTrue="1" text="補假">
      <formula>NOT(ISERROR(SEARCH("補假",D33)))</formula>
    </cfRule>
    <cfRule type="containsText" priority="3836" operator="containsText" dxfId="35" stopIfTrue="1" text="例假">
      <formula>NOT(ISERROR(SEARCH("例假",D33)))</formula>
    </cfRule>
    <cfRule type="containsText" priority="3837" operator="containsText" dxfId="4" stopIfTrue="1" text="病假">
      <formula>NOT(ISERROR(SEARCH("病假",D33)))</formula>
    </cfRule>
    <cfRule type="containsText" priority="3838" operator="containsText" dxfId="34" stopIfTrue="1" text="大假">
      <formula>NOT(ISERROR(SEARCH("大假",D33)))</formula>
    </cfRule>
    <cfRule type="containsText" priority="3839" operator="containsText" dxfId="38" stopIfTrue="1" text="TIL">
      <formula>NOT(ISERROR(SEARCH("TIL",D33)))</formula>
    </cfRule>
    <cfRule type="cellIs" priority="3840" operator="equal" dxfId="4" stopIfTrue="1">
      <formula>"NP"</formula>
    </cfRule>
    <cfRule type="cellIs" priority="3841" operator="equal" dxfId="25" stopIfTrue="1">
      <formula>"RD"</formula>
    </cfRule>
    <cfRule type="containsText" priority="3842" operator="containsText" dxfId="38" stopIfTrue="1" text="TIL">
      <formula>NOT(ISERROR(SEARCH("TIL",D33)))</formula>
    </cfRule>
  </conditionalFormatting>
  <conditionalFormatting sqref="D36 K36 R36 Y36">
    <cfRule type="containsText" priority="1287" operator="containsText" dxfId="4" stopIfTrue="1" text="病假">
      <formula>NOT(ISERROR(SEARCH("病假",D36)))</formula>
    </cfRule>
  </conditionalFormatting>
  <conditionalFormatting sqref="D37 K37 R37 Y37">
    <cfRule type="containsText" priority="1278" operator="containsText" dxfId="4" stopIfTrue="1" text="病假">
      <formula>NOT(ISERROR(SEARCH("病假",D37)))</formula>
    </cfRule>
  </conditionalFormatting>
  <conditionalFormatting sqref="D37:D38 K37:K38 R37:R38 Y37:Y38">
    <cfRule type="cellIs" priority="1300" operator="equal" dxfId="861">
      <formula>"CL"</formula>
    </cfRule>
    <cfRule type="cellIs" priority="1302" operator="equal" dxfId="860">
      <formula>"E"</formula>
    </cfRule>
    <cfRule type="cellIs" priority="1270" operator="equal" dxfId="859">
      <formula>"SR"</formula>
    </cfRule>
  </conditionalFormatting>
  <conditionalFormatting sqref="D38 K38 R38 Y38">
    <cfRule type="cellIs" priority="1304" operator="equal" dxfId="1063">
      <formula>"CW"</formula>
    </cfRule>
    <cfRule type="cellIs" priority="1305" operator="equal" dxfId="24">
      <formula>"VO"</formula>
    </cfRule>
    <cfRule type="cellIs" priority="1306" operator="equal" dxfId="48">
      <formula>"NP"</formula>
    </cfRule>
    <cfRule type="cellIs" priority="1307" operator="equal" dxfId="24">
      <formula>"MOU"</formula>
    </cfRule>
    <cfRule type="cellIs" priority="1308" operator="equal" dxfId="24">
      <formula>"VO, MOU, CW, CF"</formula>
    </cfRule>
    <cfRule type="containsText" priority="1312" operator="containsText" dxfId="4" stopIfTrue="1" text="病假">
      <formula>NOT(ISERROR(SEARCH("病假",D38)))</formula>
    </cfRule>
  </conditionalFormatting>
  <conditionalFormatting sqref="D41">
    <cfRule type="containsText" priority="2650" operator="containsText" dxfId="38" stopIfTrue="1" text="TIL">
      <formula>NOT(ISERROR(SEARCH("TIL",D41)))</formula>
    </cfRule>
    <cfRule type="containsText" priority="2651" operator="containsText" dxfId="39" stopIfTrue="1" text="疫苗">
      <formula>NOT(ISERROR(SEARCH("疫苗",D41)))</formula>
    </cfRule>
    <cfRule type="containsText" priority="2652" operator="containsText" dxfId="0" stopIfTrue="1" text="勞假">
      <formula>NOT(ISERROR(SEARCH("勞假",D41)))</formula>
    </cfRule>
    <cfRule type="containsText" priority="2653" operator="containsText" dxfId="36" stopIfTrue="1" text="補假">
      <formula>NOT(ISERROR(SEARCH("補假",D41)))</formula>
    </cfRule>
    <cfRule type="containsText" priority="2654" operator="containsText" dxfId="35" stopIfTrue="1" text="例假">
      <formula>NOT(ISERROR(SEARCH("例假",D41)))</formula>
    </cfRule>
    <cfRule type="containsText" priority="2655" operator="containsText" dxfId="4" stopIfTrue="1" text="病假">
      <formula>NOT(ISERROR(SEARCH("病假",D41)))</formula>
    </cfRule>
    <cfRule type="containsText" priority="2656" operator="containsText" dxfId="34" stopIfTrue="1" text="大假">
      <formula>NOT(ISERROR(SEARCH("大假",D41)))</formula>
    </cfRule>
    <cfRule type="containsText" priority="2657" operator="containsText" dxfId="37" stopIfTrue="1" text="無薪">
      <formula>NOT(ISERROR(SEARCH("無薪",D41)))</formula>
    </cfRule>
    <cfRule type="containsText" priority="2658" operator="containsText" dxfId="38" stopIfTrue="1" text="TIL">
      <formula>NOT(ISERROR(SEARCH("TIL",D41)))</formula>
    </cfRule>
    <cfRule type="containsText" priority="2659" operator="containsText" dxfId="39" stopIfTrue="1" text="疫苗">
      <formula>NOT(ISERROR(SEARCH("疫苗",D41)))</formula>
    </cfRule>
    <cfRule type="containsText" priority="2660" operator="containsText" dxfId="0" stopIfTrue="1" text="勞假">
      <formula>NOT(ISERROR(SEARCH("勞假",D41)))</formula>
    </cfRule>
    <cfRule type="containsText" priority="2661" operator="containsText" dxfId="36" stopIfTrue="1" text="補假">
      <formula>NOT(ISERROR(SEARCH("補假",D41)))</formula>
    </cfRule>
    <cfRule type="containsText" priority="2662" operator="containsText" dxfId="35" stopIfTrue="1" text="例假">
      <formula>NOT(ISERROR(SEARCH("例假",D41)))</formula>
    </cfRule>
    <cfRule type="containsText" priority="2663" operator="containsText" dxfId="4" stopIfTrue="1" text="病假">
      <formula>NOT(ISERROR(SEARCH("病假",D41)))</formula>
    </cfRule>
    <cfRule type="containsText" priority="2664" operator="containsText" dxfId="34" stopIfTrue="1" text="大假">
      <formula>NOT(ISERROR(SEARCH("大假",D41)))</formula>
    </cfRule>
    <cfRule type="cellIs" priority="2666" operator="equal" dxfId="4" stopIfTrue="1">
      <formula>"NP"</formula>
    </cfRule>
    <cfRule type="cellIs" priority="2667" operator="equal" dxfId="25" stopIfTrue="1">
      <formula>"RD"</formula>
    </cfRule>
    <cfRule type="containsText" priority="2668" operator="containsText" dxfId="38" stopIfTrue="1" text="TIL">
      <formula>NOT(ISERROR(SEARCH("TIL",D41)))</formula>
    </cfRule>
    <cfRule type="containsText" priority="2691" operator="containsText" dxfId="39" stopIfTrue="1" text="疫苗">
      <formula>NOT(ISERROR(SEARCH("疫苗",D41)))</formula>
    </cfRule>
    <cfRule type="containsText" priority="2692" operator="containsText" dxfId="0" stopIfTrue="1" text="勞假">
      <formula>NOT(ISERROR(SEARCH("勞假",D41)))</formula>
    </cfRule>
    <cfRule type="containsText" priority="2693" operator="containsText" dxfId="36" stopIfTrue="1" text="補假">
      <formula>NOT(ISERROR(SEARCH("補假",D41)))</formula>
    </cfRule>
    <cfRule type="containsText" priority="2694" operator="containsText" dxfId="35" stopIfTrue="1" text="例假">
      <formula>NOT(ISERROR(SEARCH("例假",D41)))</formula>
    </cfRule>
    <cfRule type="containsText" priority="2695" operator="containsText" dxfId="4" stopIfTrue="1" text="病假">
      <formula>NOT(ISERROR(SEARCH("病假",D41)))</formula>
    </cfRule>
    <cfRule type="containsText" priority="2696" operator="containsText" dxfId="34" stopIfTrue="1" text="大假">
      <formula>NOT(ISERROR(SEARCH("大假",D41)))</formula>
    </cfRule>
    <cfRule type="containsText" priority="2697" operator="containsText" dxfId="37" stopIfTrue="1" text="無薪">
      <formula>NOT(ISERROR(SEARCH("無薪",D41)))</formula>
    </cfRule>
    <cfRule type="containsText" priority="2698" operator="containsText" dxfId="39" stopIfTrue="1" text="疫苗">
      <formula>NOT(ISERROR(SEARCH("疫苗",D41)))</formula>
    </cfRule>
    <cfRule type="containsText" priority="2699" operator="containsText" dxfId="0" stopIfTrue="1" text="勞假">
      <formula>NOT(ISERROR(SEARCH("勞假",D41)))</formula>
    </cfRule>
    <cfRule type="containsText" priority="2700" operator="containsText" dxfId="36" stopIfTrue="1" text="補假">
      <formula>NOT(ISERROR(SEARCH("補假",D41)))</formula>
    </cfRule>
    <cfRule type="containsText" priority="2701" operator="containsText" dxfId="35" stopIfTrue="1" text="例假">
      <formula>NOT(ISERROR(SEARCH("例假",D41)))</formula>
    </cfRule>
    <cfRule type="containsText" priority="2702" operator="containsText" dxfId="4" stopIfTrue="1" text="病假">
      <formula>NOT(ISERROR(SEARCH("病假",D41)))</formula>
    </cfRule>
    <cfRule type="containsText" priority="2703" operator="containsText" dxfId="34" stopIfTrue="1" text="大假">
      <formula>NOT(ISERROR(SEARCH("大假",D41)))</formula>
    </cfRule>
    <cfRule type="containsText" priority="2704" operator="containsText" dxfId="37" stopIfTrue="1" text="無薪">
      <formula>NOT(ISERROR(SEARCH("無薪",D41)))</formula>
    </cfRule>
    <cfRule type="containsText" priority="2705" operator="containsText" dxfId="38" stopIfTrue="1" text="TIL">
      <formula>NOT(ISERROR(SEARCH("TIL",D41)))</formula>
    </cfRule>
    <cfRule type="containsText" priority="2706" operator="containsText" dxfId="39" stopIfTrue="1" text="疫苗">
      <formula>NOT(ISERROR(SEARCH("疫苗",D41)))</formula>
    </cfRule>
    <cfRule type="containsText" priority="2707" operator="containsText" dxfId="0" stopIfTrue="1" text="勞假">
      <formula>NOT(ISERROR(SEARCH("勞假",D41)))</formula>
    </cfRule>
    <cfRule type="containsText" priority="2708" operator="containsText" dxfId="36" stopIfTrue="1" text="補假">
      <formula>NOT(ISERROR(SEARCH("補假",D41)))</formula>
    </cfRule>
    <cfRule type="containsText" priority="2709" operator="containsText" dxfId="35" stopIfTrue="1" text="例假">
      <formula>NOT(ISERROR(SEARCH("例假",D41)))</formula>
    </cfRule>
    <cfRule type="containsText" priority="2710" operator="containsText" dxfId="4" stopIfTrue="1" text="病假">
      <formula>NOT(ISERROR(SEARCH("病假",D41)))</formula>
    </cfRule>
    <cfRule type="containsText" priority="2711" operator="containsText" dxfId="34" stopIfTrue="1" text="大假">
      <formula>NOT(ISERROR(SEARCH("大假",D41)))</formula>
    </cfRule>
    <cfRule type="containsText" priority="2712" operator="containsText" dxfId="37" stopIfTrue="1" text="無薪">
      <formula>NOT(ISERROR(SEARCH("無薪",D41)))</formula>
    </cfRule>
    <cfRule type="containsText" priority="2713" operator="containsText" dxfId="38" stopIfTrue="1" text="TIL">
      <formula>NOT(ISERROR(SEARCH("TIL",D41)))</formula>
    </cfRule>
    <cfRule type="containsText" priority="2714" operator="containsText" dxfId="39" stopIfTrue="1" text="疫苗">
      <formula>NOT(ISERROR(SEARCH("疫苗",D41)))</formula>
    </cfRule>
    <cfRule type="containsText" priority="2715" operator="containsText" dxfId="0" stopIfTrue="1" text="勞假">
      <formula>NOT(ISERROR(SEARCH("勞假",D41)))</formula>
    </cfRule>
    <cfRule type="containsText" priority="2716" operator="containsText" dxfId="36" stopIfTrue="1" text="補假">
      <formula>NOT(ISERROR(SEARCH("補假",D41)))</formula>
    </cfRule>
    <cfRule type="containsText" priority="2717" operator="containsText" dxfId="35" stopIfTrue="1" text="例假">
      <formula>NOT(ISERROR(SEARCH("例假",D41)))</formula>
    </cfRule>
    <cfRule type="containsText" priority="2718" operator="containsText" dxfId="4" stopIfTrue="1" text="病假">
      <formula>NOT(ISERROR(SEARCH("病假",D41)))</formula>
    </cfRule>
    <cfRule type="containsText" priority="2719" operator="containsText" dxfId="34" stopIfTrue="1" text="大假">
      <formula>NOT(ISERROR(SEARCH("大假",D41)))</formula>
    </cfRule>
    <cfRule type="containsText" priority="2753" operator="containsText" dxfId="38" stopIfTrue="1" text="TIL">
      <formula>NOT(ISERROR(SEARCH("TIL",D41)))</formula>
    </cfRule>
    <cfRule type="containsText" priority="2754" operator="containsText" dxfId="39" stopIfTrue="1" text="疫苗">
      <formula>NOT(ISERROR(SEARCH("疫苗",D41)))</formula>
    </cfRule>
    <cfRule type="containsText" priority="2755" operator="containsText" dxfId="0" stopIfTrue="1" text="勞假">
      <formula>NOT(ISERROR(SEARCH("勞假",D41)))</formula>
    </cfRule>
    <cfRule type="containsText" priority="2756" operator="containsText" dxfId="36" stopIfTrue="1" text="補假">
      <formula>NOT(ISERROR(SEARCH("補假",D41)))</formula>
    </cfRule>
    <cfRule type="containsText" priority="2757" operator="containsText" dxfId="35" stopIfTrue="1" text="例假">
      <formula>NOT(ISERROR(SEARCH("例假",D41)))</formula>
    </cfRule>
    <cfRule type="containsText" priority="2758" operator="containsText" dxfId="4" stopIfTrue="1" text="病假">
      <formula>NOT(ISERROR(SEARCH("病假",D41)))</formula>
    </cfRule>
    <cfRule type="containsText" priority="2759" operator="containsText" dxfId="34" stopIfTrue="1" text="大假">
      <formula>NOT(ISERROR(SEARCH("大假",D41)))</formula>
    </cfRule>
    <cfRule type="containsText" priority="2760" operator="containsText" dxfId="37" stopIfTrue="1" text="無薪">
      <formula>NOT(ISERROR(SEARCH("無薪",D41)))</formula>
    </cfRule>
  </conditionalFormatting>
  <conditionalFormatting sqref="D45 K45 R45 Y45">
    <cfRule type="containsText" priority="1240" operator="containsText" dxfId="4" stopIfTrue="1" text="病假">
      <formula>NOT(ISERROR(SEARCH("病假",D45)))</formula>
    </cfRule>
    <cfRule type="cellIs" priority="1246" operator="equal" dxfId="1058">
      <formula>"AL"</formula>
    </cfRule>
  </conditionalFormatting>
  <conditionalFormatting sqref="D46 K46 R46 Y46">
    <cfRule type="containsText" priority="1194" operator="containsText" dxfId="4" stopIfTrue="1" text="病假">
      <formula>NOT(ISERROR(SEARCH("病假",D46)))</formula>
    </cfRule>
  </conditionalFormatting>
  <conditionalFormatting sqref="D46:D47 K46:K47 R46:R47 Y46:Y47">
    <cfRule type="cellIs" priority="1207" operator="equal" dxfId="861">
      <formula>"CL"</formula>
    </cfRule>
    <cfRule type="cellIs" priority="1209" operator="equal" dxfId="860">
      <formula>"E"</formula>
    </cfRule>
    <cfRule type="cellIs" priority="1220" operator="equal" dxfId="847">
      <formula>"NSH"</formula>
    </cfRule>
    <cfRule type="cellIs" priority="1222" operator="equal" dxfId="863">
      <formula>"CF"</formula>
    </cfRule>
    <cfRule type="cellIs" priority="1223" operator="equal" dxfId="862">
      <formula>"CW"</formula>
    </cfRule>
    <cfRule type="cellIs" priority="1227" operator="equal" dxfId="1058">
      <formula>"AL"</formula>
    </cfRule>
    <cfRule type="cellIs" priority="1186" operator="equal" dxfId="859">
      <formula>"SR"</formula>
    </cfRule>
  </conditionalFormatting>
  <conditionalFormatting sqref="D47 K47 R47 Y47">
    <cfRule type="cellIs" priority="1211" operator="equal" dxfId="1063">
      <formula>"CW"</formula>
    </cfRule>
    <cfRule type="cellIs" priority="1212" operator="equal" dxfId="24">
      <formula>"VO"</formula>
    </cfRule>
    <cfRule type="cellIs" priority="1213" operator="equal" dxfId="48">
      <formula>"NP"</formula>
    </cfRule>
    <cfRule type="cellIs" priority="1214" operator="equal" dxfId="24">
      <formula>"MOU"</formula>
    </cfRule>
    <cfRule type="cellIs" priority="1215" operator="equal" dxfId="24">
      <formula>"VO, MOU, CW, CF"</formula>
    </cfRule>
    <cfRule type="containsText" priority="1219" operator="containsText" dxfId="4" stopIfTrue="1" text="病假">
      <formula>NOT(ISERROR(SEARCH("病假",D47)))</formula>
    </cfRule>
  </conditionalFormatting>
  <conditionalFormatting sqref="D41:E41">
    <cfRule type="containsText" priority="2649" operator="containsText" dxfId="37" stopIfTrue="1" text="無薪">
      <formula>NOT(ISERROR(SEARCH("無薪",D41)))</formula>
    </cfRule>
    <cfRule type="containsText" priority="2665" operator="containsText" dxfId="38" stopIfTrue="1" text="TIL">
      <formula>NOT(ISERROR(SEARCH("TIL",D41)))</formula>
    </cfRule>
    <cfRule type="containsText" priority="2669" operator="containsText" dxfId="39" stopIfTrue="1" text="疫苗">
      <formula>NOT(ISERROR(SEARCH("疫苗",D41)))</formula>
    </cfRule>
    <cfRule type="containsText" priority="2670" operator="containsText" dxfId="0" stopIfTrue="1" text="勞假">
      <formula>NOT(ISERROR(SEARCH("勞假",D41)))</formula>
    </cfRule>
    <cfRule type="containsText" priority="2671" operator="containsText" dxfId="36" stopIfTrue="1" text="補假">
      <formula>NOT(ISERROR(SEARCH("補假",D41)))</formula>
    </cfRule>
    <cfRule type="containsText" priority="2672" operator="containsText" dxfId="35" stopIfTrue="1" text="例假">
      <formula>NOT(ISERROR(SEARCH("例假",D41)))</formula>
    </cfRule>
    <cfRule type="containsText" priority="2673" operator="containsText" dxfId="4" stopIfTrue="1" text="病假">
      <formula>NOT(ISERROR(SEARCH("病假",D41)))</formula>
    </cfRule>
    <cfRule type="containsText" priority="2674" operator="containsText" dxfId="34" stopIfTrue="1" text="大假">
      <formula>NOT(ISERROR(SEARCH("大假",D41)))</formula>
    </cfRule>
    <cfRule type="containsText" priority="2690" operator="containsText" dxfId="38" stopIfTrue="1" text="TIL">
      <formula>NOT(ISERROR(SEARCH("TIL",D41)))</formula>
    </cfRule>
    <cfRule type="containsText" priority="2720" operator="containsText" dxfId="37" stopIfTrue="1" text="無薪">
      <formula>NOT(ISERROR(SEARCH("無薪",D41)))</formula>
    </cfRule>
    <cfRule type="cellIs" priority="2739" operator="equal" dxfId="24">
      <formula>"NC"</formula>
    </cfRule>
    <cfRule type="cellIs" priority="2740" operator="equal" dxfId="24">
      <formula>"nd"</formula>
    </cfRule>
    <cfRule type="cellIs" priority="2741" operator="equal" dxfId="24">
      <formula>0</formula>
    </cfRule>
    <cfRule type="cellIs" priority="2743" operator="equal" dxfId="48">
      <formula>"NH12"</formula>
    </cfRule>
    <cfRule type="cellIs" priority="2744" operator="equal" dxfId="48">
      <formula>"Nh11"</formula>
    </cfRule>
    <cfRule type="containsText" priority="2745" operator="containsText" dxfId="38" stopIfTrue="1" text="TIL">
      <formula>NOT(ISERROR(SEARCH("TIL",D41)))</formula>
    </cfRule>
    <cfRule type="containsText" priority="2746" operator="containsText" dxfId="39" stopIfTrue="1" text="疫苗">
      <formula>NOT(ISERROR(SEARCH("疫苗",D41)))</formula>
    </cfRule>
    <cfRule type="containsText" priority="2747" operator="containsText" dxfId="0" stopIfTrue="1" text="勞假">
      <formula>NOT(ISERROR(SEARCH("勞假",D41)))</formula>
    </cfRule>
    <cfRule type="containsText" priority="2748" operator="containsText" dxfId="36" stopIfTrue="1" text="補假">
      <formula>NOT(ISERROR(SEARCH("補假",D41)))</formula>
    </cfRule>
    <cfRule type="containsText" priority="2749" operator="containsText" dxfId="35" stopIfTrue="1" text="例假">
      <formula>NOT(ISERROR(SEARCH("例假",D41)))</formula>
    </cfRule>
    <cfRule type="containsText" priority="2750" operator="containsText" dxfId="4" stopIfTrue="1" text="病假">
      <formula>NOT(ISERROR(SEARCH("病假",D41)))</formula>
    </cfRule>
    <cfRule type="containsText" priority="2751" operator="containsText" dxfId="34" stopIfTrue="1" text="大假">
      <formula>NOT(ISERROR(SEARCH("大假",D41)))</formula>
    </cfRule>
    <cfRule type="containsText" priority="2752" operator="containsText" dxfId="37" stopIfTrue="1" text="無薪">
      <formula>NOT(ISERROR(SEARCH("無薪",D41)))</formula>
    </cfRule>
    <cfRule type="containsText" priority="2761" operator="containsText" dxfId="39" stopIfTrue="1" text="疫苗">
      <formula>NOT(ISERROR(SEARCH("疫苗",D41)))</formula>
    </cfRule>
    <cfRule type="containsText" priority="2762" operator="containsText" dxfId="0" stopIfTrue="1" text="勞假">
      <formula>NOT(ISERROR(SEARCH("勞假",D41)))</formula>
    </cfRule>
    <cfRule type="containsText" priority="2763" operator="containsText" dxfId="36" stopIfTrue="1" text="補假">
      <formula>NOT(ISERROR(SEARCH("補假",D41)))</formula>
    </cfRule>
    <cfRule type="containsText" priority="2764" operator="containsText" dxfId="35" stopIfTrue="1" text="例假">
      <formula>NOT(ISERROR(SEARCH("例假",D41)))</formula>
    </cfRule>
    <cfRule type="containsText" priority="2765" operator="containsText" dxfId="4" stopIfTrue="1" text="病假">
      <formula>NOT(ISERROR(SEARCH("病假",D41)))</formula>
    </cfRule>
    <cfRule type="containsText" priority="2766" operator="containsText" dxfId="34" stopIfTrue="1" text="大假">
      <formula>NOT(ISERROR(SEARCH("大假",D41)))</formula>
    </cfRule>
  </conditionalFormatting>
  <conditionalFormatting sqref="D10:P10 E11:K11 F18:AE34 M11:Z11 AB11:AE11">
    <cfRule type="containsText" priority="4005" operator="containsText" dxfId="4" text="RD">
      <formula>NOT(ISERROR(SEARCH("RD",D10)))</formula>
    </cfRule>
    <cfRule type="containsText" priority="4006" operator="containsText" dxfId="405" text="NP">
      <formula>NOT(ISERROR(SEARCH("NP",D10)))</formula>
    </cfRule>
  </conditionalFormatting>
  <conditionalFormatting sqref="B18:E34 D18:Q18 D19:X19 D20:AE20">
    <cfRule type="cellIs" priority="3957" operator="equal" dxfId="23">
      <formula>"R"</formula>
    </cfRule>
  </conditionalFormatting>
  <conditionalFormatting sqref="D18:E34 D18:Q18 D19:X19 D20:AE20">
    <cfRule type="containsText" priority="3878" operator="containsText" dxfId="38" stopIfTrue="1" text="TIL">
      <formula>NOT(ISERROR(SEARCH("TIL",D18)))</formula>
    </cfRule>
    <cfRule type="containsText" priority="3903" operator="containsText" dxfId="38" stopIfTrue="1" text="TIL">
      <formula>NOT(ISERROR(SEARCH("TIL",D18)))</formula>
    </cfRule>
    <cfRule type="containsText" priority="3934" operator="containsText" dxfId="37" stopIfTrue="1" text="無薪">
      <formula>NOT(ISERROR(SEARCH("無薪",D18)))</formula>
    </cfRule>
    <cfRule type="cellIs" priority="3954" operator="equal" dxfId="24">
      <formula>"NC"</formula>
    </cfRule>
    <cfRule type="cellIs" priority="3955" operator="equal" dxfId="24">
      <formula>"nd"</formula>
    </cfRule>
    <cfRule type="cellIs" priority="3956" operator="equal" dxfId="24">
      <formula>0</formula>
    </cfRule>
    <cfRule type="cellIs" priority="3958" operator="equal" dxfId="48">
      <formula>"NH12"</formula>
    </cfRule>
    <cfRule type="cellIs" priority="3959" operator="equal" dxfId="48">
      <formula>"Nh11"</formula>
    </cfRule>
    <cfRule type="containsText" priority="3960" operator="containsText" dxfId="38" stopIfTrue="1" text="TIL">
      <formula>NOT(ISERROR(SEARCH("TIL",D18)))</formula>
    </cfRule>
    <cfRule type="containsText" priority="3962" operator="containsText" dxfId="39" stopIfTrue="1" text="疫苗">
      <formula>NOT(ISERROR(SEARCH("疫苗",D18)))</formula>
    </cfRule>
    <cfRule type="containsText" priority="3963" operator="containsText" dxfId="0" stopIfTrue="1" text="勞假">
      <formula>NOT(ISERROR(SEARCH("勞假",D18)))</formula>
    </cfRule>
    <cfRule type="containsText" priority="3964" operator="containsText" dxfId="36" stopIfTrue="1" text="補假">
      <formula>NOT(ISERROR(SEARCH("補假",D18)))</formula>
    </cfRule>
    <cfRule type="containsText" priority="3965" operator="containsText" dxfId="35" stopIfTrue="1" text="例假">
      <formula>NOT(ISERROR(SEARCH("例假",D18)))</formula>
    </cfRule>
    <cfRule type="containsText" priority="3966" operator="containsText" dxfId="4" stopIfTrue="1" text="病假">
      <formula>NOT(ISERROR(SEARCH("病假",D18)))</formula>
    </cfRule>
    <cfRule type="containsText" priority="3967" operator="containsText" dxfId="34" stopIfTrue="1" text="大假">
      <formula>NOT(ISERROR(SEARCH("大假",D18)))</formula>
    </cfRule>
    <cfRule type="containsText" priority="3968" operator="containsText" dxfId="37" stopIfTrue="1" text="無薪">
      <formula>NOT(ISERROR(SEARCH("無薪",D18)))</formula>
    </cfRule>
    <cfRule type="containsText" priority="3977" operator="containsText" dxfId="39" stopIfTrue="1" text="疫苗">
      <formula>NOT(ISERROR(SEARCH("疫苗",D18)))</formula>
    </cfRule>
    <cfRule type="containsText" priority="3978" operator="containsText" dxfId="0" stopIfTrue="1" text="勞假">
      <formula>NOT(ISERROR(SEARCH("勞假",D18)))</formula>
    </cfRule>
    <cfRule type="containsText" priority="3979" operator="containsText" dxfId="36" stopIfTrue="1" text="補假">
      <formula>NOT(ISERROR(SEARCH("補假",D18)))</formula>
    </cfRule>
    <cfRule type="containsText" priority="3980" operator="containsText" dxfId="35" stopIfTrue="1" text="例假">
      <formula>NOT(ISERROR(SEARCH("例假",D18)))</formula>
    </cfRule>
    <cfRule type="containsText" priority="3981" operator="containsText" dxfId="4" stopIfTrue="1" text="病假">
      <formula>NOT(ISERROR(SEARCH("病假",D18)))</formula>
    </cfRule>
    <cfRule type="containsText" priority="3982" operator="containsText" dxfId="34" stopIfTrue="1" text="大假">
      <formula>NOT(ISERROR(SEARCH("大假",D18)))</formula>
    </cfRule>
  </conditionalFormatting>
  <conditionalFormatting sqref="D11:R11 D18:AE34">
    <cfRule type="cellIs" priority="2806" operator="equal" dxfId="61">
      <formula>"VO"</formula>
    </cfRule>
    <cfRule type="cellIs" priority="2807" operator="equal" dxfId="61">
      <formula>"CW"</formula>
    </cfRule>
    <cfRule type="cellIs" priority="2808" operator="equal" dxfId="61">
      <formula>"CF"</formula>
    </cfRule>
  </conditionalFormatting>
  <conditionalFormatting sqref="D11:R11">
    <cfRule type="containsText" priority="2804" operator="containsText" dxfId="4" text="RD">
      <formula>NOT(ISERROR(SEARCH("RD",D11)))</formula>
    </cfRule>
    <cfRule type="containsText" priority="2805" operator="containsText" dxfId="405" text="NP">
      <formula>NOT(ISERROR(SEARCH("NP",D11)))</formula>
    </cfRule>
    <cfRule type="containsText" priority="2809" operator="containsText" dxfId="37" stopIfTrue="1" text="無薪">
      <formula>NOT(ISERROR(SEARCH("無薪",D11)))</formula>
    </cfRule>
    <cfRule type="containsText" priority="2810" operator="containsText" dxfId="38" stopIfTrue="1" text="TIL">
      <formula>NOT(ISERROR(SEARCH("TIL",D11)))</formula>
    </cfRule>
    <cfRule type="containsText" priority="2811" operator="containsText" dxfId="39" stopIfTrue="1" text="疫苗">
      <formula>NOT(ISERROR(SEARCH("疫苗",D11)))</formula>
    </cfRule>
    <cfRule type="containsText" priority="2812" operator="containsText" dxfId="0" stopIfTrue="1" text="勞假">
      <formula>NOT(ISERROR(SEARCH("勞假",D11)))</formula>
    </cfRule>
    <cfRule type="containsText" priority="2813" operator="containsText" dxfId="36" stopIfTrue="1" text="補假">
      <formula>NOT(ISERROR(SEARCH("補假",D11)))</formula>
    </cfRule>
    <cfRule type="containsText" priority="2814" operator="containsText" dxfId="35" stopIfTrue="1" text="例假">
      <formula>NOT(ISERROR(SEARCH("例假",D11)))</formula>
    </cfRule>
    <cfRule type="containsText" priority="2815" operator="containsText" dxfId="4" stopIfTrue="1" text="病假">
      <formula>NOT(ISERROR(SEARCH("病假",D11)))</formula>
    </cfRule>
    <cfRule type="containsText" priority="2816" operator="containsText" dxfId="34" stopIfTrue="1" text="大假">
      <formula>NOT(ISERROR(SEARCH("大假",D11)))</formula>
    </cfRule>
    <cfRule type="containsText" priority="2817" operator="containsText" dxfId="37" stopIfTrue="1" text="無薪">
      <formula>NOT(ISERROR(SEARCH("無薪",D11)))</formula>
    </cfRule>
    <cfRule type="containsText" priority="2818" operator="containsText" dxfId="38" stopIfTrue="1" text="TIL">
      <formula>NOT(ISERROR(SEARCH("TIL",D11)))</formula>
    </cfRule>
    <cfRule type="containsText" priority="2819" operator="containsText" dxfId="39" stopIfTrue="1" text="疫苗">
      <formula>NOT(ISERROR(SEARCH("疫苗",D11)))</formula>
    </cfRule>
    <cfRule type="containsText" priority="2820" operator="containsText" dxfId="0" stopIfTrue="1" text="勞假">
      <formula>NOT(ISERROR(SEARCH("勞假",D11)))</formula>
    </cfRule>
    <cfRule type="containsText" priority="2821" operator="containsText" dxfId="36" stopIfTrue="1" text="補假">
      <formula>NOT(ISERROR(SEARCH("補假",D11)))</formula>
    </cfRule>
    <cfRule type="containsText" priority="2822" operator="containsText" dxfId="35" stopIfTrue="1" text="例假">
      <formula>NOT(ISERROR(SEARCH("例假",D11)))</formula>
    </cfRule>
    <cfRule type="containsText" priority="2823" operator="containsText" dxfId="4" stopIfTrue="1" text="病假">
      <formula>NOT(ISERROR(SEARCH("病假",D11)))</formula>
    </cfRule>
    <cfRule type="containsText" priority="2824" operator="containsText" dxfId="34" stopIfTrue="1" text="大假">
      <formula>NOT(ISERROR(SEARCH("大假",D11)))</formula>
    </cfRule>
    <cfRule type="containsText" priority="2825" operator="containsText" dxfId="38" stopIfTrue="1" text="TIL">
      <formula>NOT(ISERROR(SEARCH("TIL",D11)))</formula>
    </cfRule>
    <cfRule type="cellIs" priority="2826" operator="equal" dxfId="4" stopIfTrue="1">
      <formula>"NP"</formula>
    </cfRule>
    <cfRule type="cellIs" priority="2827" operator="equal" dxfId="25" stopIfTrue="1">
      <formula>"RD"</formula>
    </cfRule>
    <cfRule type="containsText" priority="2828" operator="containsText" dxfId="38" stopIfTrue="1" text="TIL">
      <formula>NOT(ISERROR(SEARCH("TIL",D11)))</formula>
    </cfRule>
    <cfRule type="containsText" priority="2829" operator="containsText" dxfId="39" stopIfTrue="1" text="疫苗">
      <formula>NOT(ISERROR(SEARCH("疫苗",D11)))</formula>
    </cfRule>
    <cfRule type="containsText" priority="2830" operator="containsText" dxfId="0" stopIfTrue="1" text="勞假">
      <formula>NOT(ISERROR(SEARCH("勞假",D11)))</formula>
    </cfRule>
    <cfRule type="containsText" priority="2831" operator="containsText" dxfId="36" stopIfTrue="1" text="補假">
      <formula>NOT(ISERROR(SEARCH("補假",D11)))</formula>
    </cfRule>
    <cfRule type="containsText" priority="2832" operator="containsText" dxfId="35" stopIfTrue="1" text="例假">
      <formula>NOT(ISERROR(SEARCH("例假",D11)))</formula>
    </cfRule>
    <cfRule type="containsText" priority="2833" operator="containsText" dxfId="4" stopIfTrue="1" text="病假">
      <formula>NOT(ISERROR(SEARCH("病假",D11)))</formula>
    </cfRule>
    <cfRule type="containsText" priority="2834" operator="containsText" dxfId="34" stopIfTrue="1" text="大假">
      <formula>NOT(ISERROR(SEARCH("大假",D11)))</formula>
    </cfRule>
    <cfRule type="containsText" priority="2835" operator="containsText" dxfId="38" stopIfTrue="1" text="TIL">
      <formula>NOT(ISERROR(SEARCH("TIL",D11)))</formula>
    </cfRule>
    <cfRule type="containsText" priority="2836" operator="containsText" dxfId="39" stopIfTrue="1" text="疫苗">
      <formula>NOT(ISERROR(SEARCH("疫苗",D11)))</formula>
    </cfRule>
    <cfRule type="containsText" priority="2837" operator="containsText" dxfId="0" stopIfTrue="1" text="勞假">
      <formula>NOT(ISERROR(SEARCH("勞假",D11)))</formula>
    </cfRule>
    <cfRule type="containsText" priority="2838" operator="containsText" dxfId="36" stopIfTrue="1" text="補假">
      <formula>NOT(ISERROR(SEARCH("補假",D11)))</formula>
    </cfRule>
    <cfRule type="containsText" priority="2839" operator="containsText" dxfId="35" stopIfTrue="1" text="例假">
      <formula>NOT(ISERROR(SEARCH("例假",D11)))</formula>
    </cfRule>
    <cfRule type="containsText" priority="2840" operator="containsText" dxfId="4" stopIfTrue="1" text="病假">
      <formula>NOT(ISERROR(SEARCH("病假",D11)))</formula>
    </cfRule>
    <cfRule type="containsText" priority="2841" operator="containsText" dxfId="34" stopIfTrue="1" text="大假">
      <formula>NOT(ISERROR(SEARCH("大假",D11)))</formula>
    </cfRule>
    <cfRule type="containsText" priority="2842" operator="containsText" dxfId="37" stopIfTrue="1" text="無薪">
      <formula>NOT(ISERROR(SEARCH("無薪",D11)))</formula>
    </cfRule>
    <cfRule type="containsText" priority="2843" operator="containsText" dxfId="39" stopIfTrue="1" text="疫苗">
      <formula>NOT(ISERROR(SEARCH("疫苗",D11)))</formula>
    </cfRule>
    <cfRule type="containsText" priority="2844" operator="containsText" dxfId="0" stopIfTrue="1" text="勞假">
      <formula>NOT(ISERROR(SEARCH("勞假",D11)))</formula>
    </cfRule>
    <cfRule type="containsText" priority="2845" operator="containsText" dxfId="36" stopIfTrue="1" text="補假">
      <formula>NOT(ISERROR(SEARCH("補假",D11)))</formula>
    </cfRule>
    <cfRule type="containsText" priority="2846" operator="containsText" dxfId="35" stopIfTrue="1" text="例假">
      <formula>NOT(ISERROR(SEARCH("例假",D11)))</formula>
    </cfRule>
    <cfRule type="containsText" priority="2847" operator="containsText" dxfId="4" stopIfTrue="1" text="病假">
      <formula>NOT(ISERROR(SEARCH("病假",D11)))</formula>
    </cfRule>
    <cfRule type="containsText" priority="2848" operator="containsText" dxfId="34" stopIfTrue="1" text="大假">
      <formula>NOT(ISERROR(SEARCH("大假",D11)))</formula>
    </cfRule>
    <cfRule type="containsText" priority="2849" operator="containsText" dxfId="37" stopIfTrue="1" text="無薪">
      <formula>NOT(ISERROR(SEARCH("無薪",D11)))</formula>
    </cfRule>
    <cfRule type="containsText" priority="2850" operator="containsText" dxfId="38" stopIfTrue="1" text="TIL">
      <formula>NOT(ISERROR(SEARCH("TIL",D11)))</formula>
    </cfRule>
    <cfRule type="containsText" priority="2851" operator="containsText" dxfId="39" stopIfTrue="1" text="疫苗">
      <formula>NOT(ISERROR(SEARCH("疫苗",D11)))</formula>
    </cfRule>
    <cfRule type="containsText" priority="2852" operator="containsText" dxfId="0" stopIfTrue="1" text="勞假">
      <formula>NOT(ISERROR(SEARCH("勞假",D11)))</formula>
    </cfRule>
    <cfRule type="containsText" priority="2853" operator="containsText" dxfId="36" stopIfTrue="1" text="補假">
      <formula>NOT(ISERROR(SEARCH("補假",D11)))</formula>
    </cfRule>
    <cfRule type="containsText" priority="2854" operator="containsText" dxfId="35" stopIfTrue="1" text="例假">
      <formula>NOT(ISERROR(SEARCH("例假",D11)))</formula>
    </cfRule>
    <cfRule type="containsText" priority="2855" operator="containsText" dxfId="4" stopIfTrue="1" text="病假">
      <formula>NOT(ISERROR(SEARCH("病假",D11)))</formula>
    </cfRule>
    <cfRule type="containsText" priority="2856" operator="containsText" dxfId="34" stopIfTrue="1" text="大假">
      <formula>NOT(ISERROR(SEARCH("大假",D11)))</formula>
    </cfRule>
    <cfRule type="containsText" priority="2857" operator="containsText" dxfId="37" stopIfTrue="1" text="無薪">
      <formula>NOT(ISERROR(SEARCH("無薪",D11)))</formula>
    </cfRule>
    <cfRule type="containsText" priority="2858" operator="containsText" dxfId="38" stopIfTrue="1" text="TIL">
      <formula>NOT(ISERROR(SEARCH("TIL",D11)))</formula>
    </cfRule>
    <cfRule type="containsText" priority="2859" operator="containsText" dxfId="39" stopIfTrue="1" text="疫苗">
      <formula>NOT(ISERROR(SEARCH("疫苗",D11)))</formula>
    </cfRule>
    <cfRule type="containsText" priority="2860" operator="containsText" dxfId="0" stopIfTrue="1" text="勞假">
      <formula>NOT(ISERROR(SEARCH("勞假",D11)))</formula>
    </cfRule>
    <cfRule type="containsText" priority="2861" operator="containsText" dxfId="36" stopIfTrue="1" text="補假">
      <formula>NOT(ISERROR(SEARCH("補假",D11)))</formula>
    </cfRule>
    <cfRule type="containsText" priority="2862" operator="containsText" dxfId="35" stopIfTrue="1" text="例假">
      <formula>NOT(ISERROR(SEARCH("例假",D11)))</formula>
    </cfRule>
    <cfRule type="containsText" priority="2863" operator="containsText" dxfId="4" stopIfTrue="1" text="病假">
      <formula>NOT(ISERROR(SEARCH("病假",D11)))</formula>
    </cfRule>
    <cfRule type="containsText" priority="2864" operator="containsText" dxfId="34" stopIfTrue="1" text="大假">
      <formula>NOT(ISERROR(SEARCH("大假",D11)))</formula>
    </cfRule>
    <cfRule type="containsText" priority="2865" operator="containsText" dxfId="37" stopIfTrue="1" text="無薪">
      <formula>NOT(ISERROR(SEARCH("無薪",D11)))</formula>
    </cfRule>
    <cfRule type="cellIs" priority="2866" operator="equal" dxfId="24">
      <formula>"NC"</formula>
    </cfRule>
    <cfRule type="cellIs" priority="2867" operator="equal" dxfId="24">
      <formula>"nd"</formula>
    </cfRule>
    <cfRule type="cellIs" priority="2868" operator="equal" dxfId="24">
      <formula>0</formula>
    </cfRule>
    <cfRule type="cellIs" priority="2870" operator="equal" dxfId="48">
      <formula>"NH12"</formula>
    </cfRule>
    <cfRule type="cellIs" priority="2871" operator="equal" dxfId="48">
      <formula>"Nh11"</formula>
    </cfRule>
    <cfRule type="containsText" priority="2872" operator="containsText" dxfId="38" stopIfTrue="1" text="TIL">
      <formula>NOT(ISERROR(SEARCH("TIL",D11)))</formula>
    </cfRule>
    <cfRule type="containsText" priority="2873" operator="containsText" dxfId="39" stopIfTrue="1" text="疫苗">
      <formula>NOT(ISERROR(SEARCH("疫苗",D11)))</formula>
    </cfRule>
    <cfRule type="containsText" priority="2874" operator="containsText" dxfId="0" stopIfTrue="1" text="勞假">
      <formula>NOT(ISERROR(SEARCH("勞假",D11)))</formula>
    </cfRule>
    <cfRule type="containsText" priority="2875" operator="containsText" dxfId="36" stopIfTrue="1" text="補假">
      <formula>NOT(ISERROR(SEARCH("補假",D11)))</formula>
    </cfRule>
    <cfRule type="containsText" priority="2876" operator="containsText" dxfId="35" stopIfTrue="1" text="例假">
      <formula>NOT(ISERROR(SEARCH("例假",D11)))</formula>
    </cfRule>
    <cfRule type="containsText" priority="2877" operator="containsText" dxfId="4" stopIfTrue="1" text="病假">
      <formula>NOT(ISERROR(SEARCH("病假",D11)))</formula>
    </cfRule>
    <cfRule type="containsText" priority="2878" operator="containsText" dxfId="34" stopIfTrue="1" text="大假">
      <formula>NOT(ISERROR(SEARCH("大假",D11)))</formula>
    </cfRule>
    <cfRule type="containsText" priority="2879" operator="containsText" dxfId="37" stopIfTrue="1" text="無薪">
      <formula>NOT(ISERROR(SEARCH("無薪",D11)))</formula>
    </cfRule>
    <cfRule type="containsText" priority="2880" operator="containsText" dxfId="38" stopIfTrue="1" text="TIL">
      <formula>NOT(ISERROR(SEARCH("TIL",D11)))</formula>
    </cfRule>
    <cfRule type="containsText" priority="2881" operator="containsText" dxfId="39" stopIfTrue="1" text="疫苗">
      <formula>NOT(ISERROR(SEARCH("疫苗",D11)))</formula>
    </cfRule>
    <cfRule type="containsText" priority="2882" operator="containsText" dxfId="0" stopIfTrue="1" text="勞假">
      <formula>NOT(ISERROR(SEARCH("勞假",D11)))</formula>
    </cfRule>
    <cfRule type="containsText" priority="2883" operator="containsText" dxfId="36" stopIfTrue="1" text="補假">
      <formula>NOT(ISERROR(SEARCH("補假",D11)))</formula>
    </cfRule>
    <cfRule type="containsText" priority="2884" operator="containsText" dxfId="35" stopIfTrue="1" text="例假">
      <formula>NOT(ISERROR(SEARCH("例假",D11)))</formula>
    </cfRule>
    <cfRule type="containsText" priority="2885" operator="containsText" dxfId="4" stopIfTrue="1" text="病假">
      <formula>NOT(ISERROR(SEARCH("病假",D11)))</formula>
    </cfRule>
    <cfRule type="containsText" priority="2886" operator="containsText" dxfId="34" stopIfTrue="1" text="大假">
      <formula>NOT(ISERROR(SEARCH("大假",D11)))</formula>
    </cfRule>
    <cfRule type="containsText" priority="2887" operator="containsText" dxfId="37" stopIfTrue="1" text="無薪">
      <formula>NOT(ISERROR(SEARCH("無薪",D11)))</formula>
    </cfRule>
    <cfRule type="containsText" priority="2888" operator="containsText" dxfId="39" stopIfTrue="1" text="疫苗">
      <formula>NOT(ISERROR(SEARCH("疫苗",D11)))</formula>
    </cfRule>
    <cfRule type="containsText" priority="2889" operator="containsText" dxfId="0" stopIfTrue="1" text="勞假">
      <formula>NOT(ISERROR(SEARCH("勞假",D11)))</formula>
    </cfRule>
    <cfRule type="containsText" priority="2890" operator="containsText" dxfId="36" stopIfTrue="1" text="補假">
      <formula>NOT(ISERROR(SEARCH("補假",D11)))</formula>
    </cfRule>
    <cfRule type="containsText" priority="2891" operator="containsText" dxfId="35" stopIfTrue="1" text="例假">
      <formula>NOT(ISERROR(SEARCH("例假",D11)))</formula>
    </cfRule>
    <cfRule type="containsText" priority="2892" operator="containsText" dxfId="4" stopIfTrue="1" text="病假">
      <formula>NOT(ISERROR(SEARCH("病假",D11)))</formula>
    </cfRule>
    <cfRule type="containsText" priority="2893" operator="containsText" dxfId="34" stopIfTrue="1" text="大假">
      <formula>NOT(ISERROR(SEARCH("大假",D11)))</formula>
    </cfRule>
  </conditionalFormatting>
  <conditionalFormatting sqref="D19:X19 D20:AE20">
    <cfRule type="containsText" priority="3862" operator="containsText" dxfId="37" stopIfTrue="1" text="無薪">
      <formula>NOT(ISERROR(SEARCH("無薪",D19)))</formula>
    </cfRule>
  </conditionalFormatting>
  <conditionalFormatting sqref="D49:U49">
    <cfRule type="cellIs" priority="3989" operator="equal" dxfId="48">
      <formula>"NP"</formula>
    </cfRule>
  </conditionalFormatting>
  <conditionalFormatting sqref="D7:AE9">
    <cfRule type="expression" priority="1367" dxfId="852">
      <formula>LEFT(D$8,1)="H"</formula>
    </cfRule>
    <cfRule type="expression" priority="1368" dxfId="852">
      <formula>WEEKDAY(D$7,2)&gt;6</formula>
    </cfRule>
  </conditionalFormatting>
  <conditionalFormatting sqref="D10:AE11 E18:AE34">
    <cfRule type="cellIs" priority="2796" operator="equal" dxfId="405">
      <formula>"NSH"</formula>
    </cfRule>
  </conditionalFormatting>
  <conditionalFormatting sqref="B4:C9 B12:B15 B36:B38 B39:AE39 B45:B47 B48:AE48 D12:AE12 D13:D15 D36:D38 D45:D47 K47 R47 Y47 AN36:AN38 AN45:AN47 AO48:HQ51 BA22:HQ34">
    <cfRule type="cellIs" priority="7252" operator="equal" dxfId="4" stopIfTrue="1">
      <formula>"NP"</formula>
    </cfRule>
  </conditionalFormatting>
  <conditionalFormatting sqref="D12:AE12 D13:D15 D16:AE17 D35:AE35 K13:K15 R13:R15 Y13:Y15">
    <cfRule type="containsText" priority="8714" operator="containsText" dxfId="4" stopIfTrue="1" text="病假">
      <formula>NOT(ISERROR(SEARCH("病假",D12)))</formula>
    </cfRule>
  </conditionalFormatting>
  <conditionalFormatting sqref="D12:AE12 D13:D15 D16:AE17 K13:K15 R13:R15 Y13:Y15">
    <cfRule type="cellIs" priority="7455" operator="equal" dxfId="1063">
      <formula>"CW"</formula>
    </cfRule>
    <cfRule type="cellIs" priority="7456" operator="equal" dxfId="24">
      <formula>"VO"</formula>
    </cfRule>
  </conditionalFormatting>
  <conditionalFormatting sqref="D12:AE12 D13:D15 K13:K15 R13:R15 Y13:Y15">
    <cfRule type="cellIs" priority="7457" operator="equal" dxfId="48">
      <formula>"NP"</formula>
    </cfRule>
    <cfRule type="cellIs" priority="7458" operator="equal" dxfId="24">
      <formula>"MOU"</formula>
    </cfRule>
    <cfRule type="cellIs" priority="7459" operator="equal" dxfId="24">
      <formula>"VO, MOU, CW, CF"</formula>
    </cfRule>
  </conditionalFormatting>
  <conditionalFormatting sqref="D12:AE12 D13:D15 D16:AE17 D35:AE35 D36:D38 D39:AE40 K13:K15 K36:K38 R13:R15 R36:R38 Y13:Y15 Y36:Y38">
    <cfRule type="cellIs" priority="6602" operator="equal" dxfId="1058">
      <formula>"AL"</formula>
    </cfRule>
  </conditionalFormatting>
  <conditionalFormatting sqref="D12:AE13 D14:D15 D16:AE17 D35:AE36 D37:D38 D39:AE40 K14:K15 K37:K38 R14:R15 R37:R38 Y14:Y15 Y37:Y38">
    <cfRule type="cellIs" priority="5020" operator="equal" dxfId="863">
      <formula>"CF"</formula>
    </cfRule>
    <cfRule type="cellIs" priority="5131" operator="equal" dxfId="862">
      <formula>"CW"</formula>
    </cfRule>
  </conditionalFormatting>
  <conditionalFormatting sqref="D12:AE13 D14:D15 D16:AE17 K14:K15 R14:R15 Y14:Y15">
    <cfRule type="cellIs" priority="4738" operator="equal" dxfId="859">
      <formula>"SR"</formula>
    </cfRule>
  </conditionalFormatting>
  <conditionalFormatting sqref="D12:AE13 D14:D15 D16:AE17 D35:AE36 K14:K15 R14:R15 Y14:Y15">
    <cfRule type="cellIs" priority="6547" operator="equal" dxfId="861">
      <formula>"CL"</formula>
    </cfRule>
    <cfRule type="cellIs" priority="6572" operator="equal" dxfId="860">
      <formula>"E"</formula>
    </cfRule>
  </conditionalFormatting>
  <conditionalFormatting sqref="D16:AE17">
    <cfRule type="cellIs" priority="7354" operator="equal" dxfId="48">
      <formula>"NP"</formula>
    </cfRule>
    <cfRule type="cellIs" priority="7355" operator="equal" dxfId="24">
      <formula>"MOU"</formula>
    </cfRule>
    <cfRule type="cellIs" priority="7356" operator="equal" dxfId="24">
      <formula>"VO, MOU, CW, CF"</formula>
    </cfRule>
  </conditionalFormatting>
  <conditionalFormatting sqref="D36:AE36">
    <cfRule type="cellIs" priority="1279" operator="equal" dxfId="859">
      <formula>"SR"</formula>
    </cfRule>
  </conditionalFormatting>
  <conditionalFormatting sqref="D39:AE40">
    <cfRule type="cellIs" priority="4839" operator="equal" dxfId="861">
      <formula>"CL"</formula>
    </cfRule>
    <cfRule type="cellIs" priority="4840" operator="equal" dxfId="860">
      <formula>"E"</formula>
    </cfRule>
    <cfRule type="cellIs" priority="7931" operator="equal" dxfId="24">
      <formula>"MOU"</formula>
    </cfRule>
    <cfRule type="cellIs" priority="7932" operator="equal" dxfId="24">
      <formula>"CW"</formula>
    </cfRule>
    <cfRule type="cellIs" priority="7933" operator="equal" dxfId="24">
      <formula>"VO"</formula>
    </cfRule>
    <cfRule type="cellIs" priority="7934" operator="equal" dxfId="24">
      <formula>"VO, MOU, CW, CF"</formula>
    </cfRule>
  </conditionalFormatting>
  <conditionalFormatting sqref="D41:AE41">
    <cfRule type="cellIs" priority="2641" operator="equal" dxfId="61">
      <formula>"VO"</formula>
    </cfRule>
    <cfRule type="cellIs" priority="2642" operator="equal" dxfId="61">
      <formula>"CW"</formula>
    </cfRule>
    <cfRule type="cellIs" priority="2643" operator="equal" dxfId="61">
      <formula>"CF"</formula>
    </cfRule>
  </conditionalFormatting>
  <conditionalFormatting sqref="D42:AE42">
    <cfRule type="cellIs" priority="2007" operator="equal" dxfId="61">
      <formula>"VO"</formula>
    </cfRule>
    <cfRule type="cellIs" priority="2008" operator="equal" dxfId="61">
      <formula>"CW"</formula>
    </cfRule>
    <cfRule type="cellIs" priority="2009" operator="equal" dxfId="61">
      <formula>"CF"</formula>
    </cfRule>
    <cfRule type="containsText" priority="2014" operator="containsText" dxfId="37" stopIfTrue="1" text="無薪">
      <formula>NOT(ISERROR(SEARCH("無薪",D42)))</formula>
    </cfRule>
    <cfRule type="containsText" priority="2015" operator="containsText" dxfId="38" stopIfTrue="1" text="TIL">
      <formula>NOT(ISERROR(SEARCH("TIL",D42)))</formula>
    </cfRule>
    <cfRule type="containsText" priority="2016" operator="containsText" dxfId="39" stopIfTrue="1" text="疫苗">
      <formula>NOT(ISERROR(SEARCH("疫苗",D42)))</formula>
    </cfRule>
    <cfRule type="containsText" priority="2017" operator="containsText" dxfId="0" stopIfTrue="1" text="勞假">
      <formula>NOT(ISERROR(SEARCH("勞假",D42)))</formula>
    </cfRule>
    <cfRule type="containsText" priority="2018" operator="containsText" dxfId="36" stopIfTrue="1" text="補假">
      <formula>NOT(ISERROR(SEARCH("補假",D42)))</formula>
    </cfRule>
    <cfRule type="containsText" priority="2019" operator="containsText" dxfId="35" stopIfTrue="1" text="例假">
      <formula>NOT(ISERROR(SEARCH("例假",D42)))</formula>
    </cfRule>
    <cfRule type="containsText" priority="2020" operator="containsText" dxfId="4" stopIfTrue="1" text="病假">
      <formula>NOT(ISERROR(SEARCH("病假",D42)))</formula>
    </cfRule>
    <cfRule type="containsText" priority="2021" operator="containsText" dxfId="34" stopIfTrue="1" text="大假">
      <formula>NOT(ISERROR(SEARCH("大假",D42)))</formula>
    </cfRule>
    <cfRule type="containsText" priority="2022" operator="containsText" dxfId="37" stopIfTrue="1" text="無薪">
      <formula>NOT(ISERROR(SEARCH("無薪",D42)))</formula>
    </cfRule>
    <cfRule type="containsText" priority="2023" operator="containsText" dxfId="38" stopIfTrue="1" text="TIL">
      <formula>NOT(ISERROR(SEARCH("TIL",D42)))</formula>
    </cfRule>
    <cfRule type="containsText" priority="2024" operator="containsText" dxfId="39" stopIfTrue="1" text="疫苗">
      <formula>NOT(ISERROR(SEARCH("疫苗",D42)))</formula>
    </cfRule>
    <cfRule type="containsText" priority="2025" operator="containsText" dxfId="0" stopIfTrue="1" text="勞假">
      <formula>NOT(ISERROR(SEARCH("勞假",D42)))</formula>
    </cfRule>
    <cfRule type="containsText" priority="2026" operator="containsText" dxfId="36" stopIfTrue="1" text="補假">
      <formula>NOT(ISERROR(SEARCH("補假",D42)))</formula>
    </cfRule>
    <cfRule type="containsText" priority="2027" operator="containsText" dxfId="35" stopIfTrue="1" text="例假">
      <formula>NOT(ISERROR(SEARCH("例假",D42)))</formula>
    </cfRule>
    <cfRule type="containsText" priority="2028" operator="containsText" dxfId="4" stopIfTrue="1" text="病假">
      <formula>NOT(ISERROR(SEARCH("病假",D42)))</formula>
    </cfRule>
    <cfRule type="containsText" priority="2029" operator="containsText" dxfId="34" stopIfTrue="1" text="大假">
      <formula>NOT(ISERROR(SEARCH("大假",D42)))</formula>
    </cfRule>
    <cfRule type="containsText" priority="2030" operator="containsText" dxfId="38" stopIfTrue="1" text="TIL">
      <formula>NOT(ISERROR(SEARCH("TIL",D42)))</formula>
    </cfRule>
    <cfRule type="cellIs" priority="2031" operator="equal" dxfId="4" stopIfTrue="1">
      <formula>"NP"</formula>
    </cfRule>
    <cfRule type="cellIs" priority="2032" operator="equal" dxfId="25" stopIfTrue="1">
      <formula>"RD"</formula>
    </cfRule>
    <cfRule type="containsText" priority="2033" operator="containsText" dxfId="38" stopIfTrue="1" text="TIL">
      <formula>NOT(ISERROR(SEARCH("TIL",D42)))</formula>
    </cfRule>
    <cfRule type="containsText" priority="2034" operator="containsText" dxfId="39" stopIfTrue="1" text="疫苗">
      <formula>NOT(ISERROR(SEARCH("疫苗",D42)))</formula>
    </cfRule>
    <cfRule type="containsText" priority="2035" operator="containsText" dxfId="0" stopIfTrue="1" text="勞假">
      <formula>NOT(ISERROR(SEARCH("勞假",D42)))</formula>
    </cfRule>
    <cfRule type="containsText" priority="2036" operator="containsText" dxfId="36" stopIfTrue="1" text="補假">
      <formula>NOT(ISERROR(SEARCH("補假",D42)))</formula>
    </cfRule>
    <cfRule type="containsText" priority="2037" operator="containsText" dxfId="35" stopIfTrue="1" text="例假">
      <formula>NOT(ISERROR(SEARCH("例假",D42)))</formula>
    </cfRule>
    <cfRule type="containsText" priority="2038" operator="containsText" dxfId="4" stopIfTrue="1" text="病假">
      <formula>NOT(ISERROR(SEARCH("病假",D42)))</formula>
    </cfRule>
    <cfRule type="containsText" priority="2039" operator="containsText" dxfId="34" stopIfTrue="1" text="大假">
      <formula>NOT(ISERROR(SEARCH("大假",D42)))</formula>
    </cfRule>
    <cfRule type="containsText" priority="2040" operator="containsText" dxfId="38" stopIfTrue="1" text="TIL">
      <formula>NOT(ISERROR(SEARCH("TIL",D42)))</formula>
    </cfRule>
    <cfRule type="containsText" priority="2041" operator="containsText" dxfId="39" stopIfTrue="1" text="疫苗">
      <formula>NOT(ISERROR(SEARCH("疫苗",D42)))</formula>
    </cfRule>
    <cfRule type="containsText" priority="2042" operator="containsText" dxfId="0" stopIfTrue="1" text="勞假">
      <formula>NOT(ISERROR(SEARCH("勞假",D42)))</formula>
    </cfRule>
    <cfRule type="containsText" priority="2043" operator="containsText" dxfId="36" stopIfTrue="1" text="補假">
      <formula>NOT(ISERROR(SEARCH("補假",D42)))</formula>
    </cfRule>
    <cfRule type="containsText" priority="2044" operator="containsText" dxfId="35" stopIfTrue="1" text="例假">
      <formula>NOT(ISERROR(SEARCH("例假",D42)))</formula>
    </cfRule>
    <cfRule type="containsText" priority="2045" operator="containsText" dxfId="4" stopIfTrue="1" text="病假">
      <formula>NOT(ISERROR(SEARCH("病假",D42)))</formula>
    </cfRule>
    <cfRule type="containsText" priority="2046" operator="containsText" dxfId="34" stopIfTrue="1" text="大假">
      <formula>NOT(ISERROR(SEARCH("大假",D42)))</formula>
    </cfRule>
    <cfRule type="containsText" priority="2047" operator="containsText" dxfId="37" stopIfTrue="1" text="無薪">
      <formula>NOT(ISERROR(SEARCH("無薪",D42)))</formula>
    </cfRule>
    <cfRule type="containsText" priority="2048" operator="containsText" dxfId="39" stopIfTrue="1" text="疫苗">
      <formula>NOT(ISERROR(SEARCH("疫苗",D42)))</formula>
    </cfRule>
    <cfRule type="containsText" priority="2049" operator="containsText" dxfId="0" stopIfTrue="1" text="勞假">
      <formula>NOT(ISERROR(SEARCH("勞假",D42)))</formula>
    </cfRule>
    <cfRule type="containsText" priority="2050" operator="containsText" dxfId="36" stopIfTrue="1" text="補假">
      <formula>NOT(ISERROR(SEARCH("補假",D42)))</formula>
    </cfRule>
    <cfRule type="containsText" priority="2051" operator="containsText" dxfId="35" stopIfTrue="1" text="例假">
      <formula>NOT(ISERROR(SEARCH("例假",D42)))</formula>
    </cfRule>
    <cfRule type="containsText" priority="2052" operator="containsText" dxfId="4" stopIfTrue="1" text="病假">
      <formula>NOT(ISERROR(SEARCH("病假",D42)))</formula>
    </cfRule>
    <cfRule type="containsText" priority="2053" operator="containsText" dxfId="34" stopIfTrue="1" text="大假">
      <formula>NOT(ISERROR(SEARCH("大假",D42)))</formula>
    </cfRule>
    <cfRule type="containsText" priority="2054" operator="containsText" dxfId="37" stopIfTrue="1" text="無薪">
      <formula>NOT(ISERROR(SEARCH("無薪",D42)))</formula>
    </cfRule>
    <cfRule type="containsText" priority="2055" operator="containsText" dxfId="38" stopIfTrue="1" text="TIL">
      <formula>NOT(ISERROR(SEARCH("TIL",D42)))</formula>
    </cfRule>
    <cfRule type="containsText" priority="2056" operator="containsText" dxfId="39" stopIfTrue="1" text="疫苗">
      <formula>NOT(ISERROR(SEARCH("疫苗",D42)))</formula>
    </cfRule>
    <cfRule type="containsText" priority="2057" operator="containsText" dxfId="0" stopIfTrue="1" text="勞假">
      <formula>NOT(ISERROR(SEARCH("勞假",D42)))</formula>
    </cfRule>
    <cfRule type="containsText" priority="2058" operator="containsText" dxfId="36" stopIfTrue="1" text="補假">
      <formula>NOT(ISERROR(SEARCH("補假",D42)))</formula>
    </cfRule>
    <cfRule type="containsText" priority="2059" operator="containsText" dxfId="35" stopIfTrue="1" text="例假">
      <formula>NOT(ISERROR(SEARCH("例假",D42)))</formula>
    </cfRule>
    <cfRule type="containsText" priority="2060" operator="containsText" dxfId="4" stopIfTrue="1" text="病假">
      <formula>NOT(ISERROR(SEARCH("病假",D42)))</formula>
    </cfRule>
    <cfRule type="containsText" priority="2061" operator="containsText" dxfId="34" stopIfTrue="1" text="大假">
      <formula>NOT(ISERROR(SEARCH("大假",D42)))</formula>
    </cfRule>
    <cfRule type="containsText" priority="2062" operator="containsText" dxfId="37" stopIfTrue="1" text="無薪">
      <formula>NOT(ISERROR(SEARCH("無薪",D42)))</formula>
    </cfRule>
    <cfRule type="containsText" priority="2063" operator="containsText" dxfId="38" stopIfTrue="1" text="TIL">
      <formula>NOT(ISERROR(SEARCH("TIL",D42)))</formula>
    </cfRule>
    <cfRule type="containsText" priority="2064" operator="containsText" dxfId="39" stopIfTrue="1" text="疫苗">
      <formula>NOT(ISERROR(SEARCH("疫苗",D42)))</formula>
    </cfRule>
    <cfRule type="containsText" priority="2065" operator="containsText" dxfId="0" stopIfTrue="1" text="勞假">
      <formula>NOT(ISERROR(SEARCH("勞假",D42)))</formula>
    </cfRule>
    <cfRule type="containsText" priority="2066" operator="containsText" dxfId="36" stopIfTrue="1" text="補假">
      <formula>NOT(ISERROR(SEARCH("補假",D42)))</formula>
    </cfRule>
    <cfRule type="containsText" priority="2067" operator="containsText" dxfId="35" stopIfTrue="1" text="例假">
      <formula>NOT(ISERROR(SEARCH("例假",D42)))</formula>
    </cfRule>
    <cfRule type="containsText" priority="2068" operator="containsText" dxfId="4" stopIfTrue="1" text="病假">
      <formula>NOT(ISERROR(SEARCH("病假",D42)))</formula>
    </cfRule>
    <cfRule type="containsText" priority="2069" operator="containsText" dxfId="34" stopIfTrue="1" text="大假">
      <formula>NOT(ISERROR(SEARCH("大假",D42)))</formula>
    </cfRule>
    <cfRule type="containsText" priority="2070" operator="containsText" dxfId="37" stopIfTrue="1" text="無薪">
      <formula>NOT(ISERROR(SEARCH("無薪",D42)))</formula>
    </cfRule>
    <cfRule type="cellIs" priority="2071" operator="equal" dxfId="24">
      <formula>"NC"</formula>
    </cfRule>
    <cfRule type="cellIs" priority="2072" operator="equal" dxfId="24">
      <formula>"nd"</formula>
    </cfRule>
    <cfRule type="cellIs" priority="2073" operator="equal" dxfId="24">
      <formula>0</formula>
    </cfRule>
    <cfRule type="cellIs" priority="2074" operator="equal" dxfId="23">
      <formula>"R"</formula>
    </cfRule>
    <cfRule type="cellIs" priority="2075" operator="equal" dxfId="48">
      <formula>"NH12"</formula>
    </cfRule>
    <cfRule type="cellIs" priority="2076" operator="equal" dxfId="48">
      <formula>"Nh11"</formula>
    </cfRule>
    <cfRule type="containsText" priority="2077" operator="containsText" dxfId="38" stopIfTrue="1" text="TIL">
      <formula>NOT(ISERROR(SEARCH("TIL",D42)))</formula>
    </cfRule>
    <cfRule type="containsText" priority="2078" operator="containsText" dxfId="39" stopIfTrue="1" text="疫苗">
      <formula>NOT(ISERROR(SEARCH("疫苗",D42)))</formula>
    </cfRule>
    <cfRule type="containsText" priority="2079" operator="containsText" dxfId="0" stopIfTrue="1" text="勞假">
      <formula>NOT(ISERROR(SEARCH("勞假",D42)))</formula>
    </cfRule>
    <cfRule type="containsText" priority="2080" operator="containsText" dxfId="36" stopIfTrue="1" text="補假">
      <formula>NOT(ISERROR(SEARCH("補假",D42)))</formula>
    </cfRule>
    <cfRule type="containsText" priority="2081" operator="containsText" dxfId="35" stopIfTrue="1" text="例假">
      <formula>NOT(ISERROR(SEARCH("例假",D42)))</formula>
    </cfRule>
    <cfRule type="containsText" priority="2082" operator="containsText" dxfId="4" stopIfTrue="1" text="病假">
      <formula>NOT(ISERROR(SEARCH("病假",D42)))</formula>
    </cfRule>
    <cfRule type="containsText" priority="2083" operator="containsText" dxfId="34" stopIfTrue="1" text="大假">
      <formula>NOT(ISERROR(SEARCH("大假",D42)))</formula>
    </cfRule>
    <cfRule type="containsText" priority="2084" operator="containsText" dxfId="37" stopIfTrue="1" text="無薪">
      <formula>NOT(ISERROR(SEARCH("無薪",D42)))</formula>
    </cfRule>
    <cfRule type="containsText" priority="2085" operator="containsText" dxfId="38" stopIfTrue="1" text="TIL">
      <formula>NOT(ISERROR(SEARCH("TIL",D42)))</formula>
    </cfRule>
    <cfRule type="containsText" priority="2086" operator="containsText" dxfId="39" stopIfTrue="1" text="疫苗">
      <formula>NOT(ISERROR(SEARCH("疫苗",D42)))</formula>
    </cfRule>
    <cfRule type="containsText" priority="2087" operator="containsText" dxfId="0" stopIfTrue="1" text="勞假">
      <formula>NOT(ISERROR(SEARCH("勞假",D42)))</formula>
    </cfRule>
    <cfRule type="containsText" priority="2088" operator="containsText" dxfId="36" stopIfTrue="1" text="補假">
      <formula>NOT(ISERROR(SEARCH("補假",D42)))</formula>
    </cfRule>
    <cfRule type="containsText" priority="2089" operator="containsText" dxfId="35" stopIfTrue="1" text="例假">
      <formula>NOT(ISERROR(SEARCH("例假",D42)))</formula>
    </cfRule>
    <cfRule type="containsText" priority="2090" operator="containsText" dxfId="4" stopIfTrue="1" text="病假">
      <formula>NOT(ISERROR(SEARCH("病假",D42)))</formula>
    </cfRule>
    <cfRule type="containsText" priority="2091" operator="containsText" dxfId="34" stopIfTrue="1" text="大假">
      <formula>NOT(ISERROR(SEARCH("大假",D42)))</formula>
    </cfRule>
    <cfRule type="containsText" priority="2092" operator="containsText" dxfId="37" stopIfTrue="1" text="無薪">
      <formula>NOT(ISERROR(SEARCH("無薪",D42)))</formula>
    </cfRule>
    <cfRule type="containsText" priority="2093" operator="containsText" dxfId="39" stopIfTrue="1" text="疫苗">
      <formula>NOT(ISERROR(SEARCH("疫苗",D42)))</formula>
    </cfRule>
    <cfRule type="containsText" priority="2094" operator="containsText" dxfId="0" stopIfTrue="1" text="勞假">
      <formula>NOT(ISERROR(SEARCH("勞假",D42)))</formula>
    </cfRule>
    <cfRule type="containsText" priority="2095" operator="containsText" dxfId="36" stopIfTrue="1" text="補假">
      <formula>NOT(ISERROR(SEARCH("補假",D42)))</formula>
    </cfRule>
    <cfRule type="containsText" priority="2096" operator="containsText" dxfId="35" stopIfTrue="1" text="例假">
      <formula>NOT(ISERROR(SEARCH("例假",D42)))</formula>
    </cfRule>
    <cfRule type="containsText" priority="2097" operator="containsText" dxfId="4" stopIfTrue="1" text="病假">
      <formula>NOT(ISERROR(SEARCH("病假",D42)))</formula>
    </cfRule>
    <cfRule type="containsText" priority="2098" operator="containsText" dxfId="34" stopIfTrue="1" text="大假">
      <formula>NOT(ISERROR(SEARCH("大假",D42)))</formula>
    </cfRule>
  </conditionalFormatting>
  <conditionalFormatting sqref="D43:AE43">
    <cfRule type="cellIs" priority="3253" operator="equal" dxfId="61">
      <formula>"VO"</formula>
    </cfRule>
    <cfRule type="cellIs" priority="3254" operator="equal" dxfId="61">
      <formula>"CW"</formula>
    </cfRule>
    <cfRule type="cellIs" priority="3255" operator="equal" dxfId="61">
      <formula>"CF"</formula>
    </cfRule>
    <cfRule type="containsText" priority="3262" operator="containsText" dxfId="37" stopIfTrue="1" text="無薪">
      <formula>NOT(ISERROR(SEARCH("無薪",D43)))</formula>
    </cfRule>
    <cfRule type="containsText" priority="3263" operator="containsText" dxfId="38" stopIfTrue="1" text="TIL">
      <formula>NOT(ISERROR(SEARCH("TIL",D43)))</formula>
    </cfRule>
    <cfRule type="containsText" priority="3264" operator="containsText" dxfId="39" stopIfTrue="1" text="疫苗">
      <formula>NOT(ISERROR(SEARCH("疫苗",D43)))</formula>
    </cfRule>
    <cfRule type="containsText" priority="3265" operator="containsText" dxfId="0" stopIfTrue="1" text="勞假">
      <formula>NOT(ISERROR(SEARCH("勞假",D43)))</formula>
    </cfRule>
    <cfRule type="containsText" priority="3266" operator="containsText" dxfId="36" stopIfTrue="1" text="補假">
      <formula>NOT(ISERROR(SEARCH("補假",D43)))</formula>
    </cfRule>
    <cfRule type="containsText" priority="3267" operator="containsText" dxfId="35" stopIfTrue="1" text="例假">
      <formula>NOT(ISERROR(SEARCH("例假",D43)))</formula>
    </cfRule>
    <cfRule type="containsText" priority="3268" operator="containsText" dxfId="4" stopIfTrue="1" text="病假">
      <formula>NOT(ISERROR(SEARCH("病假",D43)))</formula>
    </cfRule>
    <cfRule type="containsText" priority="3269" operator="containsText" dxfId="34" stopIfTrue="1" text="大假">
      <formula>NOT(ISERROR(SEARCH("大假",D43)))</formula>
    </cfRule>
    <cfRule type="containsText" priority="3270" operator="containsText" dxfId="37" stopIfTrue="1" text="無薪">
      <formula>NOT(ISERROR(SEARCH("無薪",D43)))</formula>
    </cfRule>
    <cfRule type="containsText" priority="3271" operator="containsText" dxfId="38" stopIfTrue="1" text="TIL">
      <formula>NOT(ISERROR(SEARCH("TIL",D43)))</formula>
    </cfRule>
    <cfRule type="containsText" priority="3272" operator="containsText" dxfId="39" stopIfTrue="1" text="疫苗">
      <formula>NOT(ISERROR(SEARCH("疫苗",D43)))</formula>
    </cfRule>
    <cfRule type="containsText" priority="3273" operator="containsText" dxfId="0" stopIfTrue="1" text="勞假">
      <formula>NOT(ISERROR(SEARCH("勞假",D43)))</formula>
    </cfRule>
    <cfRule type="containsText" priority="3274" operator="containsText" dxfId="36" stopIfTrue="1" text="補假">
      <formula>NOT(ISERROR(SEARCH("補假",D43)))</formula>
    </cfRule>
    <cfRule type="containsText" priority="3275" operator="containsText" dxfId="35" stopIfTrue="1" text="例假">
      <formula>NOT(ISERROR(SEARCH("例假",D43)))</formula>
    </cfRule>
    <cfRule type="containsText" priority="3276" operator="containsText" dxfId="4" stopIfTrue="1" text="病假">
      <formula>NOT(ISERROR(SEARCH("病假",D43)))</formula>
    </cfRule>
    <cfRule type="containsText" priority="3277" operator="containsText" dxfId="34" stopIfTrue="1" text="大假">
      <formula>NOT(ISERROR(SEARCH("大假",D43)))</formula>
    </cfRule>
    <cfRule type="containsText" priority="3278" operator="containsText" dxfId="38" stopIfTrue="1" text="TIL">
      <formula>NOT(ISERROR(SEARCH("TIL",D43)))</formula>
    </cfRule>
    <cfRule type="cellIs" priority="3279" operator="equal" dxfId="4" stopIfTrue="1">
      <formula>"NP"</formula>
    </cfRule>
    <cfRule type="cellIs" priority="3280" operator="equal" dxfId="25" stopIfTrue="1">
      <formula>"RD"</formula>
    </cfRule>
    <cfRule type="containsText" priority="3281" operator="containsText" dxfId="38" stopIfTrue="1" text="TIL">
      <formula>NOT(ISERROR(SEARCH("TIL",D43)))</formula>
    </cfRule>
    <cfRule type="containsText" priority="3282" operator="containsText" dxfId="39" stopIfTrue="1" text="疫苗">
      <formula>NOT(ISERROR(SEARCH("疫苗",D43)))</formula>
    </cfRule>
    <cfRule type="containsText" priority="3283" operator="containsText" dxfId="0" stopIfTrue="1" text="勞假">
      <formula>NOT(ISERROR(SEARCH("勞假",D43)))</formula>
    </cfRule>
    <cfRule type="containsText" priority="3284" operator="containsText" dxfId="36" stopIfTrue="1" text="補假">
      <formula>NOT(ISERROR(SEARCH("補假",D43)))</formula>
    </cfRule>
    <cfRule type="containsText" priority="3285" operator="containsText" dxfId="35" stopIfTrue="1" text="例假">
      <formula>NOT(ISERROR(SEARCH("例假",D43)))</formula>
    </cfRule>
    <cfRule type="containsText" priority="3286" operator="containsText" dxfId="4" stopIfTrue="1" text="病假">
      <formula>NOT(ISERROR(SEARCH("病假",D43)))</formula>
    </cfRule>
    <cfRule type="containsText" priority="3287" operator="containsText" dxfId="34" stopIfTrue="1" text="大假">
      <formula>NOT(ISERROR(SEARCH("大假",D43)))</formula>
    </cfRule>
    <cfRule type="containsText" priority="3303" operator="containsText" dxfId="38" stopIfTrue="1" text="TIL">
      <formula>NOT(ISERROR(SEARCH("TIL",D43)))</formula>
    </cfRule>
    <cfRule type="containsText" priority="3305" operator="containsText" dxfId="39" stopIfTrue="1" text="疫苗">
      <formula>NOT(ISERROR(SEARCH("疫苗",D43)))</formula>
    </cfRule>
    <cfRule type="containsText" priority="3306" operator="containsText" dxfId="0" stopIfTrue="1" text="勞假">
      <formula>NOT(ISERROR(SEARCH("勞假",D43)))</formula>
    </cfRule>
    <cfRule type="containsText" priority="3307" operator="containsText" dxfId="36" stopIfTrue="1" text="補假">
      <formula>NOT(ISERROR(SEARCH("補假",D43)))</formula>
    </cfRule>
    <cfRule type="containsText" priority="3308" operator="containsText" dxfId="35" stopIfTrue="1" text="例假">
      <formula>NOT(ISERROR(SEARCH("例假",D43)))</formula>
    </cfRule>
    <cfRule type="containsText" priority="3309" operator="containsText" dxfId="4" stopIfTrue="1" text="病假">
      <formula>NOT(ISERROR(SEARCH("病假",D43)))</formula>
    </cfRule>
    <cfRule type="containsText" priority="3310" operator="containsText" dxfId="34" stopIfTrue="1" text="大假">
      <formula>NOT(ISERROR(SEARCH("大假",D43)))</formula>
    </cfRule>
    <cfRule type="containsText" priority="3311" operator="containsText" dxfId="37" stopIfTrue="1" text="無薪">
      <formula>NOT(ISERROR(SEARCH("無薪",D43)))</formula>
    </cfRule>
    <cfRule type="containsText" priority="3312" operator="containsText" dxfId="39" stopIfTrue="1" text="疫苗">
      <formula>NOT(ISERROR(SEARCH("疫苗",D43)))</formula>
    </cfRule>
    <cfRule type="containsText" priority="3313" operator="containsText" dxfId="0" stopIfTrue="1" text="勞假">
      <formula>NOT(ISERROR(SEARCH("勞假",D43)))</formula>
    </cfRule>
    <cfRule type="containsText" priority="3314" operator="containsText" dxfId="36" stopIfTrue="1" text="補假">
      <formula>NOT(ISERROR(SEARCH("補假",D43)))</formula>
    </cfRule>
    <cfRule type="containsText" priority="3315" operator="containsText" dxfId="35" stopIfTrue="1" text="例假">
      <formula>NOT(ISERROR(SEARCH("例假",D43)))</formula>
    </cfRule>
    <cfRule type="containsText" priority="3316" operator="containsText" dxfId="4" stopIfTrue="1" text="病假">
      <formula>NOT(ISERROR(SEARCH("病假",D43)))</formula>
    </cfRule>
    <cfRule type="containsText" priority="3317" operator="containsText" dxfId="34" stopIfTrue="1" text="大假">
      <formula>NOT(ISERROR(SEARCH("大假",D43)))</formula>
    </cfRule>
    <cfRule type="containsText" priority="3318" operator="containsText" dxfId="37" stopIfTrue="1" text="無薪">
      <formula>NOT(ISERROR(SEARCH("無薪",D43)))</formula>
    </cfRule>
    <cfRule type="containsText" priority="3319" operator="containsText" dxfId="38" stopIfTrue="1" text="TIL">
      <formula>NOT(ISERROR(SEARCH("TIL",D43)))</formula>
    </cfRule>
    <cfRule type="containsText" priority="3320" operator="containsText" dxfId="39" stopIfTrue="1" text="疫苗">
      <formula>NOT(ISERROR(SEARCH("疫苗",D43)))</formula>
    </cfRule>
    <cfRule type="containsText" priority="3321" operator="containsText" dxfId="0" stopIfTrue="1" text="勞假">
      <formula>NOT(ISERROR(SEARCH("勞假",D43)))</formula>
    </cfRule>
    <cfRule type="containsText" priority="3322" operator="containsText" dxfId="36" stopIfTrue="1" text="補假">
      <formula>NOT(ISERROR(SEARCH("補假",D43)))</formula>
    </cfRule>
    <cfRule type="containsText" priority="3323" operator="containsText" dxfId="35" stopIfTrue="1" text="例假">
      <formula>NOT(ISERROR(SEARCH("例假",D43)))</formula>
    </cfRule>
    <cfRule type="containsText" priority="3324" operator="containsText" dxfId="4" stopIfTrue="1" text="病假">
      <formula>NOT(ISERROR(SEARCH("病假",D43)))</formula>
    </cfRule>
    <cfRule type="containsText" priority="3325" operator="containsText" dxfId="34" stopIfTrue="1" text="大假">
      <formula>NOT(ISERROR(SEARCH("大假",D43)))</formula>
    </cfRule>
    <cfRule type="containsText" priority="3326" operator="containsText" dxfId="37" stopIfTrue="1" text="無薪">
      <formula>NOT(ISERROR(SEARCH("無薪",D43)))</formula>
    </cfRule>
    <cfRule type="containsText" priority="3327" operator="containsText" dxfId="38" stopIfTrue="1" text="TIL">
      <formula>NOT(ISERROR(SEARCH("TIL",D43)))</formula>
    </cfRule>
    <cfRule type="containsText" priority="3328" operator="containsText" dxfId="39" stopIfTrue="1" text="疫苗">
      <formula>NOT(ISERROR(SEARCH("疫苗",D43)))</formula>
    </cfRule>
    <cfRule type="containsText" priority="3329" operator="containsText" dxfId="0" stopIfTrue="1" text="勞假">
      <formula>NOT(ISERROR(SEARCH("勞假",D43)))</formula>
    </cfRule>
    <cfRule type="containsText" priority="3330" operator="containsText" dxfId="36" stopIfTrue="1" text="補假">
      <formula>NOT(ISERROR(SEARCH("補假",D43)))</formula>
    </cfRule>
    <cfRule type="containsText" priority="3331" operator="containsText" dxfId="35" stopIfTrue="1" text="例假">
      <formula>NOT(ISERROR(SEARCH("例假",D43)))</formula>
    </cfRule>
    <cfRule type="containsText" priority="3332" operator="containsText" dxfId="4" stopIfTrue="1" text="病假">
      <formula>NOT(ISERROR(SEARCH("病假",D43)))</formula>
    </cfRule>
    <cfRule type="containsText" priority="3333" operator="containsText" dxfId="34" stopIfTrue="1" text="大假">
      <formula>NOT(ISERROR(SEARCH("大假",D43)))</formula>
    </cfRule>
    <cfRule type="containsText" priority="3334" operator="containsText" dxfId="37" stopIfTrue="1" text="無薪">
      <formula>NOT(ISERROR(SEARCH("無薪",D43)))</formula>
    </cfRule>
    <cfRule type="cellIs" priority="3354" operator="equal" dxfId="24">
      <formula>"NC"</formula>
    </cfRule>
    <cfRule type="cellIs" priority="3355" operator="equal" dxfId="24">
      <formula>"nd"</formula>
    </cfRule>
    <cfRule type="cellIs" priority="3356" operator="equal" dxfId="24">
      <formula>0</formula>
    </cfRule>
    <cfRule type="cellIs" priority="3357" operator="equal" dxfId="23">
      <formula>"R"</formula>
    </cfRule>
    <cfRule type="cellIs" priority="3358" operator="equal" dxfId="48">
      <formula>"NH12"</formula>
    </cfRule>
    <cfRule type="cellIs" priority="3359" operator="equal" dxfId="48">
      <formula>"Nh11"</formula>
    </cfRule>
    <cfRule type="containsText" priority="3360" operator="containsText" dxfId="38" stopIfTrue="1" text="TIL">
      <formula>NOT(ISERROR(SEARCH("TIL",D43)))</formula>
    </cfRule>
    <cfRule type="containsText" priority="3362" operator="containsText" dxfId="39" stopIfTrue="1" text="疫苗">
      <formula>NOT(ISERROR(SEARCH("疫苗",D43)))</formula>
    </cfRule>
    <cfRule type="containsText" priority="3363" operator="containsText" dxfId="0" stopIfTrue="1" text="勞假">
      <formula>NOT(ISERROR(SEARCH("勞假",D43)))</formula>
    </cfRule>
    <cfRule type="containsText" priority="3364" operator="containsText" dxfId="36" stopIfTrue="1" text="補假">
      <formula>NOT(ISERROR(SEARCH("補假",D43)))</formula>
    </cfRule>
    <cfRule type="containsText" priority="3365" operator="containsText" dxfId="35" stopIfTrue="1" text="例假">
      <formula>NOT(ISERROR(SEARCH("例假",D43)))</formula>
    </cfRule>
    <cfRule type="containsText" priority="3366" operator="containsText" dxfId="4" stopIfTrue="1" text="病假">
      <formula>NOT(ISERROR(SEARCH("病假",D43)))</formula>
    </cfRule>
    <cfRule type="containsText" priority="3367" operator="containsText" dxfId="34" stopIfTrue="1" text="大假">
      <formula>NOT(ISERROR(SEARCH("大假",D43)))</formula>
    </cfRule>
    <cfRule type="containsText" priority="3368" operator="containsText" dxfId="37" stopIfTrue="1" text="無薪">
      <formula>NOT(ISERROR(SEARCH("無薪",D43)))</formula>
    </cfRule>
    <cfRule type="containsText" priority="3369" operator="containsText" dxfId="38" stopIfTrue="1" text="TIL">
      <formula>NOT(ISERROR(SEARCH("TIL",D43)))</formula>
    </cfRule>
    <cfRule type="containsText" priority="3370" operator="containsText" dxfId="39" stopIfTrue="1" text="疫苗">
      <formula>NOT(ISERROR(SEARCH("疫苗",D43)))</formula>
    </cfRule>
    <cfRule type="containsText" priority="3371" operator="containsText" dxfId="0" stopIfTrue="1" text="勞假">
      <formula>NOT(ISERROR(SEARCH("勞假",D43)))</formula>
    </cfRule>
    <cfRule type="containsText" priority="3372" operator="containsText" dxfId="36" stopIfTrue="1" text="補假">
      <formula>NOT(ISERROR(SEARCH("補假",D43)))</formula>
    </cfRule>
    <cfRule type="containsText" priority="3373" operator="containsText" dxfId="35" stopIfTrue="1" text="例假">
      <formula>NOT(ISERROR(SEARCH("例假",D43)))</formula>
    </cfRule>
    <cfRule type="containsText" priority="3374" operator="containsText" dxfId="4" stopIfTrue="1" text="病假">
      <formula>NOT(ISERROR(SEARCH("病假",D43)))</formula>
    </cfRule>
    <cfRule type="containsText" priority="3375" operator="containsText" dxfId="34" stopIfTrue="1" text="大假">
      <formula>NOT(ISERROR(SEARCH("大假",D43)))</formula>
    </cfRule>
    <cfRule type="containsText" priority="3376" operator="containsText" dxfId="37" stopIfTrue="1" text="無薪">
      <formula>NOT(ISERROR(SEARCH("無薪",D43)))</formula>
    </cfRule>
    <cfRule type="containsText" priority="3377" operator="containsText" dxfId="39" stopIfTrue="1" text="疫苗">
      <formula>NOT(ISERROR(SEARCH("疫苗",D43)))</formula>
    </cfRule>
    <cfRule type="containsText" priority="3378" operator="containsText" dxfId="0" stopIfTrue="1" text="勞假">
      <formula>NOT(ISERROR(SEARCH("勞假",D43)))</formula>
    </cfRule>
    <cfRule type="containsText" priority="3379" operator="containsText" dxfId="36" stopIfTrue="1" text="補假">
      <formula>NOT(ISERROR(SEARCH("補假",D43)))</formula>
    </cfRule>
    <cfRule type="containsText" priority="3380" operator="containsText" dxfId="35" stopIfTrue="1" text="例假">
      <formula>NOT(ISERROR(SEARCH("例假",D43)))</formula>
    </cfRule>
    <cfRule type="containsText" priority="3381" operator="containsText" dxfId="4" stopIfTrue="1" text="病假">
      <formula>NOT(ISERROR(SEARCH("病假",D43)))</formula>
    </cfRule>
    <cfRule type="containsText" priority="3382" operator="containsText" dxfId="34" stopIfTrue="1" text="大假">
      <formula>NOT(ISERROR(SEARCH("大假",D43)))</formula>
    </cfRule>
  </conditionalFormatting>
  <conditionalFormatting sqref="D44:AE45">
    <cfRule type="cellIs" priority="1242" operator="equal" dxfId="863">
      <formula>"CF"</formula>
    </cfRule>
    <cfRule type="cellIs" priority="1243" operator="equal" dxfId="862">
      <formula>"CW"</formula>
    </cfRule>
    <cfRule type="cellIs" priority="1244" operator="equal" dxfId="861">
      <formula>"CL"</formula>
    </cfRule>
    <cfRule type="cellIs" priority="1245" operator="equal" dxfId="860">
      <formula>"E"</formula>
    </cfRule>
  </conditionalFormatting>
  <conditionalFormatting sqref="D45:AE45">
    <cfRule type="cellIs" priority="1232" operator="equal" dxfId="859">
      <formula>"SR"</formula>
    </cfRule>
    <cfRule type="cellIs" priority="1241" operator="equal" dxfId="847">
      <formula>"NSH"</formula>
    </cfRule>
  </conditionalFormatting>
  <conditionalFormatting sqref="D48:AE48 J51:AE51 L50:AE50">
    <cfRule type="cellIs" priority="7845" operator="equal" dxfId="48">
      <formula>"NP"</formula>
    </cfRule>
  </conditionalFormatting>
  <conditionalFormatting sqref="D53:AE1048576">
    <cfRule type="cellIs" priority="7240" operator="equal" dxfId="48">
      <formula>"NP"</formula>
    </cfRule>
  </conditionalFormatting>
  <conditionalFormatting sqref="D10:AE13 D14:D15 D16:AE36 D37:D38 D39:AE45 D46:D47 D48:AL48 D49:V49 K14:K15 K37:K38 K46:K47 R14:R15 R37:R38 R46:R47 Y14:Y15 Y37:Y38 Y46:Y47 AC49 AE49 AI10:AJ12 AI13:AI15 AI16:AJ35 AI36:AI38 AI39:AJ44 AI45:AI47 AL10:AL12 AL16:AL35 AL39:AL44">
    <cfRule type="cellIs" priority="2781" operator="equal" dxfId="35">
      <formula>"SH"</formula>
    </cfRule>
  </conditionalFormatting>
  <conditionalFormatting sqref="B12:B15 B16:AE17 B18:B32 B33:C34 B35:B38 B39:AE40 B44:B47 B48:AE48 B49 B53:AE1048576 C19:C32 D12:AE12 D13:D15 D36:D38 D45:D47 G52:AC52 J51:AE51 K13:K15 K36:K38 K45:K47 L50:AE50 R13:R15 R36:R38 R45:R47 Y13:Y15 Y36:Y38 Y45:Y47 AC49 AE52 AI12:AJ12 AI13:AI15 AI16:AJ35 AI36:AI38 AI39:AJ44 AI45:AI47 AI48:AJ48 AI50:AJ1048576 AL12:AN12 AL16:AN35 AL39:AN44 AL48:AN48 AL50:AN1048576 AN13:AN15 AN36:AN38 AN45 AN46:XFD47 AO12:XFD17 AO35:XFD40 AO44:XFD45 AO48:XFD1048576 BA18:XFD34 BA41:XFD43">
    <cfRule type="cellIs" priority="8008" operator="equal" dxfId="48">
      <formula>"NH"</formula>
    </cfRule>
  </conditionalFormatting>
  <conditionalFormatting sqref="B12 B16:AE17 B18 B19:C34 B35 B39:AE40 B41:C41 B48:AE48 B53:AE55 D12:AE12 J51:AE51 L50:AE50 AE52 AI12:AJ12 AI13:AI15 AI16:AJ35 AI39:AJ44 AI48:AJ48 AI50:AJ55 AL12:AN12 AL16:AN35 AL39:AN44 AL48:AN48 AL50:AN55 AN13:AN15 AO12:XFD17 AO44:XFD45 AO48:XFD55 BA18:XFD34 BA41:XFD43">
    <cfRule type="cellIs" priority="4733" operator="equal" dxfId="48">
      <formula>"NH11"</formula>
    </cfRule>
  </conditionalFormatting>
  <conditionalFormatting sqref="E18:E34">
    <cfRule type="containsText" priority="3843" operator="containsText" dxfId="39" stopIfTrue="1" text="疫苗">
      <formula>NOT(ISERROR(SEARCH("疫苗",E18)))</formula>
    </cfRule>
    <cfRule type="containsText" priority="3844" operator="containsText" dxfId="0" stopIfTrue="1" text="勞假">
      <formula>NOT(ISERROR(SEARCH("勞假",E18)))</formula>
    </cfRule>
    <cfRule type="containsText" priority="3845" operator="containsText" dxfId="36" stopIfTrue="1" text="補假">
      <formula>NOT(ISERROR(SEARCH("補假",E18)))</formula>
    </cfRule>
    <cfRule type="containsText" priority="3846" operator="containsText" dxfId="35" stopIfTrue="1" text="例假">
      <formula>NOT(ISERROR(SEARCH("例假",E18)))</formula>
    </cfRule>
    <cfRule type="containsText" priority="3847" operator="containsText" dxfId="4" stopIfTrue="1" text="病假">
      <formula>NOT(ISERROR(SEARCH("病假",E18)))</formula>
    </cfRule>
    <cfRule type="containsText" priority="3848" operator="containsText" dxfId="34" stopIfTrue="1" text="大假">
      <formula>NOT(ISERROR(SEARCH("大假",E18)))</formula>
    </cfRule>
    <cfRule type="containsText" priority="3849" operator="containsText" dxfId="38" stopIfTrue="1" text="TIL">
      <formula>NOT(ISERROR(SEARCH("TIL",E18)))</formula>
    </cfRule>
    <cfRule type="containsText" priority="3851" operator="containsText" dxfId="4" text="RD">
      <formula>NOT(ISERROR(SEARCH("RD",E18)))</formula>
    </cfRule>
    <cfRule type="containsText" priority="3852" operator="containsText" dxfId="405" text="NP">
      <formula>NOT(ISERROR(SEARCH("NP",E18)))</formula>
    </cfRule>
    <cfRule type="containsText" priority="3888" operator="containsText" dxfId="39" stopIfTrue="1" text="疫苗">
      <formula>NOT(ISERROR(SEARCH("疫苗",E18)))</formula>
    </cfRule>
    <cfRule type="containsText" priority="3889" operator="containsText" dxfId="0" stopIfTrue="1" text="勞假">
      <formula>NOT(ISERROR(SEARCH("勞假",E18)))</formula>
    </cfRule>
    <cfRule type="containsText" priority="3890" operator="containsText" dxfId="36" stopIfTrue="1" text="補假">
      <formula>NOT(ISERROR(SEARCH("補假",E18)))</formula>
    </cfRule>
    <cfRule type="containsText" priority="3891" operator="containsText" dxfId="35" stopIfTrue="1" text="例假">
      <formula>NOT(ISERROR(SEARCH("例假",E18)))</formula>
    </cfRule>
    <cfRule type="containsText" priority="3892" operator="containsText" dxfId="4" stopIfTrue="1" text="病假">
      <formula>NOT(ISERROR(SEARCH("病假",E18)))</formula>
    </cfRule>
    <cfRule type="containsText" priority="3893" operator="containsText" dxfId="34" stopIfTrue="1" text="大假">
      <formula>NOT(ISERROR(SEARCH("大假",E18)))</formula>
    </cfRule>
    <cfRule type="containsText" priority="3894" operator="containsText" dxfId="37" stopIfTrue="1" text="無薪">
      <formula>NOT(ISERROR(SEARCH("無薪",E18)))</formula>
    </cfRule>
    <cfRule type="containsText" priority="3895" operator="containsText" dxfId="38" stopIfTrue="1" text="TIL">
      <formula>NOT(ISERROR(SEARCH("TIL",E18)))</formula>
    </cfRule>
    <cfRule type="containsText" priority="3896" operator="containsText" dxfId="39" stopIfTrue="1" text="疫苗">
      <formula>NOT(ISERROR(SEARCH("疫苗",E18)))</formula>
    </cfRule>
    <cfRule type="containsText" priority="3897" operator="containsText" dxfId="0" stopIfTrue="1" text="勞假">
      <formula>NOT(ISERROR(SEARCH("勞假",E18)))</formula>
    </cfRule>
    <cfRule type="containsText" priority="3898" operator="containsText" dxfId="36" stopIfTrue="1" text="補假">
      <formula>NOT(ISERROR(SEARCH("補假",E18)))</formula>
    </cfRule>
    <cfRule type="containsText" priority="3899" operator="containsText" dxfId="35" stopIfTrue="1" text="例假">
      <formula>NOT(ISERROR(SEARCH("例假",E18)))</formula>
    </cfRule>
    <cfRule type="containsText" priority="3900" operator="containsText" dxfId="4" stopIfTrue="1" text="病假">
      <formula>NOT(ISERROR(SEARCH("病假",E18)))</formula>
    </cfRule>
    <cfRule type="containsText" priority="3901" operator="containsText" dxfId="34" stopIfTrue="1" text="大假">
      <formula>NOT(ISERROR(SEARCH("大假",E18)))</formula>
    </cfRule>
    <cfRule type="containsText" priority="3902" operator="containsText" dxfId="37" stopIfTrue="1" text="無薪">
      <formula>NOT(ISERROR(SEARCH("無薪",E18)))</formula>
    </cfRule>
    <cfRule type="containsText" priority="3936" operator="containsText" dxfId="38" stopIfTrue="1" text="TIL">
      <formula>NOT(ISERROR(SEARCH("TIL",E18)))</formula>
    </cfRule>
    <cfRule type="containsText" priority="3937" operator="containsText" dxfId="39" stopIfTrue="1" text="疫苗">
      <formula>NOT(ISERROR(SEARCH("疫苗",E18)))</formula>
    </cfRule>
    <cfRule type="containsText" priority="3938" operator="containsText" dxfId="0" stopIfTrue="1" text="勞假">
      <formula>NOT(ISERROR(SEARCH("勞假",E18)))</formula>
    </cfRule>
    <cfRule type="containsText" priority="3939" operator="containsText" dxfId="36" stopIfTrue="1" text="補假">
      <formula>NOT(ISERROR(SEARCH("補假",E18)))</formula>
    </cfRule>
    <cfRule type="containsText" priority="3940" operator="containsText" dxfId="35" stopIfTrue="1" text="例假">
      <formula>NOT(ISERROR(SEARCH("例假",E18)))</formula>
    </cfRule>
    <cfRule type="containsText" priority="3941" operator="containsText" dxfId="4" stopIfTrue="1" text="病假">
      <formula>NOT(ISERROR(SEARCH("病假",E18)))</formula>
    </cfRule>
    <cfRule type="containsText" priority="3942" operator="containsText" dxfId="34" stopIfTrue="1" text="大假">
      <formula>NOT(ISERROR(SEARCH("大假",E18)))</formula>
    </cfRule>
    <cfRule type="containsText" priority="3943" operator="containsText" dxfId="37" stopIfTrue="1" text="無薪">
      <formula>NOT(ISERROR(SEARCH("無薪",E18)))</formula>
    </cfRule>
    <cfRule type="containsText" priority="3944" operator="containsText" dxfId="38" stopIfTrue="1" text="TIL">
      <formula>NOT(ISERROR(SEARCH("TIL",E18)))</formula>
    </cfRule>
    <cfRule type="containsText" priority="3945" operator="containsText" dxfId="39" stopIfTrue="1" text="疫苗">
      <formula>NOT(ISERROR(SEARCH("疫苗",E18)))</formula>
    </cfRule>
    <cfRule type="containsText" priority="3946" operator="containsText" dxfId="0" stopIfTrue="1" text="勞假">
      <formula>NOT(ISERROR(SEARCH("勞假",E18)))</formula>
    </cfRule>
    <cfRule type="containsText" priority="3947" operator="containsText" dxfId="36" stopIfTrue="1" text="補假">
      <formula>NOT(ISERROR(SEARCH("補假",E18)))</formula>
    </cfRule>
    <cfRule type="containsText" priority="3948" operator="containsText" dxfId="35" stopIfTrue="1" text="例假">
      <formula>NOT(ISERROR(SEARCH("例假",E18)))</formula>
    </cfRule>
    <cfRule type="containsText" priority="3949" operator="containsText" dxfId="4" stopIfTrue="1" text="病假">
      <formula>NOT(ISERROR(SEARCH("病假",E18)))</formula>
    </cfRule>
    <cfRule type="containsText" priority="3950" operator="containsText" dxfId="34" stopIfTrue="1" text="大假">
      <formula>NOT(ISERROR(SEARCH("大假",E18)))</formula>
    </cfRule>
    <cfRule type="containsText" priority="3951" operator="containsText" dxfId="38" stopIfTrue="1" text="TIL">
      <formula>NOT(ISERROR(SEARCH("TIL",E18)))</formula>
    </cfRule>
    <cfRule type="cellIs" priority="3952" operator="equal" dxfId="4" stopIfTrue="1">
      <formula>"NP"</formula>
    </cfRule>
    <cfRule type="cellIs" priority="3953" operator="equal" dxfId="25" stopIfTrue="1">
      <formula>"RD"</formula>
    </cfRule>
  </conditionalFormatting>
  <conditionalFormatting sqref="E41">
    <cfRule type="containsText" priority="2631" operator="containsText" dxfId="39" stopIfTrue="1" text="疫苗">
      <formula>NOT(ISERROR(SEARCH("疫苗",E41)))</formula>
    </cfRule>
    <cfRule type="containsText" priority="2632" operator="containsText" dxfId="0" stopIfTrue="1" text="勞假">
      <formula>NOT(ISERROR(SEARCH("勞假",E41)))</formula>
    </cfRule>
    <cfRule type="containsText" priority="2633" operator="containsText" dxfId="36" stopIfTrue="1" text="補假">
      <formula>NOT(ISERROR(SEARCH("補假",E41)))</formula>
    </cfRule>
    <cfRule type="containsText" priority="2634" operator="containsText" dxfId="35" stopIfTrue="1" text="例假">
      <formula>NOT(ISERROR(SEARCH("例假",E41)))</formula>
    </cfRule>
    <cfRule type="containsText" priority="2635" operator="containsText" dxfId="4" stopIfTrue="1" text="病假">
      <formula>NOT(ISERROR(SEARCH("病假",E41)))</formula>
    </cfRule>
    <cfRule type="containsText" priority="2636" operator="containsText" dxfId="34" stopIfTrue="1" text="大假">
      <formula>NOT(ISERROR(SEARCH("大假",E41)))</formula>
    </cfRule>
    <cfRule type="containsText" priority="2637" operator="containsText" dxfId="38" stopIfTrue="1" text="TIL">
      <formula>NOT(ISERROR(SEARCH("TIL",E41)))</formula>
    </cfRule>
    <cfRule type="containsText" priority="2639" operator="containsText" dxfId="4" text="RD">
      <formula>NOT(ISERROR(SEARCH("RD",E41)))</formula>
    </cfRule>
    <cfRule type="containsText" priority="2640" operator="containsText" dxfId="405" text="NP">
      <formula>NOT(ISERROR(SEARCH("NP",E41)))</formula>
    </cfRule>
    <cfRule type="containsText" priority="2681" operator="containsText" dxfId="37" stopIfTrue="1" text="無薪">
      <formula>NOT(ISERROR(SEARCH("無薪",E41)))</formula>
    </cfRule>
    <cfRule type="containsText" priority="2682" operator="containsText" dxfId="38" stopIfTrue="1" text="TIL">
      <formula>NOT(ISERROR(SEARCH("TIL",E41)))</formula>
    </cfRule>
    <cfRule type="containsText" priority="2683" operator="containsText" dxfId="39" stopIfTrue="1" text="疫苗">
      <formula>NOT(ISERROR(SEARCH("疫苗",E41)))</formula>
    </cfRule>
    <cfRule type="containsText" priority="2684" operator="containsText" dxfId="0" stopIfTrue="1" text="勞假">
      <formula>NOT(ISERROR(SEARCH("勞假",E41)))</formula>
    </cfRule>
    <cfRule type="containsText" priority="2685" operator="containsText" dxfId="36" stopIfTrue="1" text="補假">
      <formula>NOT(ISERROR(SEARCH("補假",E41)))</formula>
    </cfRule>
    <cfRule type="containsText" priority="2686" operator="containsText" dxfId="35" stopIfTrue="1" text="例假">
      <formula>NOT(ISERROR(SEARCH("例假",E41)))</formula>
    </cfRule>
    <cfRule type="containsText" priority="2687" operator="containsText" dxfId="4" stopIfTrue="1" text="病假">
      <formula>NOT(ISERROR(SEARCH("病假",E41)))</formula>
    </cfRule>
    <cfRule type="containsText" priority="2688" operator="containsText" dxfId="34" stopIfTrue="1" text="大假">
      <formula>NOT(ISERROR(SEARCH("大假",E41)))</formula>
    </cfRule>
    <cfRule type="containsText" priority="2689" operator="containsText" dxfId="37" stopIfTrue="1" text="無薪">
      <formula>NOT(ISERROR(SEARCH("無薪",E41)))</formula>
    </cfRule>
    <cfRule type="containsText" priority="2721" operator="containsText" dxfId="38" stopIfTrue="1" text="TIL">
      <formula>NOT(ISERROR(SEARCH("TIL",E41)))</formula>
    </cfRule>
    <cfRule type="containsText" priority="2722" operator="containsText" dxfId="39" stopIfTrue="1" text="疫苗">
      <formula>NOT(ISERROR(SEARCH("疫苗",E41)))</formula>
    </cfRule>
    <cfRule type="containsText" priority="2723" operator="containsText" dxfId="0" stopIfTrue="1" text="勞假">
      <formula>NOT(ISERROR(SEARCH("勞假",E41)))</formula>
    </cfRule>
    <cfRule type="containsText" priority="2724" operator="containsText" dxfId="36" stopIfTrue="1" text="補假">
      <formula>NOT(ISERROR(SEARCH("補假",E41)))</formula>
    </cfRule>
    <cfRule type="containsText" priority="2725" operator="containsText" dxfId="35" stopIfTrue="1" text="例假">
      <formula>NOT(ISERROR(SEARCH("例假",E41)))</formula>
    </cfRule>
    <cfRule type="containsText" priority="2726" operator="containsText" dxfId="4" stopIfTrue="1" text="病假">
      <formula>NOT(ISERROR(SEARCH("病假",E41)))</formula>
    </cfRule>
    <cfRule type="containsText" priority="2727" operator="containsText" dxfId="34" stopIfTrue="1" text="大假">
      <formula>NOT(ISERROR(SEARCH("大假",E41)))</formula>
    </cfRule>
    <cfRule type="containsText" priority="2728" operator="containsText" dxfId="37" stopIfTrue="1" text="無薪">
      <formula>NOT(ISERROR(SEARCH("無薪",E41)))</formula>
    </cfRule>
    <cfRule type="containsText" priority="2729" operator="containsText" dxfId="38" stopIfTrue="1" text="TIL">
      <formula>NOT(ISERROR(SEARCH("TIL",E41)))</formula>
    </cfRule>
    <cfRule type="containsText" priority="2730" operator="containsText" dxfId="39" stopIfTrue="1" text="疫苗">
      <formula>NOT(ISERROR(SEARCH("疫苗",E41)))</formula>
    </cfRule>
    <cfRule type="containsText" priority="2731" operator="containsText" dxfId="0" stopIfTrue="1" text="勞假">
      <formula>NOT(ISERROR(SEARCH("勞假",E41)))</formula>
    </cfRule>
    <cfRule type="containsText" priority="2732" operator="containsText" dxfId="36" stopIfTrue="1" text="補假">
      <formula>NOT(ISERROR(SEARCH("補假",E41)))</formula>
    </cfRule>
    <cfRule type="containsText" priority="2733" operator="containsText" dxfId="35" stopIfTrue="1" text="例假">
      <formula>NOT(ISERROR(SEARCH("例假",E41)))</formula>
    </cfRule>
    <cfRule type="containsText" priority="2734" operator="containsText" dxfId="4" stopIfTrue="1" text="病假">
      <formula>NOT(ISERROR(SEARCH("病假",E41)))</formula>
    </cfRule>
    <cfRule type="containsText" priority="2735" operator="containsText" dxfId="34" stopIfTrue="1" text="大假">
      <formula>NOT(ISERROR(SEARCH("大假",E41)))</formula>
    </cfRule>
    <cfRule type="containsText" priority="2736" operator="containsText" dxfId="38" stopIfTrue="1" text="TIL">
      <formula>NOT(ISERROR(SEARCH("TIL",E41)))</formula>
    </cfRule>
    <cfRule type="cellIs" priority="2737" operator="equal" dxfId="4" stopIfTrue="1">
      <formula>"NP"</formula>
    </cfRule>
    <cfRule type="cellIs" priority="2738" operator="equal" dxfId="25" stopIfTrue="1">
      <formula>"RD"</formula>
    </cfRule>
  </conditionalFormatting>
  <conditionalFormatting sqref="E42:E43">
    <cfRule type="containsText" priority="3027" operator="containsText" dxfId="39" stopIfTrue="1" text="疫苗">
      <formula>NOT(ISERROR(SEARCH("疫苗",E42)))</formula>
    </cfRule>
    <cfRule type="containsText" priority="3028" operator="containsText" dxfId="0" stopIfTrue="1" text="勞假">
      <formula>NOT(ISERROR(SEARCH("勞假",E42)))</formula>
    </cfRule>
    <cfRule type="containsText" priority="3029" operator="containsText" dxfId="36" stopIfTrue="1" text="補假">
      <formula>NOT(ISERROR(SEARCH("補假",E42)))</formula>
    </cfRule>
    <cfRule type="containsText" priority="3030" operator="containsText" dxfId="35" stopIfTrue="1" text="例假">
      <formula>NOT(ISERROR(SEARCH("例假",E42)))</formula>
    </cfRule>
    <cfRule type="containsText" priority="3031" operator="containsText" dxfId="4" stopIfTrue="1" text="病假">
      <formula>NOT(ISERROR(SEARCH("病假",E42)))</formula>
    </cfRule>
    <cfRule type="containsText" priority="3032" operator="containsText" dxfId="34" stopIfTrue="1" text="大假">
      <formula>NOT(ISERROR(SEARCH("大假",E42)))</formula>
    </cfRule>
    <cfRule type="containsText" priority="3033" operator="containsText" dxfId="38" stopIfTrue="1" text="TIL">
      <formula>NOT(ISERROR(SEARCH("TIL",E42)))</formula>
    </cfRule>
    <cfRule type="containsText" priority="3251" operator="containsText" dxfId="4" text="RD">
      <formula>NOT(ISERROR(SEARCH("RD",E42)))</formula>
    </cfRule>
    <cfRule type="containsText" priority="3252" operator="containsText" dxfId="405" text="NP">
      <formula>NOT(ISERROR(SEARCH("NP",E42)))</formula>
    </cfRule>
    <cfRule type="containsText" priority="3288" operator="containsText" dxfId="39" stopIfTrue="1" text="疫苗">
      <formula>NOT(ISERROR(SEARCH("疫苗",E42)))</formula>
    </cfRule>
    <cfRule type="containsText" priority="3289" operator="containsText" dxfId="0" stopIfTrue="1" text="勞假">
      <formula>NOT(ISERROR(SEARCH("勞假",E42)))</formula>
    </cfRule>
    <cfRule type="containsText" priority="3290" operator="containsText" dxfId="36" stopIfTrue="1" text="補假">
      <formula>NOT(ISERROR(SEARCH("補假",E42)))</formula>
    </cfRule>
    <cfRule type="containsText" priority="3291" operator="containsText" dxfId="35" stopIfTrue="1" text="例假">
      <formula>NOT(ISERROR(SEARCH("例假",E42)))</formula>
    </cfRule>
    <cfRule type="containsText" priority="3292" operator="containsText" dxfId="4" stopIfTrue="1" text="病假">
      <formula>NOT(ISERROR(SEARCH("病假",E42)))</formula>
    </cfRule>
    <cfRule type="containsText" priority="3293" operator="containsText" dxfId="34" stopIfTrue="1" text="大假">
      <formula>NOT(ISERROR(SEARCH("大假",E42)))</formula>
    </cfRule>
    <cfRule type="containsText" priority="3294" operator="containsText" dxfId="37" stopIfTrue="1" text="無薪">
      <formula>NOT(ISERROR(SEARCH("無薪",E42)))</formula>
    </cfRule>
    <cfRule type="containsText" priority="3295" operator="containsText" dxfId="38" stopIfTrue="1" text="TIL">
      <formula>NOT(ISERROR(SEARCH("TIL",E42)))</formula>
    </cfRule>
    <cfRule type="containsText" priority="3296" operator="containsText" dxfId="39" stopIfTrue="1" text="疫苗">
      <formula>NOT(ISERROR(SEARCH("疫苗",E42)))</formula>
    </cfRule>
    <cfRule type="containsText" priority="3297" operator="containsText" dxfId="0" stopIfTrue="1" text="勞假">
      <formula>NOT(ISERROR(SEARCH("勞假",E42)))</formula>
    </cfRule>
    <cfRule type="containsText" priority="3298" operator="containsText" dxfId="36" stopIfTrue="1" text="補假">
      <formula>NOT(ISERROR(SEARCH("補假",E42)))</formula>
    </cfRule>
    <cfRule type="containsText" priority="3299" operator="containsText" dxfId="35" stopIfTrue="1" text="例假">
      <formula>NOT(ISERROR(SEARCH("例假",E42)))</formula>
    </cfRule>
    <cfRule type="containsText" priority="3300" operator="containsText" dxfId="4" stopIfTrue="1" text="病假">
      <formula>NOT(ISERROR(SEARCH("病假",E42)))</formula>
    </cfRule>
    <cfRule type="containsText" priority="3301" operator="containsText" dxfId="34" stopIfTrue="1" text="大假">
      <formula>NOT(ISERROR(SEARCH("大假",E42)))</formula>
    </cfRule>
    <cfRule type="containsText" priority="3302" operator="containsText" dxfId="37" stopIfTrue="1" text="無薪">
      <formula>NOT(ISERROR(SEARCH("無薪",E42)))</formula>
    </cfRule>
    <cfRule type="containsText" priority="3336" operator="containsText" dxfId="38" stopIfTrue="1" text="TIL">
      <formula>NOT(ISERROR(SEARCH("TIL",E42)))</formula>
    </cfRule>
    <cfRule type="containsText" priority="3337" operator="containsText" dxfId="39" stopIfTrue="1" text="疫苗">
      <formula>NOT(ISERROR(SEARCH("疫苗",E42)))</formula>
    </cfRule>
    <cfRule type="containsText" priority="3338" operator="containsText" dxfId="0" stopIfTrue="1" text="勞假">
      <formula>NOT(ISERROR(SEARCH("勞假",E42)))</formula>
    </cfRule>
    <cfRule type="containsText" priority="3339" operator="containsText" dxfId="36" stopIfTrue="1" text="補假">
      <formula>NOT(ISERROR(SEARCH("補假",E42)))</formula>
    </cfRule>
    <cfRule type="containsText" priority="3340" operator="containsText" dxfId="35" stopIfTrue="1" text="例假">
      <formula>NOT(ISERROR(SEARCH("例假",E42)))</formula>
    </cfRule>
    <cfRule type="containsText" priority="3341" operator="containsText" dxfId="4" stopIfTrue="1" text="病假">
      <formula>NOT(ISERROR(SEARCH("病假",E42)))</formula>
    </cfRule>
    <cfRule type="containsText" priority="3342" operator="containsText" dxfId="34" stopIfTrue="1" text="大假">
      <formula>NOT(ISERROR(SEARCH("大假",E42)))</formula>
    </cfRule>
    <cfRule type="containsText" priority="3343" operator="containsText" dxfId="37" stopIfTrue="1" text="無薪">
      <formula>NOT(ISERROR(SEARCH("無薪",E42)))</formula>
    </cfRule>
    <cfRule type="containsText" priority="3344" operator="containsText" dxfId="38" stopIfTrue="1" text="TIL">
      <formula>NOT(ISERROR(SEARCH("TIL",E42)))</formula>
    </cfRule>
    <cfRule type="containsText" priority="3345" operator="containsText" dxfId="39" stopIfTrue="1" text="疫苗">
      <formula>NOT(ISERROR(SEARCH("疫苗",E42)))</formula>
    </cfRule>
    <cfRule type="containsText" priority="3346" operator="containsText" dxfId="0" stopIfTrue="1" text="勞假">
      <formula>NOT(ISERROR(SEARCH("勞假",E42)))</formula>
    </cfRule>
    <cfRule type="containsText" priority="3347" operator="containsText" dxfId="36" stopIfTrue="1" text="補假">
      <formula>NOT(ISERROR(SEARCH("補假",E42)))</formula>
    </cfRule>
    <cfRule type="containsText" priority="3348" operator="containsText" dxfId="35" stopIfTrue="1" text="例假">
      <formula>NOT(ISERROR(SEARCH("例假",E42)))</formula>
    </cfRule>
    <cfRule type="containsText" priority="3349" operator="containsText" dxfId="4" stopIfTrue="1" text="病假">
      <formula>NOT(ISERROR(SEARCH("病假",E42)))</formula>
    </cfRule>
    <cfRule type="containsText" priority="3350" operator="containsText" dxfId="34" stopIfTrue="1" text="大假">
      <formula>NOT(ISERROR(SEARCH("大假",E42)))</formula>
    </cfRule>
    <cfRule type="containsText" priority="3351" operator="containsText" dxfId="38" stopIfTrue="1" text="TIL">
      <formula>NOT(ISERROR(SEARCH("TIL",E42)))</formula>
    </cfRule>
    <cfRule type="cellIs" priority="3352" operator="equal" dxfId="4" stopIfTrue="1">
      <formula>"NP"</formula>
    </cfRule>
    <cfRule type="cellIs" priority="3353" operator="equal" dxfId="25" stopIfTrue="1">
      <formula>"RD"</formula>
    </cfRule>
  </conditionalFormatting>
  <conditionalFormatting sqref="E49:J49">
    <cfRule type="cellIs" priority="3983" operator="equal" dxfId="25" stopIfTrue="1">
      <formula>"RD"</formula>
    </cfRule>
    <cfRule type="cellIs" priority="3985" operator="equal" dxfId="4" stopIfTrue="1">
      <formula>"NP"</formula>
    </cfRule>
  </conditionalFormatting>
  <conditionalFormatting sqref="E42:Z42">
    <cfRule type="cellIs" priority="1901" operator="equal" dxfId="405">
      <formula>"NSH"</formula>
    </cfRule>
  </conditionalFormatting>
  <conditionalFormatting sqref="E49:U49">
    <cfRule type="cellIs" priority="3984" operator="equal" dxfId="24">
      <formula>"NC"</formula>
    </cfRule>
    <cfRule type="cellIs" priority="3986" operator="equal" dxfId="48">
      <formula>"NH"</formula>
    </cfRule>
    <cfRule type="cellIs" priority="3990" operator="equal" dxfId="21">
      <formula>"NC"</formula>
    </cfRule>
  </conditionalFormatting>
  <conditionalFormatting sqref="E7:AE9">
    <cfRule type="expression" priority="1369" dxfId="852">
      <formula>E8="H"</formula>
    </cfRule>
  </conditionalFormatting>
  <conditionalFormatting sqref="E41:AE41">
    <cfRule type="cellIs" priority="2638" operator="equal" dxfId="405">
      <formula>"NSH"</formula>
    </cfRule>
  </conditionalFormatting>
  <conditionalFormatting sqref="F42:Q42">
    <cfRule type="containsText" priority="2012" operator="containsText" dxfId="4" text="RD">
      <formula>NOT(ISERROR(SEARCH("RD",F42)))</formula>
    </cfRule>
    <cfRule type="containsText" priority="2013" operator="containsText" dxfId="405" text="NP">
      <formula>NOT(ISERROR(SEARCH("NP",F42)))</formula>
    </cfRule>
  </conditionalFormatting>
  <conditionalFormatting sqref="F43:Q43">
    <cfRule type="containsText" priority="3260" operator="containsText" dxfId="4" text="RD">
      <formula>NOT(ISERROR(SEARCH("RD",F43)))</formula>
    </cfRule>
    <cfRule type="containsText" priority="3261" operator="containsText" dxfId="405" text="NP">
      <formula>NOT(ISERROR(SEARCH("NP",F43)))</formula>
    </cfRule>
  </conditionalFormatting>
  <conditionalFormatting sqref="F41:R41">
    <cfRule type="containsText" priority="2647" operator="containsText" dxfId="4" text="RD">
      <formula>NOT(ISERROR(SEARCH("RD",F41)))</formula>
    </cfRule>
    <cfRule type="containsText" priority="2648" operator="containsText" dxfId="405" text="NP">
      <formula>NOT(ISERROR(SEARCH("NP",F41)))</formula>
    </cfRule>
  </conditionalFormatting>
  <conditionalFormatting sqref="G52:AC52 AC49 AC53">
    <cfRule type="cellIs" priority="7245" operator="equal" dxfId="24">
      <formula>"NC"</formula>
    </cfRule>
  </conditionalFormatting>
  <conditionalFormatting sqref="D6:AE6 G5:AE5">
    <cfRule type="cellIs" priority="7238" operator="equal" dxfId="48">
      <formula>"NP"</formula>
    </cfRule>
  </conditionalFormatting>
  <conditionalFormatting sqref="I43:J43">
    <cfRule type="cellIs" priority="1546" operator="equal" dxfId="405">
      <formula>"NSH"</formula>
    </cfRule>
    <cfRule type="cellIs" priority="1547" operator="equal" dxfId="61">
      <formula>"VO"</formula>
    </cfRule>
    <cfRule type="cellIs" priority="1548" operator="equal" dxfId="61">
      <formula>"CW"</formula>
    </cfRule>
    <cfRule type="cellIs" priority="1549" operator="equal" dxfId="61">
      <formula>"CF"</formula>
    </cfRule>
    <cfRule type="containsText" priority="1550" operator="containsText" dxfId="37" stopIfTrue="1" text="無薪">
      <formula>NOT(ISERROR(SEARCH("無薪",I43)))</formula>
    </cfRule>
    <cfRule type="containsText" priority="1551" operator="containsText" dxfId="38" stopIfTrue="1" text="TIL">
      <formula>NOT(ISERROR(SEARCH("TIL",I43)))</formula>
    </cfRule>
    <cfRule type="containsText" priority="1552" operator="containsText" dxfId="39" stopIfTrue="1" text="疫苗">
      <formula>NOT(ISERROR(SEARCH("疫苗",I43)))</formula>
    </cfRule>
    <cfRule type="containsText" priority="1553" operator="containsText" dxfId="0" stopIfTrue="1" text="勞假">
      <formula>NOT(ISERROR(SEARCH("勞假",I43)))</formula>
    </cfRule>
    <cfRule type="containsText" priority="1554" operator="containsText" dxfId="36" stopIfTrue="1" text="補假">
      <formula>NOT(ISERROR(SEARCH("補假",I43)))</formula>
    </cfRule>
    <cfRule type="containsText" priority="1555" operator="containsText" dxfId="35" stopIfTrue="1" text="例假">
      <formula>NOT(ISERROR(SEARCH("例假",I43)))</formula>
    </cfRule>
    <cfRule type="containsText" priority="1556" operator="containsText" dxfId="4" stopIfTrue="1" text="病假">
      <formula>NOT(ISERROR(SEARCH("病假",I43)))</formula>
    </cfRule>
    <cfRule type="containsText" priority="1557" operator="containsText" dxfId="34" stopIfTrue="1" text="大假">
      <formula>NOT(ISERROR(SEARCH("大假",I43)))</formula>
    </cfRule>
    <cfRule type="containsText" priority="1558" operator="containsText" dxfId="37" stopIfTrue="1" text="無薪">
      <formula>NOT(ISERROR(SEARCH("無薪",I43)))</formula>
    </cfRule>
    <cfRule type="containsText" priority="1559" operator="containsText" dxfId="38" stopIfTrue="1" text="TIL">
      <formula>NOT(ISERROR(SEARCH("TIL",I43)))</formula>
    </cfRule>
    <cfRule type="containsText" priority="1560" operator="containsText" dxfId="39" stopIfTrue="1" text="疫苗">
      <formula>NOT(ISERROR(SEARCH("疫苗",I43)))</formula>
    </cfRule>
    <cfRule type="containsText" priority="1561" operator="containsText" dxfId="0" stopIfTrue="1" text="勞假">
      <formula>NOT(ISERROR(SEARCH("勞假",I43)))</formula>
    </cfRule>
    <cfRule type="containsText" priority="1562" operator="containsText" dxfId="36" stopIfTrue="1" text="補假">
      <formula>NOT(ISERROR(SEARCH("補假",I43)))</formula>
    </cfRule>
    <cfRule type="containsText" priority="1563" operator="containsText" dxfId="35" stopIfTrue="1" text="例假">
      <formula>NOT(ISERROR(SEARCH("例假",I43)))</formula>
    </cfRule>
    <cfRule type="containsText" priority="1564" operator="containsText" dxfId="4" stopIfTrue="1" text="病假">
      <formula>NOT(ISERROR(SEARCH("病假",I43)))</formula>
    </cfRule>
    <cfRule type="containsText" priority="1565" operator="containsText" dxfId="34" stopIfTrue="1" text="大假">
      <formula>NOT(ISERROR(SEARCH("大假",I43)))</formula>
    </cfRule>
    <cfRule type="containsText" priority="1566" operator="containsText" dxfId="38" stopIfTrue="1" text="TIL">
      <formula>NOT(ISERROR(SEARCH("TIL",I43)))</formula>
    </cfRule>
    <cfRule type="cellIs" priority="1567" operator="equal" dxfId="4" stopIfTrue="1">
      <formula>"NP"</formula>
    </cfRule>
    <cfRule type="cellIs" priority="1568" operator="equal" dxfId="25" stopIfTrue="1">
      <formula>"RD"</formula>
    </cfRule>
    <cfRule type="containsText" priority="1569" operator="containsText" dxfId="38" stopIfTrue="1" text="TIL">
      <formula>NOT(ISERROR(SEARCH("TIL",I43)))</formula>
    </cfRule>
    <cfRule type="containsText" priority="1570" operator="containsText" dxfId="39" stopIfTrue="1" text="疫苗">
      <formula>NOT(ISERROR(SEARCH("疫苗",I43)))</formula>
    </cfRule>
    <cfRule type="containsText" priority="1571" operator="containsText" dxfId="0" stopIfTrue="1" text="勞假">
      <formula>NOT(ISERROR(SEARCH("勞假",I43)))</formula>
    </cfRule>
    <cfRule type="containsText" priority="1572" operator="containsText" dxfId="36" stopIfTrue="1" text="補假">
      <formula>NOT(ISERROR(SEARCH("補假",I43)))</formula>
    </cfRule>
    <cfRule type="containsText" priority="1573" operator="containsText" dxfId="35" stopIfTrue="1" text="例假">
      <formula>NOT(ISERROR(SEARCH("例假",I43)))</formula>
    </cfRule>
    <cfRule type="containsText" priority="1574" operator="containsText" dxfId="4" stopIfTrue="1" text="病假">
      <formula>NOT(ISERROR(SEARCH("病假",I43)))</formula>
    </cfRule>
    <cfRule type="containsText" priority="1575" operator="containsText" dxfId="34" stopIfTrue="1" text="大假">
      <formula>NOT(ISERROR(SEARCH("大假",I43)))</formula>
    </cfRule>
    <cfRule type="containsText" priority="1576" operator="containsText" dxfId="38" stopIfTrue="1" text="TIL">
      <formula>NOT(ISERROR(SEARCH("TIL",I43)))</formula>
    </cfRule>
    <cfRule type="containsText" priority="1577" operator="containsText" dxfId="39" stopIfTrue="1" text="疫苗">
      <formula>NOT(ISERROR(SEARCH("疫苗",I43)))</formula>
    </cfRule>
    <cfRule type="containsText" priority="1578" operator="containsText" dxfId="0" stopIfTrue="1" text="勞假">
      <formula>NOT(ISERROR(SEARCH("勞假",I43)))</formula>
    </cfRule>
    <cfRule type="containsText" priority="1579" operator="containsText" dxfId="36" stopIfTrue="1" text="補假">
      <formula>NOT(ISERROR(SEARCH("補假",I43)))</formula>
    </cfRule>
    <cfRule type="containsText" priority="1580" operator="containsText" dxfId="35" stopIfTrue="1" text="例假">
      <formula>NOT(ISERROR(SEARCH("例假",I43)))</formula>
    </cfRule>
    <cfRule type="containsText" priority="1581" operator="containsText" dxfId="4" stopIfTrue="1" text="病假">
      <formula>NOT(ISERROR(SEARCH("病假",I43)))</formula>
    </cfRule>
    <cfRule type="containsText" priority="1582" operator="containsText" dxfId="34" stopIfTrue="1" text="大假">
      <formula>NOT(ISERROR(SEARCH("大假",I43)))</formula>
    </cfRule>
    <cfRule type="containsText" priority="1583" operator="containsText" dxfId="37" stopIfTrue="1" text="無薪">
      <formula>NOT(ISERROR(SEARCH("無薪",I43)))</formula>
    </cfRule>
    <cfRule type="containsText" priority="1584" operator="containsText" dxfId="39" stopIfTrue="1" text="疫苗">
      <formula>NOT(ISERROR(SEARCH("疫苗",I43)))</formula>
    </cfRule>
    <cfRule type="containsText" priority="1585" operator="containsText" dxfId="0" stopIfTrue="1" text="勞假">
      <formula>NOT(ISERROR(SEARCH("勞假",I43)))</formula>
    </cfRule>
    <cfRule type="containsText" priority="1586" operator="containsText" dxfId="36" stopIfTrue="1" text="補假">
      <formula>NOT(ISERROR(SEARCH("補假",I43)))</formula>
    </cfRule>
    <cfRule type="containsText" priority="1587" operator="containsText" dxfId="35" stopIfTrue="1" text="例假">
      <formula>NOT(ISERROR(SEARCH("例假",I43)))</formula>
    </cfRule>
    <cfRule type="containsText" priority="1588" operator="containsText" dxfId="4" stopIfTrue="1" text="病假">
      <formula>NOT(ISERROR(SEARCH("病假",I43)))</formula>
    </cfRule>
    <cfRule type="containsText" priority="1589" operator="containsText" dxfId="34" stopIfTrue="1" text="大假">
      <formula>NOT(ISERROR(SEARCH("大假",I43)))</formula>
    </cfRule>
    <cfRule type="containsText" priority="1590" operator="containsText" dxfId="37" stopIfTrue="1" text="無薪">
      <formula>NOT(ISERROR(SEARCH("無薪",I43)))</formula>
    </cfRule>
    <cfRule type="containsText" priority="1591" operator="containsText" dxfId="38" stopIfTrue="1" text="TIL">
      <formula>NOT(ISERROR(SEARCH("TIL",I43)))</formula>
    </cfRule>
    <cfRule type="containsText" priority="1592" operator="containsText" dxfId="39" stopIfTrue="1" text="疫苗">
      <formula>NOT(ISERROR(SEARCH("疫苗",I43)))</formula>
    </cfRule>
    <cfRule type="containsText" priority="1593" operator="containsText" dxfId="0" stopIfTrue="1" text="勞假">
      <formula>NOT(ISERROR(SEARCH("勞假",I43)))</formula>
    </cfRule>
    <cfRule type="containsText" priority="1594" operator="containsText" dxfId="36" stopIfTrue="1" text="補假">
      <formula>NOT(ISERROR(SEARCH("補假",I43)))</formula>
    </cfRule>
    <cfRule type="containsText" priority="1595" operator="containsText" dxfId="35" stopIfTrue="1" text="例假">
      <formula>NOT(ISERROR(SEARCH("例假",I43)))</formula>
    </cfRule>
    <cfRule type="containsText" priority="1596" operator="containsText" dxfId="4" stopIfTrue="1" text="病假">
      <formula>NOT(ISERROR(SEARCH("病假",I43)))</formula>
    </cfRule>
    <cfRule type="containsText" priority="1597" operator="containsText" dxfId="34" stopIfTrue="1" text="大假">
      <formula>NOT(ISERROR(SEARCH("大假",I43)))</formula>
    </cfRule>
    <cfRule type="containsText" priority="1598" operator="containsText" dxfId="37" stopIfTrue="1" text="無薪">
      <formula>NOT(ISERROR(SEARCH("無薪",I43)))</formula>
    </cfRule>
    <cfRule type="containsText" priority="1599" operator="containsText" dxfId="38" stopIfTrue="1" text="TIL">
      <formula>NOT(ISERROR(SEARCH("TIL",I43)))</formula>
    </cfRule>
    <cfRule type="containsText" priority="1600" operator="containsText" dxfId="39" stopIfTrue="1" text="疫苗">
      <formula>NOT(ISERROR(SEARCH("疫苗",I43)))</formula>
    </cfRule>
    <cfRule type="containsText" priority="1601" operator="containsText" dxfId="0" stopIfTrue="1" text="勞假">
      <formula>NOT(ISERROR(SEARCH("勞假",I43)))</formula>
    </cfRule>
    <cfRule type="containsText" priority="1602" operator="containsText" dxfId="36" stopIfTrue="1" text="補假">
      <formula>NOT(ISERROR(SEARCH("補假",I43)))</formula>
    </cfRule>
    <cfRule type="containsText" priority="1603" operator="containsText" dxfId="35" stopIfTrue="1" text="例假">
      <formula>NOT(ISERROR(SEARCH("例假",I43)))</formula>
    </cfRule>
    <cfRule type="containsText" priority="1604" operator="containsText" dxfId="4" stopIfTrue="1" text="病假">
      <formula>NOT(ISERROR(SEARCH("病假",I43)))</formula>
    </cfRule>
    <cfRule type="containsText" priority="1605" operator="containsText" dxfId="34" stopIfTrue="1" text="大假">
      <formula>NOT(ISERROR(SEARCH("大假",I43)))</formula>
    </cfRule>
    <cfRule type="containsText" priority="1606" operator="containsText" dxfId="37" stopIfTrue="1" text="無薪">
      <formula>NOT(ISERROR(SEARCH("無薪",I43)))</formula>
    </cfRule>
    <cfRule type="cellIs" priority="1607" operator="equal" dxfId="24">
      <formula>"NC"</formula>
    </cfRule>
    <cfRule type="cellIs" priority="1608" operator="equal" dxfId="24">
      <formula>"nd"</formula>
    </cfRule>
    <cfRule type="cellIs" priority="1609" operator="equal" dxfId="24">
      <formula>0</formula>
    </cfRule>
    <cfRule type="cellIs" priority="1610" operator="equal" dxfId="23">
      <formula>"R"</formula>
    </cfRule>
    <cfRule type="cellIs" priority="1611" operator="equal" dxfId="48">
      <formula>"NH12"</formula>
    </cfRule>
    <cfRule type="cellIs" priority="1612" operator="equal" dxfId="48">
      <formula>"Nh11"</formula>
    </cfRule>
    <cfRule type="containsText" priority="1613" operator="containsText" dxfId="38" stopIfTrue="1" text="TIL">
      <formula>NOT(ISERROR(SEARCH("TIL",I43)))</formula>
    </cfRule>
    <cfRule type="containsText" priority="1614" operator="containsText" dxfId="39" stopIfTrue="1" text="疫苗">
      <formula>NOT(ISERROR(SEARCH("疫苗",I43)))</formula>
    </cfRule>
    <cfRule type="containsText" priority="1615" operator="containsText" dxfId="0" stopIfTrue="1" text="勞假">
      <formula>NOT(ISERROR(SEARCH("勞假",I43)))</formula>
    </cfRule>
    <cfRule type="containsText" priority="1616" operator="containsText" dxfId="36" stopIfTrue="1" text="補假">
      <formula>NOT(ISERROR(SEARCH("補假",I43)))</formula>
    </cfRule>
    <cfRule type="containsText" priority="1617" operator="containsText" dxfId="35" stopIfTrue="1" text="例假">
      <formula>NOT(ISERROR(SEARCH("例假",I43)))</formula>
    </cfRule>
    <cfRule type="containsText" priority="1618" operator="containsText" dxfId="4" stopIfTrue="1" text="病假">
      <formula>NOT(ISERROR(SEARCH("病假",I43)))</formula>
    </cfRule>
    <cfRule type="containsText" priority="1619" operator="containsText" dxfId="34" stopIfTrue="1" text="大假">
      <formula>NOT(ISERROR(SEARCH("大假",I43)))</formula>
    </cfRule>
    <cfRule type="containsText" priority="1620" operator="containsText" dxfId="37" stopIfTrue="1" text="無薪">
      <formula>NOT(ISERROR(SEARCH("無薪",I43)))</formula>
    </cfRule>
    <cfRule type="containsText" priority="1621" operator="containsText" dxfId="38" stopIfTrue="1" text="TIL">
      <formula>NOT(ISERROR(SEARCH("TIL",I43)))</formula>
    </cfRule>
    <cfRule type="containsText" priority="1622" operator="containsText" dxfId="39" stopIfTrue="1" text="疫苗">
      <formula>NOT(ISERROR(SEARCH("疫苗",I43)))</formula>
    </cfRule>
    <cfRule type="containsText" priority="1623" operator="containsText" dxfId="0" stopIfTrue="1" text="勞假">
      <formula>NOT(ISERROR(SEARCH("勞假",I43)))</formula>
    </cfRule>
    <cfRule type="containsText" priority="1624" operator="containsText" dxfId="36" stopIfTrue="1" text="補假">
      <formula>NOT(ISERROR(SEARCH("補假",I43)))</formula>
    </cfRule>
    <cfRule type="containsText" priority="1625" operator="containsText" dxfId="35" stopIfTrue="1" text="例假">
      <formula>NOT(ISERROR(SEARCH("例假",I43)))</formula>
    </cfRule>
    <cfRule type="containsText" priority="1626" operator="containsText" dxfId="4" stopIfTrue="1" text="病假">
      <formula>NOT(ISERROR(SEARCH("病假",I43)))</formula>
    </cfRule>
    <cfRule type="containsText" priority="1627" operator="containsText" dxfId="34" stopIfTrue="1" text="大假">
      <formula>NOT(ISERROR(SEARCH("大假",I43)))</formula>
    </cfRule>
    <cfRule type="containsText" priority="1628" operator="containsText" dxfId="37" stopIfTrue="1" text="無薪">
      <formula>NOT(ISERROR(SEARCH("無薪",I43)))</formula>
    </cfRule>
    <cfRule type="containsText" priority="1629" operator="containsText" dxfId="39" stopIfTrue="1" text="疫苗">
      <formula>NOT(ISERROR(SEARCH("疫苗",I43)))</formula>
    </cfRule>
    <cfRule type="containsText" priority="1630" operator="containsText" dxfId="0" stopIfTrue="1" text="勞假">
      <formula>NOT(ISERROR(SEARCH("勞假",I43)))</formula>
    </cfRule>
    <cfRule type="containsText" priority="1631" operator="containsText" dxfId="36" stopIfTrue="1" text="補假">
      <formula>NOT(ISERROR(SEARCH("補假",I43)))</formula>
    </cfRule>
    <cfRule type="containsText" priority="1632" operator="containsText" dxfId="35" stopIfTrue="1" text="例假">
      <formula>NOT(ISERROR(SEARCH("例假",I43)))</formula>
    </cfRule>
    <cfRule type="containsText" priority="1633" operator="containsText" dxfId="4" stopIfTrue="1" text="病假">
      <formula>NOT(ISERROR(SEARCH("病假",I43)))</formula>
    </cfRule>
    <cfRule type="containsText" priority="1634" operator="containsText" dxfId="34" stopIfTrue="1" text="大假">
      <formula>NOT(ISERROR(SEARCH("大假",I43)))</formula>
    </cfRule>
    <cfRule type="containsText" priority="1635" operator="containsText" dxfId="4" text="RD">
      <formula>NOT(ISERROR(SEARCH("RD",I43)))</formula>
    </cfRule>
    <cfRule type="containsText" priority="1636" operator="containsText" dxfId="405" text="NP">
      <formula>NOT(ISERROR(SEARCH("NP",I43)))</formula>
    </cfRule>
  </conditionalFormatting>
  <conditionalFormatting sqref="J10:J11 L18:L34">
    <cfRule type="containsText" priority="4004" operator="containsText" dxfId="2602" text="CW">
      <formula>NOT(ISERROR(SEARCH("CW",J10)))</formula>
    </cfRule>
  </conditionalFormatting>
  <conditionalFormatting sqref="B49 K13 K36 K45 R13 R36 R45 Y13 Y36 Y45">
    <cfRule type="cellIs" priority="8005" operator="equal" dxfId="21">
      <formula>"NC"</formula>
    </cfRule>
  </conditionalFormatting>
  <conditionalFormatting sqref="D6:AE6 G52:I52 J51:AE51 K13 K36 L50:AE50 R13 R36 Y13 Y36">
    <cfRule type="cellIs" priority="8735" operator="equal" dxfId="4" stopIfTrue="1">
      <formula>"NP"</formula>
    </cfRule>
  </conditionalFormatting>
  <conditionalFormatting sqref="D10:AE13 D14:D15 D16:AE36 D37:D38 D39:AE43 K14:K15 K37:K38 R14:R15 R37:R38 Y14:Y15 Y37:Y38">
    <cfRule type="cellIs" priority="1331" operator="equal" dxfId="847">
      <formula>"NSH"</formula>
    </cfRule>
  </conditionalFormatting>
  <conditionalFormatting sqref="K14:K15">
    <cfRule type="cellIs" priority="1319" operator="equal" dxfId="4" stopIfTrue="1">
      <formula>"NP"</formula>
    </cfRule>
    <cfRule type="cellIs" priority="1320" operator="equal" dxfId="25" stopIfTrue="1">
      <formula>"RD"</formula>
    </cfRule>
    <cfRule type="cellIs" priority="1321" operator="equal" dxfId="21">
      <formula>"NC"</formula>
    </cfRule>
  </conditionalFormatting>
  <conditionalFormatting sqref="D36:D37 K36:K37 R36:R37 Y36:Y37">
    <cfRule type="cellIs" priority="1271" operator="equal" dxfId="1063">
      <formula>"CW"</formula>
    </cfRule>
    <cfRule type="cellIs" priority="1272" operator="equal" dxfId="24">
      <formula>"VO"</formula>
    </cfRule>
    <cfRule type="cellIs" priority="1273" operator="equal" dxfId="48">
      <formula>"NP"</formula>
    </cfRule>
    <cfRule type="cellIs" priority="1274" operator="equal" dxfId="24">
      <formula>"MOU"</formula>
    </cfRule>
    <cfRule type="cellIs" priority="1275" operator="equal" dxfId="24">
      <formula>"VO, MOU, CW, CF"</formula>
    </cfRule>
  </conditionalFormatting>
  <conditionalFormatting sqref="K37:K38">
    <cfRule type="cellIs" priority="1258" operator="equal" dxfId="4" stopIfTrue="1">
      <formula>"NP"</formula>
    </cfRule>
    <cfRule type="cellIs" priority="1259" operator="equal" dxfId="25" stopIfTrue="1">
      <formula>"RD"</formula>
    </cfRule>
    <cfRule type="cellIs" priority="1260" operator="equal" dxfId="21">
      <formula>"NC"</formula>
    </cfRule>
  </conditionalFormatting>
  <conditionalFormatting sqref="K45 R45 Y45">
    <cfRule type="cellIs" priority="1250" operator="equal" dxfId="4" stopIfTrue="1">
      <formula>"NP"</formula>
    </cfRule>
    <cfRule type="cellIs" priority="1251" operator="equal" dxfId="25" stopIfTrue="1">
      <formula>"RD"</formula>
    </cfRule>
  </conditionalFormatting>
  <conditionalFormatting sqref="D45:D46 K45:K46 R45:R46 Y45:Y46">
    <cfRule type="cellIs" priority="1187" operator="equal" dxfId="1063">
      <formula>"CW"</formula>
    </cfRule>
    <cfRule type="cellIs" priority="1188" operator="equal" dxfId="24">
      <formula>"VO"</formula>
    </cfRule>
    <cfRule type="cellIs" priority="1189" operator="equal" dxfId="48">
      <formula>"NP"</formula>
    </cfRule>
    <cfRule type="cellIs" priority="1190" operator="equal" dxfId="24">
      <formula>"MOU"</formula>
    </cfRule>
    <cfRule type="cellIs" priority="1191" operator="equal" dxfId="24">
      <formula>"VO, MOU, CW, CF"</formula>
    </cfRule>
  </conditionalFormatting>
  <conditionalFormatting sqref="K46">
    <cfRule type="cellIs" priority="1174" operator="equal" dxfId="4" stopIfTrue="1">
      <formula>"NP"</formula>
    </cfRule>
    <cfRule type="cellIs" priority="1175" operator="equal" dxfId="25" stopIfTrue="1">
      <formula>"RD"</formula>
    </cfRule>
    <cfRule type="cellIs" priority="1176" operator="equal" dxfId="21">
      <formula>"NC"</formula>
    </cfRule>
  </conditionalFormatting>
  <conditionalFormatting sqref="L11">
    <cfRule type="containsText" priority="2800" operator="containsText" dxfId="2602" text="CW">
      <formula>NOT(ISERROR(SEARCH("CW",L11)))</formula>
    </cfRule>
    <cfRule type="containsText" priority="2801" operator="containsText" dxfId="4" text="RD">
      <formula>NOT(ISERROR(SEARCH("RD",L11)))</formula>
    </cfRule>
    <cfRule type="containsText" priority="2802" operator="containsText" dxfId="405" text="NP">
      <formula>NOT(ISERROR(SEARCH("NP",L11)))</formula>
    </cfRule>
  </conditionalFormatting>
  <conditionalFormatting sqref="L41">
    <cfRule type="containsText" priority="2646" operator="containsText" dxfId="2602" text="CW">
      <formula>NOT(ISERROR(SEARCH("CW",L41)))</formula>
    </cfRule>
  </conditionalFormatting>
  <conditionalFormatting sqref="L42:L43">
    <cfRule type="containsText" priority="3259" operator="containsText" dxfId="2602" text="CW">
      <formula>NOT(ISERROR(SEARCH("CW",L42)))</formula>
    </cfRule>
  </conditionalFormatting>
  <conditionalFormatting sqref="L11:Z11">
    <cfRule type="cellIs" priority="2797" operator="equal" dxfId="61">
      <formula>"VO"</formula>
    </cfRule>
    <cfRule type="cellIs" priority="2798" operator="equal" dxfId="61">
      <formula>"CW"</formula>
    </cfRule>
    <cfRule type="cellIs" priority="2799" operator="equal" dxfId="61">
      <formula>"CF"</formula>
    </cfRule>
  </conditionalFormatting>
  <conditionalFormatting sqref="P42:P43">
    <cfRule type="containsText" priority="2538" operator="containsText" dxfId="37" stopIfTrue="1" text="無薪">
      <formula>NOT(ISERROR(SEARCH("無薪",P42)))</formula>
    </cfRule>
    <cfRule type="containsText" priority="2539" operator="containsText" dxfId="38" stopIfTrue="1" text="TIL">
      <formula>NOT(ISERROR(SEARCH("TIL",P42)))</formula>
    </cfRule>
    <cfRule type="containsText" priority="2540" operator="containsText" dxfId="39" stopIfTrue="1" text="疫苗">
      <formula>NOT(ISERROR(SEARCH("疫苗",P42)))</formula>
    </cfRule>
    <cfRule type="containsText" priority="2541" operator="containsText" dxfId="0" stopIfTrue="1" text="勞假">
      <formula>NOT(ISERROR(SEARCH("勞假",P42)))</formula>
    </cfRule>
    <cfRule type="containsText" priority="2542" operator="containsText" dxfId="36" stopIfTrue="1" text="補假">
      <formula>NOT(ISERROR(SEARCH("補假",P42)))</formula>
    </cfRule>
    <cfRule type="containsText" priority="2543" operator="containsText" dxfId="35" stopIfTrue="1" text="例假">
      <formula>NOT(ISERROR(SEARCH("例假",P42)))</formula>
    </cfRule>
    <cfRule type="containsText" priority="2544" operator="containsText" dxfId="4" stopIfTrue="1" text="病假">
      <formula>NOT(ISERROR(SEARCH("病假",P42)))</formula>
    </cfRule>
    <cfRule type="containsText" priority="2545" operator="containsText" dxfId="34" stopIfTrue="1" text="大假">
      <formula>NOT(ISERROR(SEARCH("大假",P42)))</formula>
    </cfRule>
    <cfRule type="containsText" priority="2546" operator="containsText" dxfId="37" stopIfTrue="1" text="無薪">
      <formula>NOT(ISERROR(SEARCH("無薪",P42)))</formula>
    </cfRule>
    <cfRule type="containsText" priority="2547" operator="containsText" dxfId="38" stopIfTrue="1" text="TIL">
      <formula>NOT(ISERROR(SEARCH("TIL",P42)))</formula>
    </cfRule>
    <cfRule type="containsText" priority="2548" operator="containsText" dxfId="39" stopIfTrue="1" text="疫苗">
      <formula>NOT(ISERROR(SEARCH("疫苗",P42)))</formula>
    </cfRule>
    <cfRule type="containsText" priority="2549" operator="containsText" dxfId="0" stopIfTrue="1" text="勞假">
      <formula>NOT(ISERROR(SEARCH("勞假",P42)))</formula>
    </cfRule>
    <cfRule type="containsText" priority="2550" operator="containsText" dxfId="36" stopIfTrue="1" text="補假">
      <formula>NOT(ISERROR(SEARCH("補假",P42)))</formula>
    </cfRule>
    <cfRule type="containsText" priority="2551" operator="containsText" dxfId="35" stopIfTrue="1" text="例假">
      <formula>NOT(ISERROR(SEARCH("例假",P42)))</formula>
    </cfRule>
    <cfRule type="containsText" priority="2552" operator="containsText" dxfId="4" stopIfTrue="1" text="病假">
      <formula>NOT(ISERROR(SEARCH("病假",P42)))</formula>
    </cfRule>
    <cfRule type="containsText" priority="2553" operator="containsText" dxfId="34" stopIfTrue="1" text="大假">
      <formula>NOT(ISERROR(SEARCH("大假",P42)))</formula>
    </cfRule>
    <cfRule type="containsText" priority="2554" operator="containsText" dxfId="38" stopIfTrue="1" text="TIL">
      <formula>NOT(ISERROR(SEARCH("TIL",P42)))</formula>
    </cfRule>
    <cfRule type="cellIs" priority="2555" operator="equal" dxfId="4" stopIfTrue="1">
      <formula>"NP"</formula>
    </cfRule>
    <cfRule type="cellIs" priority="2556" operator="equal" dxfId="25" stopIfTrue="1">
      <formula>"RD"</formula>
    </cfRule>
    <cfRule type="containsText" priority="2557" operator="containsText" dxfId="38" stopIfTrue="1" text="TIL">
      <formula>NOT(ISERROR(SEARCH("TIL",P42)))</formula>
    </cfRule>
    <cfRule type="containsText" priority="2558" operator="containsText" dxfId="39" stopIfTrue="1" text="疫苗">
      <formula>NOT(ISERROR(SEARCH("疫苗",P42)))</formula>
    </cfRule>
    <cfRule type="containsText" priority="2559" operator="containsText" dxfId="0" stopIfTrue="1" text="勞假">
      <formula>NOT(ISERROR(SEARCH("勞假",P42)))</formula>
    </cfRule>
    <cfRule type="containsText" priority="2560" operator="containsText" dxfId="36" stopIfTrue="1" text="補假">
      <formula>NOT(ISERROR(SEARCH("補假",P42)))</formula>
    </cfRule>
    <cfRule type="containsText" priority="2561" operator="containsText" dxfId="35" stopIfTrue="1" text="例假">
      <formula>NOT(ISERROR(SEARCH("例假",P42)))</formula>
    </cfRule>
    <cfRule type="containsText" priority="2562" operator="containsText" dxfId="4" stopIfTrue="1" text="病假">
      <formula>NOT(ISERROR(SEARCH("病假",P42)))</formula>
    </cfRule>
    <cfRule type="containsText" priority="2563" operator="containsText" dxfId="34" stopIfTrue="1" text="大假">
      <formula>NOT(ISERROR(SEARCH("大假",P42)))</formula>
    </cfRule>
    <cfRule type="containsText" priority="2564" operator="containsText" dxfId="38" stopIfTrue="1" text="TIL">
      <formula>NOT(ISERROR(SEARCH("TIL",P42)))</formula>
    </cfRule>
    <cfRule type="containsText" priority="2565" operator="containsText" dxfId="39" stopIfTrue="1" text="疫苗">
      <formula>NOT(ISERROR(SEARCH("疫苗",P42)))</formula>
    </cfRule>
    <cfRule type="containsText" priority="2566" operator="containsText" dxfId="0" stopIfTrue="1" text="勞假">
      <formula>NOT(ISERROR(SEARCH("勞假",P42)))</formula>
    </cfRule>
    <cfRule type="containsText" priority="2567" operator="containsText" dxfId="36" stopIfTrue="1" text="補假">
      <formula>NOT(ISERROR(SEARCH("補假",P42)))</formula>
    </cfRule>
    <cfRule type="containsText" priority="2568" operator="containsText" dxfId="35" stopIfTrue="1" text="例假">
      <formula>NOT(ISERROR(SEARCH("例假",P42)))</formula>
    </cfRule>
    <cfRule type="containsText" priority="2569" operator="containsText" dxfId="4" stopIfTrue="1" text="病假">
      <formula>NOT(ISERROR(SEARCH("病假",P42)))</formula>
    </cfRule>
    <cfRule type="containsText" priority="2570" operator="containsText" dxfId="34" stopIfTrue="1" text="大假">
      <formula>NOT(ISERROR(SEARCH("大假",P42)))</formula>
    </cfRule>
    <cfRule type="containsText" priority="2571" operator="containsText" dxfId="37" stopIfTrue="1" text="無薪">
      <formula>NOT(ISERROR(SEARCH("無薪",P42)))</formula>
    </cfRule>
    <cfRule type="containsText" priority="2572" operator="containsText" dxfId="39" stopIfTrue="1" text="疫苗">
      <formula>NOT(ISERROR(SEARCH("疫苗",P42)))</formula>
    </cfRule>
    <cfRule type="containsText" priority="2573" operator="containsText" dxfId="0" stopIfTrue="1" text="勞假">
      <formula>NOT(ISERROR(SEARCH("勞假",P42)))</formula>
    </cfRule>
    <cfRule type="containsText" priority="2574" operator="containsText" dxfId="36" stopIfTrue="1" text="補假">
      <formula>NOT(ISERROR(SEARCH("補假",P42)))</formula>
    </cfRule>
    <cfRule type="containsText" priority="2575" operator="containsText" dxfId="35" stopIfTrue="1" text="例假">
      <formula>NOT(ISERROR(SEARCH("例假",P42)))</formula>
    </cfRule>
    <cfRule type="containsText" priority="2576" operator="containsText" dxfId="4" stopIfTrue="1" text="病假">
      <formula>NOT(ISERROR(SEARCH("病假",P42)))</formula>
    </cfRule>
    <cfRule type="containsText" priority="2577" operator="containsText" dxfId="34" stopIfTrue="1" text="大假">
      <formula>NOT(ISERROR(SEARCH("大假",P42)))</formula>
    </cfRule>
    <cfRule type="containsText" priority="2578" operator="containsText" dxfId="37" stopIfTrue="1" text="無薪">
      <formula>NOT(ISERROR(SEARCH("無薪",P42)))</formula>
    </cfRule>
    <cfRule type="containsText" priority="2579" operator="containsText" dxfId="38" stopIfTrue="1" text="TIL">
      <formula>NOT(ISERROR(SEARCH("TIL",P42)))</formula>
    </cfRule>
    <cfRule type="containsText" priority="2580" operator="containsText" dxfId="39" stopIfTrue="1" text="疫苗">
      <formula>NOT(ISERROR(SEARCH("疫苗",P42)))</formula>
    </cfRule>
    <cfRule type="containsText" priority="2581" operator="containsText" dxfId="0" stopIfTrue="1" text="勞假">
      <formula>NOT(ISERROR(SEARCH("勞假",P42)))</formula>
    </cfRule>
    <cfRule type="containsText" priority="2582" operator="containsText" dxfId="36" stopIfTrue="1" text="補假">
      <formula>NOT(ISERROR(SEARCH("補假",P42)))</formula>
    </cfRule>
    <cfRule type="containsText" priority="2583" operator="containsText" dxfId="35" stopIfTrue="1" text="例假">
      <formula>NOT(ISERROR(SEARCH("例假",P42)))</formula>
    </cfRule>
    <cfRule type="containsText" priority="2584" operator="containsText" dxfId="4" stopIfTrue="1" text="病假">
      <formula>NOT(ISERROR(SEARCH("病假",P42)))</formula>
    </cfRule>
    <cfRule type="containsText" priority="2585" operator="containsText" dxfId="34" stopIfTrue="1" text="大假">
      <formula>NOT(ISERROR(SEARCH("大假",P42)))</formula>
    </cfRule>
    <cfRule type="containsText" priority="2586" operator="containsText" dxfId="37" stopIfTrue="1" text="無薪">
      <formula>NOT(ISERROR(SEARCH("無薪",P42)))</formula>
    </cfRule>
    <cfRule type="containsText" priority="2587" operator="containsText" dxfId="38" stopIfTrue="1" text="TIL">
      <formula>NOT(ISERROR(SEARCH("TIL",P42)))</formula>
    </cfRule>
    <cfRule type="containsText" priority="2588" operator="containsText" dxfId="39" stopIfTrue="1" text="疫苗">
      <formula>NOT(ISERROR(SEARCH("疫苗",P42)))</formula>
    </cfRule>
    <cfRule type="containsText" priority="2589" operator="containsText" dxfId="0" stopIfTrue="1" text="勞假">
      <formula>NOT(ISERROR(SEARCH("勞假",P42)))</formula>
    </cfRule>
    <cfRule type="containsText" priority="2590" operator="containsText" dxfId="36" stopIfTrue="1" text="補假">
      <formula>NOT(ISERROR(SEARCH("補假",P42)))</formula>
    </cfRule>
    <cfRule type="containsText" priority="2591" operator="containsText" dxfId="35" stopIfTrue="1" text="例假">
      <formula>NOT(ISERROR(SEARCH("例假",P42)))</formula>
    </cfRule>
    <cfRule type="containsText" priority="2592" operator="containsText" dxfId="4" stopIfTrue="1" text="病假">
      <formula>NOT(ISERROR(SEARCH("病假",P42)))</formula>
    </cfRule>
    <cfRule type="containsText" priority="2593" operator="containsText" dxfId="34" stopIfTrue="1" text="大假">
      <formula>NOT(ISERROR(SEARCH("大假",P42)))</formula>
    </cfRule>
    <cfRule type="containsText" priority="2594" operator="containsText" dxfId="37" stopIfTrue="1" text="無薪">
      <formula>NOT(ISERROR(SEARCH("無薪",P42)))</formula>
    </cfRule>
    <cfRule type="cellIs" priority="2595" operator="equal" dxfId="24">
      <formula>"NC"</formula>
    </cfRule>
    <cfRule type="cellIs" priority="2596" operator="equal" dxfId="24">
      <formula>"nd"</formula>
    </cfRule>
    <cfRule type="cellIs" priority="2597" operator="equal" dxfId="24">
      <formula>0</formula>
    </cfRule>
    <cfRule type="cellIs" priority="2598" operator="equal" dxfId="23">
      <formula>"R"</formula>
    </cfRule>
    <cfRule type="cellIs" priority="2599" operator="equal" dxfId="48">
      <formula>"NH12"</formula>
    </cfRule>
    <cfRule type="cellIs" priority="2600" operator="equal" dxfId="48">
      <formula>"Nh11"</formula>
    </cfRule>
    <cfRule type="containsText" priority="2601" operator="containsText" dxfId="38" stopIfTrue="1" text="TIL">
      <formula>NOT(ISERROR(SEARCH("TIL",P42)))</formula>
    </cfRule>
    <cfRule type="containsText" priority="2602" operator="containsText" dxfId="39" stopIfTrue="1" text="疫苗">
      <formula>NOT(ISERROR(SEARCH("疫苗",P42)))</formula>
    </cfRule>
    <cfRule type="containsText" priority="2603" operator="containsText" dxfId="0" stopIfTrue="1" text="勞假">
      <formula>NOT(ISERROR(SEARCH("勞假",P42)))</formula>
    </cfRule>
    <cfRule type="containsText" priority="2604" operator="containsText" dxfId="36" stopIfTrue="1" text="補假">
      <formula>NOT(ISERROR(SEARCH("補假",P42)))</formula>
    </cfRule>
    <cfRule type="containsText" priority="2605" operator="containsText" dxfId="35" stopIfTrue="1" text="例假">
      <formula>NOT(ISERROR(SEARCH("例假",P42)))</formula>
    </cfRule>
    <cfRule type="containsText" priority="2606" operator="containsText" dxfId="4" stopIfTrue="1" text="病假">
      <formula>NOT(ISERROR(SEARCH("病假",P42)))</formula>
    </cfRule>
    <cfRule type="containsText" priority="2607" operator="containsText" dxfId="34" stopIfTrue="1" text="大假">
      <formula>NOT(ISERROR(SEARCH("大假",P42)))</formula>
    </cfRule>
    <cfRule type="containsText" priority="2608" operator="containsText" dxfId="37" stopIfTrue="1" text="無薪">
      <formula>NOT(ISERROR(SEARCH("無薪",P42)))</formula>
    </cfRule>
    <cfRule type="containsText" priority="2609" operator="containsText" dxfId="38" stopIfTrue="1" text="TIL">
      <formula>NOT(ISERROR(SEARCH("TIL",P42)))</formula>
    </cfRule>
    <cfRule type="containsText" priority="2610" operator="containsText" dxfId="39" stopIfTrue="1" text="疫苗">
      <formula>NOT(ISERROR(SEARCH("疫苗",P42)))</formula>
    </cfRule>
    <cfRule type="containsText" priority="2611" operator="containsText" dxfId="0" stopIfTrue="1" text="勞假">
      <formula>NOT(ISERROR(SEARCH("勞假",P42)))</formula>
    </cfRule>
    <cfRule type="containsText" priority="2612" operator="containsText" dxfId="36" stopIfTrue="1" text="補假">
      <formula>NOT(ISERROR(SEARCH("補假",P42)))</formula>
    </cfRule>
    <cfRule type="containsText" priority="2613" operator="containsText" dxfId="35" stopIfTrue="1" text="例假">
      <formula>NOT(ISERROR(SEARCH("例假",P42)))</formula>
    </cfRule>
    <cfRule type="containsText" priority="2614" operator="containsText" dxfId="4" stopIfTrue="1" text="病假">
      <formula>NOT(ISERROR(SEARCH("病假",P42)))</formula>
    </cfRule>
    <cfRule type="containsText" priority="2615" operator="containsText" dxfId="34" stopIfTrue="1" text="大假">
      <formula>NOT(ISERROR(SEARCH("大假",P42)))</formula>
    </cfRule>
    <cfRule type="containsText" priority="2616" operator="containsText" dxfId="37" stopIfTrue="1" text="無薪">
      <formula>NOT(ISERROR(SEARCH("無薪",P42)))</formula>
    </cfRule>
    <cfRule type="containsText" priority="2617" operator="containsText" dxfId="39" stopIfTrue="1" text="疫苗">
      <formula>NOT(ISERROR(SEARCH("疫苗",P42)))</formula>
    </cfRule>
    <cfRule type="containsText" priority="2618" operator="containsText" dxfId="0" stopIfTrue="1" text="勞假">
      <formula>NOT(ISERROR(SEARCH("勞假",P42)))</formula>
    </cfRule>
    <cfRule type="containsText" priority="2619" operator="containsText" dxfId="36" stopIfTrue="1" text="補假">
      <formula>NOT(ISERROR(SEARCH("補假",P42)))</formula>
    </cfRule>
    <cfRule type="containsText" priority="2620" operator="containsText" dxfId="35" stopIfTrue="1" text="例假">
      <formula>NOT(ISERROR(SEARCH("例假",P42)))</formula>
    </cfRule>
    <cfRule type="containsText" priority="2621" operator="containsText" dxfId="4" stopIfTrue="1" text="病假">
      <formula>NOT(ISERROR(SEARCH("病假",P42)))</formula>
    </cfRule>
    <cfRule type="containsText" priority="2622" operator="containsText" dxfId="34" stopIfTrue="1" text="大假">
      <formula>NOT(ISERROR(SEARCH("大假",P42)))</formula>
    </cfRule>
    <cfRule type="containsText" priority="2623" operator="containsText" dxfId="4" text="RD">
      <formula>NOT(ISERROR(SEARCH("RD",P42)))</formula>
    </cfRule>
    <cfRule type="containsText" priority="2624" operator="containsText" dxfId="405" text="NP">
      <formula>NOT(ISERROR(SEARCH("NP",P42)))</formula>
    </cfRule>
  </conditionalFormatting>
  <conditionalFormatting sqref="Q10:AE10 Q11:Z11 AC11:AE11">
    <cfRule type="containsText" priority="4003" operator="containsText" dxfId="405" text="NP">
      <formula>NOT(ISERROR(SEARCH("NP",Q10)))</formula>
    </cfRule>
    <cfRule type="containsText" priority="4002" operator="containsText" dxfId="4" text="RD">
      <formula>NOT(ISERROR(SEARCH("RD",Q10)))</formula>
    </cfRule>
  </conditionalFormatting>
  <conditionalFormatting sqref="R14:R15">
    <cfRule type="cellIs" priority="1316" operator="equal" dxfId="4" stopIfTrue="1">
      <formula>"NP"</formula>
    </cfRule>
    <cfRule type="cellIs" priority="1317" operator="equal" dxfId="25" stopIfTrue="1">
      <formula>"RD"</formula>
    </cfRule>
    <cfRule type="cellIs" priority="1318" operator="equal" dxfId="21">
      <formula>"NC"</formula>
    </cfRule>
  </conditionalFormatting>
  <conditionalFormatting sqref="R37:R38">
    <cfRule type="cellIs" priority="1255" operator="equal" dxfId="4" stopIfTrue="1">
      <formula>"NP"</formula>
    </cfRule>
    <cfRule type="cellIs" priority="1256" operator="equal" dxfId="25" stopIfTrue="1">
      <formula>"RD"</formula>
    </cfRule>
    <cfRule type="cellIs" priority="1257" operator="equal" dxfId="21">
      <formula>"NC"</formula>
    </cfRule>
  </conditionalFormatting>
  <conditionalFormatting sqref="R42:R43 R43:W43">
    <cfRule type="containsText" priority="2898" operator="containsText" dxfId="4" text="RD">
      <formula>NOT(ISERROR(SEARCH("RD",R42)))</formula>
    </cfRule>
    <cfRule type="containsText" priority="2899" operator="containsText" dxfId="405" text="NP">
      <formula>NOT(ISERROR(SEARCH("NP",R42)))</formula>
    </cfRule>
  </conditionalFormatting>
  <conditionalFormatting sqref="R42:R43">
    <cfRule type="cellIs" priority="2894" operator="equal" dxfId="405">
      <formula>"NSH"</formula>
    </cfRule>
    <cfRule type="cellIs" priority="2895" operator="equal" dxfId="61">
      <formula>"VO"</formula>
    </cfRule>
    <cfRule type="cellIs" priority="2896" operator="equal" dxfId="61">
      <formula>"CW"</formula>
    </cfRule>
    <cfRule type="cellIs" priority="2897" operator="equal" dxfId="61">
      <formula>"CF"</formula>
    </cfRule>
  </conditionalFormatting>
  <conditionalFormatting sqref="R46">
    <cfRule type="cellIs" priority="1171" operator="equal" dxfId="4" stopIfTrue="1">
      <formula>"NP"</formula>
    </cfRule>
    <cfRule type="cellIs" priority="1172" operator="equal" dxfId="25" stopIfTrue="1">
      <formula>"RD"</formula>
    </cfRule>
    <cfRule type="cellIs" priority="1173" operator="equal" dxfId="21">
      <formula>"NC"</formula>
    </cfRule>
  </conditionalFormatting>
  <conditionalFormatting sqref="R42:Z42">
    <cfRule type="containsText" priority="1905" operator="containsText" dxfId="4" text="RD">
      <formula>NOT(ISERROR(SEARCH("RD",R42)))</formula>
    </cfRule>
    <cfRule type="containsText" priority="1906" operator="containsText" dxfId="405" text="NP">
      <formula>NOT(ISERROR(SEARCH("NP",R42)))</formula>
    </cfRule>
  </conditionalFormatting>
  <conditionalFormatting sqref="R42:Z43">
    <cfRule type="cellIs" priority="1902" operator="equal" dxfId="61">
      <formula>"VO"</formula>
    </cfRule>
    <cfRule type="cellIs" priority="1903" operator="equal" dxfId="61">
      <formula>"CW"</formula>
    </cfRule>
    <cfRule type="cellIs" priority="1904" operator="equal" dxfId="61">
      <formula>"CF"</formula>
    </cfRule>
  </conditionalFormatting>
  <conditionalFormatting sqref="R43:Z43">
    <cfRule type="cellIs" priority="2099" operator="equal" dxfId="405">
      <formula>"NSH"</formula>
    </cfRule>
  </conditionalFormatting>
  <conditionalFormatting sqref="S19:AE19">
    <cfRule type="containsText" priority="3071" operator="containsText" dxfId="37" stopIfTrue="1" text="無薪">
      <formula>NOT(ISERROR(SEARCH("無薪",S19)))</formula>
    </cfRule>
    <cfRule type="containsText" priority="3072" operator="containsText" dxfId="38" stopIfTrue="1" text="TIL">
      <formula>NOT(ISERROR(SEARCH("TIL",S19)))</formula>
    </cfRule>
    <cfRule type="containsText" priority="3073" operator="containsText" dxfId="39" stopIfTrue="1" text="疫苗">
      <formula>NOT(ISERROR(SEARCH("疫苗",S19)))</formula>
    </cfRule>
    <cfRule type="containsText" priority="3074" operator="containsText" dxfId="0" stopIfTrue="1" text="勞假">
      <formula>NOT(ISERROR(SEARCH("勞假",S19)))</formula>
    </cfRule>
    <cfRule type="containsText" priority="3075" operator="containsText" dxfId="36" stopIfTrue="1" text="補假">
      <formula>NOT(ISERROR(SEARCH("補假",S19)))</formula>
    </cfRule>
    <cfRule type="containsText" priority="3076" operator="containsText" dxfId="35" stopIfTrue="1" text="例假">
      <formula>NOT(ISERROR(SEARCH("例假",S19)))</formula>
    </cfRule>
    <cfRule type="containsText" priority="3077" operator="containsText" dxfId="4" stopIfTrue="1" text="病假">
      <formula>NOT(ISERROR(SEARCH("病假",S19)))</formula>
    </cfRule>
    <cfRule type="containsText" priority="3078" operator="containsText" dxfId="34" stopIfTrue="1" text="大假">
      <formula>NOT(ISERROR(SEARCH("大假",S19)))</formula>
    </cfRule>
    <cfRule type="containsText" priority="3079" operator="containsText" dxfId="37" stopIfTrue="1" text="無薪">
      <formula>NOT(ISERROR(SEARCH("無薪",S19)))</formula>
    </cfRule>
    <cfRule type="containsText" priority="3080" operator="containsText" dxfId="38" stopIfTrue="1" text="TIL">
      <formula>NOT(ISERROR(SEARCH("TIL",S19)))</formula>
    </cfRule>
    <cfRule type="containsText" priority="3081" operator="containsText" dxfId="39" stopIfTrue="1" text="疫苗">
      <formula>NOT(ISERROR(SEARCH("疫苗",S19)))</formula>
    </cfRule>
    <cfRule type="containsText" priority="3082" operator="containsText" dxfId="0" stopIfTrue="1" text="勞假">
      <formula>NOT(ISERROR(SEARCH("勞假",S19)))</formula>
    </cfRule>
    <cfRule type="containsText" priority="3083" operator="containsText" dxfId="36" stopIfTrue="1" text="補假">
      <formula>NOT(ISERROR(SEARCH("補假",S19)))</formula>
    </cfRule>
    <cfRule type="containsText" priority="3084" operator="containsText" dxfId="35" stopIfTrue="1" text="例假">
      <formula>NOT(ISERROR(SEARCH("例假",S19)))</formula>
    </cfRule>
    <cfRule type="containsText" priority="3085" operator="containsText" dxfId="4" stopIfTrue="1" text="病假">
      <formula>NOT(ISERROR(SEARCH("病假",S19)))</formula>
    </cfRule>
    <cfRule type="containsText" priority="3086" operator="containsText" dxfId="34" stopIfTrue="1" text="大假">
      <formula>NOT(ISERROR(SEARCH("大假",S19)))</formula>
    </cfRule>
    <cfRule type="containsText" priority="3087" operator="containsText" dxfId="38" stopIfTrue="1" text="TIL">
      <formula>NOT(ISERROR(SEARCH("TIL",S19)))</formula>
    </cfRule>
    <cfRule type="cellIs" priority="3088" operator="equal" dxfId="4" stopIfTrue="1">
      <formula>"NP"</formula>
    </cfRule>
    <cfRule type="cellIs" priority="3089" operator="equal" dxfId="25" stopIfTrue="1">
      <formula>"RD"</formula>
    </cfRule>
    <cfRule type="containsText" priority="3090" operator="containsText" dxfId="38" stopIfTrue="1" text="TIL">
      <formula>NOT(ISERROR(SEARCH("TIL",S19)))</formula>
    </cfRule>
    <cfRule type="containsText" priority="3091" operator="containsText" dxfId="39" stopIfTrue="1" text="疫苗">
      <formula>NOT(ISERROR(SEARCH("疫苗",S19)))</formula>
    </cfRule>
    <cfRule type="containsText" priority="3092" operator="containsText" dxfId="0" stopIfTrue="1" text="勞假">
      <formula>NOT(ISERROR(SEARCH("勞假",S19)))</formula>
    </cfRule>
    <cfRule type="containsText" priority="3093" operator="containsText" dxfId="36" stopIfTrue="1" text="補假">
      <formula>NOT(ISERROR(SEARCH("補假",S19)))</formula>
    </cfRule>
    <cfRule type="containsText" priority="3094" operator="containsText" dxfId="35" stopIfTrue="1" text="例假">
      <formula>NOT(ISERROR(SEARCH("例假",S19)))</formula>
    </cfRule>
    <cfRule type="containsText" priority="3095" operator="containsText" dxfId="4" stopIfTrue="1" text="病假">
      <formula>NOT(ISERROR(SEARCH("病假",S19)))</formula>
    </cfRule>
    <cfRule type="containsText" priority="3096" operator="containsText" dxfId="34" stopIfTrue="1" text="大假">
      <formula>NOT(ISERROR(SEARCH("大假",S19)))</formula>
    </cfRule>
    <cfRule type="containsText" priority="3097" operator="containsText" dxfId="38" stopIfTrue="1" text="TIL">
      <formula>NOT(ISERROR(SEARCH("TIL",S19)))</formula>
    </cfRule>
    <cfRule type="containsText" priority="3099" operator="containsText" dxfId="39" stopIfTrue="1" text="疫苗">
      <formula>NOT(ISERROR(SEARCH("疫苗",S19)))</formula>
    </cfRule>
    <cfRule type="containsText" priority="3100" operator="containsText" dxfId="0" stopIfTrue="1" text="勞假">
      <formula>NOT(ISERROR(SEARCH("勞假",S19)))</formula>
    </cfRule>
    <cfRule type="containsText" priority="3101" operator="containsText" dxfId="36" stopIfTrue="1" text="補假">
      <formula>NOT(ISERROR(SEARCH("補假",S19)))</formula>
    </cfRule>
    <cfRule type="containsText" priority="3102" operator="containsText" dxfId="35" stopIfTrue="1" text="例假">
      <formula>NOT(ISERROR(SEARCH("例假",S19)))</formula>
    </cfRule>
    <cfRule type="containsText" priority="3103" operator="containsText" dxfId="4" stopIfTrue="1" text="病假">
      <formula>NOT(ISERROR(SEARCH("病假",S19)))</formula>
    </cfRule>
    <cfRule type="containsText" priority="3104" operator="containsText" dxfId="34" stopIfTrue="1" text="大假">
      <formula>NOT(ISERROR(SEARCH("大假",S19)))</formula>
    </cfRule>
    <cfRule type="containsText" priority="3105" operator="containsText" dxfId="37" stopIfTrue="1" text="無薪">
      <formula>NOT(ISERROR(SEARCH("無薪",S19)))</formula>
    </cfRule>
    <cfRule type="containsText" priority="3106" operator="containsText" dxfId="39" stopIfTrue="1" text="疫苗">
      <formula>NOT(ISERROR(SEARCH("疫苗",S19)))</formula>
    </cfRule>
    <cfRule type="containsText" priority="3107" operator="containsText" dxfId="0" stopIfTrue="1" text="勞假">
      <formula>NOT(ISERROR(SEARCH("勞假",S19)))</formula>
    </cfRule>
    <cfRule type="containsText" priority="3108" operator="containsText" dxfId="36" stopIfTrue="1" text="補假">
      <formula>NOT(ISERROR(SEARCH("補假",S19)))</formula>
    </cfRule>
    <cfRule type="containsText" priority="3109" operator="containsText" dxfId="35" stopIfTrue="1" text="例假">
      <formula>NOT(ISERROR(SEARCH("例假",S19)))</formula>
    </cfRule>
    <cfRule type="containsText" priority="3110" operator="containsText" dxfId="4" stopIfTrue="1" text="病假">
      <formula>NOT(ISERROR(SEARCH("病假",S19)))</formula>
    </cfRule>
    <cfRule type="containsText" priority="3111" operator="containsText" dxfId="34" stopIfTrue="1" text="大假">
      <formula>NOT(ISERROR(SEARCH("大假",S19)))</formula>
    </cfRule>
    <cfRule type="containsText" priority="3112" operator="containsText" dxfId="37" stopIfTrue="1" text="無薪">
      <formula>NOT(ISERROR(SEARCH("無薪",S19)))</formula>
    </cfRule>
    <cfRule type="containsText" priority="3113" operator="containsText" dxfId="38" stopIfTrue="1" text="TIL">
      <formula>NOT(ISERROR(SEARCH("TIL",S19)))</formula>
    </cfRule>
    <cfRule type="containsText" priority="3114" operator="containsText" dxfId="39" stopIfTrue="1" text="疫苗">
      <formula>NOT(ISERROR(SEARCH("疫苗",S19)))</formula>
    </cfRule>
    <cfRule type="containsText" priority="3115" operator="containsText" dxfId="0" stopIfTrue="1" text="勞假">
      <formula>NOT(ISERROR(SEARCH("勞假",S19)))</formula>
    </cfRule>
    <cfRule type="containsText" priority="3116" operator="containsText" dxfId="36" stopIfTrue="1" text="補假">
      <formula>NOT(ISERROR(SEARCH("補假",S19)))</formula>
    </cfRule>
    <cfRule type="containsText" priority="3117" operator="containsText" dxfId="35" stopIfTrue="1" text="例假">
      <formula>NOT(ISERROR(SEARCH("例假",S19)))</formula>
    </cfRule>
    <cfRule type="containsText" priority="3118" operator="containsText" dxfId="4" stopIfTrue="1" text="病假">
      <formula>NOT(ISERROR(SEARCH("病假",S19)))</formula>
    </cfRule>
    <cfRule type="containsText" priority="3119" operator="containsText" dxfId="34" stopIfTrue="1" text="大假">
      <formula>NOT(ISERROR(SEARCH("大假",S19)))</formula>
    </cfRule>
    <cfRule type="containsText" priority="3120" operator="containsText" dxfId="37" stopIfTrue="1" text="無薪">
      <formula>NOT(ISERROR(SEARCH("無薪",S19)))</formula>
    </cfRule>
    <cfRule type="containsText" priority="3121" operator="containsText" dxfId="38" stopIfTrue="1" text="TIL">
      <formula>NOT(ISERROR(SEARCH("TIL",S19)))</formula>
    </cfRule>
    <cfRule type="containsText" priority="3122" operator="containsText" dxfId="39" stopIfTrue="1" text="疫苗">
      <formula>NOT(ISERROR(SEARCH("疫苗",S19)))</formula>
    </cfRule>
    <cfRule type="containsText" priority="3123" operator="containsText" dxfId="0" stopIfTrue="1" text="勞假">
      <formula>NOT(ISERROR(SEARCH("勞假",S19)))</formula>
    </cfRule>
    <cfRule type="containsText" priority="3124" operator="containsText" dxfId="36" stopIfTrue="1" text="補假">
      <formula>NOT(ISERROR(SEARCH("補假",S19)))</formula>
    </cfRule>
    <cfRule type="containsText" priority="3125" operator="containsText" dxfId="35" stopIfTrue="1" text="例假">
      <formula>NOT(ISERROR(SEARCH("例假",S19)))</formula>
    </cfRule>
    <cfRule type="containsText" priority="3126" operator="containsText" dxfId="4" stopIfTrue="1" text="病假">
      <formula>NOT(ISERROR(SEARCH("病假",S19)))</formula>
    </cfRule>
    <cfRule type="containsText" priority="3127" operator="containsText" dxfId="34" stopIfTrue="1" text="大假">
      <formula>NOT(ISERROR(SEARCH("大假",S19)))</formula>
    </cfRule>
    <cfRule type="containsText" priority="3128" operator="containsText" dxfId="37" stopIfTrue="1" text="無薪">
      <formula>NOT(ISERROR(SEARCH("無薪",S19)))</formula>
    </cfRule>
    <cfRule type="cellIs" priority="3129" operator="equal" dxfId="24">
      <formula>"NC"</formula>
    </cfRule>
    <cfRule type="cellIs" priority="3130" operator="equal" dxfId="24">
      <formula>"nd"</formula>
    </cfRule>
    <cfRule type="cellIs" priority="3131" operator="equal" dxfId="24">
      <formula>0</formula>
    </cfRule>
    <cfRule type="cellIs" priority="3132" operator="equal" dxfId="23">
      <formula>"R"</formula>
    </cfRule>
    <cfRule type="cellIs" priority="3133" operator="equal" dxfId="48">
      <formula>"NH12"</formula>
    </cfRule>
    <cfRule type="cellIs" priority="3134" operator="equal" dxfId="48">
      <formula>"Nh11"</formula>
    </cfRule>
    <cfRule type="containsText" priority="3135" operator="containsText" dxfId="38" stopIfTrue="1" text="TIL">
      <formula>NOT(ISERROR(SEARCH("TIL",S19)))</formula>
    </cfRule>
    <cfRule type="containsText" priority="3137" operator="containsText" dxfId="39" stopIfTrue="1" text="疫苗">
      <formula>NOT(ISERROR(SEARCH("疫苗",S19)))</formula>
    </cfRule>
    <cfRule type="containsText" priority="3138" operator="containsText" dxfId="0" stopIfTrue="1" text="勞假">
      <formula>NOT(ISERROR(SEARCH("勞假",S19)))</formula>
    </cfRule>
    <cfRule type="containsText" priority="3139" operator="containsText" dxfId="36" stopIfTrue="1" text="補假">
      <formula>NOT(ISERROR(SEARCH("補假",S19)))</formula>
    </cfRule>
    <cfRule type="containsText" priority="3140" operator="containsText" dxfId="35" stopIfTrue="1" text="例假">
      <formula>NOT(ISERROR(SEARCH("例假",S19)))</formula>
    </cfRule>
    <cfRule type="containsText" priority="3141" operator="containsText" dxfId="4" stopIfTrue="1" text="病假">
      <formula>NOT(ISERROR(SEARCH("病假",S19)))</formula>
    </cfRule>
    <cfRule type="containsText" priority="3142" operator="containsText" dxfId="34" stopIfTrue="1" text="大假">
      <formula>NOT(ISERROR(SEARCH("大假",S19)))</formula>
    </cfRule>
    <cfRule type="containsText" priority="3143" operator="containsText" dxfId="37" stopIfTrue="1" text="無薪">
      <formula>NOT(ISERROR(SEARCH("無薪",S19)))</formula>
    </cfRule>
    <cfRule type="containsText" priority="3144" operator="containsText" dxfId="38" stopIfTrue="1" text="TIL">
      <formula>NOT(ISERROR(SEARCH("TIL",S19)))</formula>
    </cfRule>
    <cfRule type="containsText" priority="3145" operator="containsText" dxfId="39" stopIfTrue="1" text="疫苗">
      <formula>NOT(ISERROR(SEARCH("疫苗",S19)))</formula>
    </cfRule>
    <cfRule type="containsText" priority="3146" operator="containsText" dxfId="0" stopIfTrue="1" text="勞假">
      <formula>NOT(ISERROR(SEARCH("勞假",S19)))</formula>
    </cfRule>
    <cfRule type="containsText" priority="3147" operator="containsText" dxfId="36" stopIfTrue="1" text="補假">
      <formula>NOT(ISERROR(SEARCH("補假",S19)))</formula>
    </cfRule>
    <cfRule type="containsText" priority="3148" operator="containsText" dxfId="35" stopIfTrue="1" text="例假">
      <formula>NOT(ISERROR(SEARCH("例假",S19)))</formula>
    </cfRule>
    <cfRule type="containsText" priority="3149" operator="containsText" dxfId="4" stopIfTrue="1" text="病假">
      <formula>NOT(ISERROR(SEARCH("病假",S19)))</formula>
    </cfRule>
    <cfRule type="containsText" priority="3150" operator="containsText" dxfId="34" stopIfTrue="1" text="大假">
      <formula>NOT(ISERROR(SEARCH("大假",S19)))</formula>
    </cfRule>
    <cfRule type="containsText" priority="3151" operator="containsText" dxfId="37" stopIfTrue="1" text="無薪">
      <formula>NOT(ISERROR(SEARCH("無薪",S19)))</formula>
    </cfRule>
    <cfRule type="containsText" priority="3152" operator="containsText" dxfId="39" stopIfTrue="1" text="疫苗">
      <formula>NOT(ISERROR(SEARCH("疫苗",S19)))</formula>
    </cfRule>
    <cfRule type="containsText" priority="3153" operator="containsText" dxfId="0" stopIfTrue="1" text="勞假">
      <formula>NOT(ISERROR(SEARCH("勞假",S19)))</formula>
    </cfRule>
    <cfRule type="containsText" priority="3154" operator="containsText" dxfId="36" stopIfTrue="1" text="補假">
      <formula>NOT(ISERROR(SEARCH("補假",S19)))</formula>
    </cfRule>
    <cfRule type="containsText" priority="3155" operator="containsText" dxfId="35" stopIfTrue="1" text="例假">
      <formula>NOT(ISERROR(SEARCH("例假",S19)))</formula>
    </cfRule>
    <cfRule type="containsText" priority="3156" operator="containsText" dxfId="4" stopIfTrue="1" text="病假">
      <formula>NOT(ISERROR(SEARCH("病假",S19)))</formula>
    </cfRule>
    <cfRule type="containsText" priority="3157" operator="containsText" dxfId="34" stopIfTrue="1" text="大假">
      <formula>NOT(ISERROR(SEARCH("大假",S19)))</formula>
    </cfRule>
    <cfRule type="containsText" priority="3389" operator="containsText" dxfId="37" stopIfTrue="1" text="無薪">
      <formula>NOT(ISERROR(SEARCH("無薪",S19)))</formula>
    </cfRule>
    <cfRule type="containsText" priority="3390" operator="containsText" dxfId="38" stopIfTrue="1" text="TIL">
      <formula>NOT(ISERROR(SEARCH("TIL",S19)))</formula>
    </cfRule>
    <cfRule type="containsText" priority="3391" operator="containsText" dxfId="39" stopIfTrue="1" text="疫苗">
      <formula>NOT(ISERROR(SEARCH("疫苗",S19)))</formula>
    </cfRule>
    <cfRule type="containsText" priority="3392" operator="containsText" dxfId="0" stopIfTrue="1" text="勞假">
      <formula>NOT(ISERROR(SEARCH("勞假",S19)))</formula>
    </cfRule>
    <cfRule type="containsText" priority="3393" operator="containsText" dxfId="36" stopIfTrue="1" text="補假">
      <formula>NOT(ISERROR(SEARCH("補假",S19)))</formula>
    </cfRule>
    <cfRule type="containsText" priority="3394" operator="containsText" dxfId="35" stopIfTrue="1" text="例假">
      <formula>NOT(ISERROR(SEARCH("例假",S19)))</formula>
    </cfRule>
    <cfRule type="containsText" priority="3395" operator="containsText" dxfId="4" stopIfTrue="1" text="病假">
      <formula>NOT(ISERROR(SEARCH("病假",S19)))</formula>
    </cfRule>
    <cfRule type="containsText" priority="3396" operator="containsText" dxfId="34" stopIfTrue="1" text="大假">
      <formula>NOT(ISERROR(SEARCH("大假",S19)))</formula>
    </cfRule>
    <cfRule type="containsText" priority="3397" operator="containsText" dxfId="37" stopIfTrue="1" text="無薪">
      <formula>NOT(ISERROR(SEARCH("無薪",S19)))</formula>
    </cfRule>
    <cfRule type="containsText" priority="3398" operator="containsText" dxfId="38" stopIfTrue="1" text="TIL">
      <formula>NOT(ISERROR(SEARCH("TIL",S19)))</formula>
    </cfRule>
    <cfRule type="containsText" priority="3399" operator="containsText" dxfId="39" stopIfTrue="1" text="疫苗">
      <formula>NOT(ISERROR(SEARCH("疫苗",S19)))</formula>
    </cfRule>
    <cfRule type="containsText" priority="3400" operator="containsText" dxfId="0" stopIfTrue="1" text="勞假">
      <formula>NOT(ISERROR(SEARCH("勞假",S19)))</formula>
    </cfRule>
    <cfRule type="containsText" priority="3401" operator="containsText" dxfId="36" stopIfTrue="1" text="補假">
      <formula>NOT(ISERROR(SEARCH("補假",S19)))</formula>
    </cfRule>
    <cfRule type="containsText" priority="3402" operator="containsText" dxfId="35" stopIfTrue="1" text="例假">
      <formula>NOT(ISERROR(SEARCH("例假",S19)))</formula>
    </cfRule>
    <cfRule type="containsText" priority="3403" operator="containsText" dxfId="4" stopIfTrue="1" text="病假">
      <formula>NOT(ISERROR(SEARCH("病假",S19)))</formula>
    </cfRule>
    <cfRule type="containsText" priority="3404" operator="containsText" dxfId="34" stopIfTrue="1" text="大假">
      <formula>NOT(ISERROR(SEARCH("大假",S19)))</formula>
    </cfRule>
    <cfRule type="containsText" priority="3405" operator="containsText" dxfId="38" stopIfTrue="1" text="TIL">
      <formula>NOT(ISERROR(SEARCH("TIL",S19)))</formula>
    </cfRule>
    <cfRule type="cellIs" priority="3406" operator="equal" dxfId="4" stopIfTrue="1">
      <formula>"NP"</formula>
    </cfRule>
    <cfRule type="cellIs" priority="3407" operator="equal" dxfId="25" stopIfTrue="1">
      <formula>"RD"</formula>
    </cfRule>
    <cfRule type="containsText" priority="3408" operator="containsText" dxfId="38" stopIfTrue="1" text="TIL">
      <formula>NOT(ISERROR(SEARCH("TIL",S19)))</formula>
    </cfRule>
    <cfRule type="containsText" priority="3409" operator="containsText" dxfId="39" stopIfTrue="1" text="疫苗">
      <formula>NOT(ISERROR(SEARCH("疫苗",S19)))</formula>
    </cfRule>
    <cfRule type="containsText" priority="3410" operator="containsText" dxfId="0" stopIfTrue="1" text="勞假">
      <formula>NOT(ISERROR(SEARCH("勞假",S19)))</formula>
    </cfRule>
    <cfRule type="containsText" priority="3411" operator="containsText" dxfId="36" stopIfTrue="1" text="補假">
      <formula>NOT(ISERROR(SEARCH("補假",S19)))</formula>
    </cfRule>
    <cfRule type="containsText" priority="3412" operator="containsText" dxfId="35" stopIfTrue="1" text="例假">
      <formula>NOT(ISERROR(SEARCH("例假",S19)))</formula>
    </cfRule>
    <cfRule type="containsText" priority="3413" operator="containsText" dxfId="4" stopIfTrue="1" text="病假">
      <formula>NOT(ISERROR(SEARCH("病假",S19)))</formula>
    </cfRule>
    <cfRule type="containsText" priority="3414" operator="containsText" dxfId="34" stopIfTrue="1" text="大假">
      <formula>NOT(ISERROR(SEARCH("大假",S19)))</formula>
    </cfRule>
    <cfRule type="containsText" priority="3415" operator="containsText" dxfId="38" stopIfTrue="1" text="TIL">
      <formula>NOT(ISERROR(SEARCH("TIL",S19)))</formula>
    </cfRule>
    <cfRule type="containsText" priority="3416" operator="containsText" dxfId="39" stopIfTrue="1" text="疫苗">
      <formula>NOT(ISERROR(SEARCH("疫苗",S19)))</formula>
    </cfRule>
    <cfRule type="containsText" priority="3417" operator="containsText" dxfId="0" stopIfTrue="1" text="勞假">
      <formula>NOT(ISERROR(SEARCH("勞假",S19)))</formula>
    </cfRule>
    <cfRule type="containsText" priority="3418" operator="containsText" dxfId="36" stopIfTrue="1" text="補假">
      <formula>NOT(ISERROR(SEARCH("補假",S19)))</formula>
    </cfRule>
    <cfRule type="containsText" priority="3419" operator="containsText" dxfId="35" stopIfTrue="1" text="例假">
      <formula>NOT(ISERROR(SEARCH("例假",S19)))</formula>
    </cfRule>
    <cfRule type="containsText" priority="3420" operator="containsText" dxfId="4" stopIfTrue="1" text="病假">
      <formula>NOT(ISERROR(SEARCH("病假",S19)))</formula>
    </cfRule>
    <cfRule type="containsText" priority="3421" operator="containsText" dxfId="34" stopIfTrue="1" text="大假">
      <formula>NOT(ISERROR(SEARCH("大假",S19)))</formula>
    </cfRule>
    <cfRule type="containsText" priority="3422" operator="containsText" dxfId="37" stopIfTrue="1" text="無薪">
      <formula>NOT(ISERROR(SEARCH("無薪",S19)))</formula>
    </cfRule>
    <cfRule type="containsText" priority="3423" operator="containsText" dxfId="39" stopIfTrue="1" text="疫苗">
      <formula>NOT(ISERROR(SEARCH("疫苗",S19)))</formula>
    </cfRule>
    <cfRule type="containsText" priority="3424" operator="containsText" dxfId="0" stopIfTrue="1" text="勞假">
      <formula>NOT(ISERROR(SEARCH("勞假",S19)))</formula>
    </cfRule>
    <cfRule type="containsText" priority="3425" operator="containsText" dxfId="36" stopIfTrue="1" text="補假">
      <formula>NOT(ISERROR(SEARCH("補假",S19)))</formula>
    </cfRule>
    <cfRule type="containsText" priority="3426" operator="containsText" dxfId="35" stopIfTrue="1" text="例假">
      <formula>NOT(ISERROR(SEARCH("例假",S19)))</formula>
    </cfRule>
    <cfRule type="containsText" priority="3427" operator="containsText" dxfId="4" stopIfTrue="1" text="病假">
      <formula>NOT(ISERROR(SEARCH("病假",S19)))</formula>
    </cfRule>
    <cfRule type="containsText" priority="3428" operator="containsText" dxfId="34" stopIfTrue="1" text="大假">
      <formula>NOT(ISERROR(SEARCH("大假",S19)))</formula>
    </cfRule>
    <cfRule type="containsText" priority="3429" operator="containsText" dxfId="37" stopIfTrue="1" text="無薪">
      <formula>NOT(ISERROR(SEARCH("無薪",S19)))</formula>
    </cfRule>
    <cfRule type="containsText" priority="3430" operator="containsText" dxfId="38" stopIfTrue="1" text="TIL">
      <formula>NOT(ISERROR(SEARCH("TIL",S19)))</formula>
    </cfRule>
    <cfRule type="containsText" priority="3431" operator="containsText" dxfId="39" stopIfTrue="1" text="疫苗">
      <formula>NOT(ISERROR(SEARCH("疫苗",S19)))</formula>
    </cfRule>
    <cfRule type="containsText" priority="3432" operator="containsText" dxfId="0" stopIfTrue="1" text="勞假">
      <formula>NOT(ISERROR(SEARCH("勞假",S19)))</formula>
    </cfRule>
    <cfRule type="containsText" priority="3433" operator="containsText" dxfId="36" stopIfTrue="1" text="補假">
      <formula>NOT(ISERROR(SEARCH("補假",S19)))</formula>
    </cfRule>
    <cfRule type="containsText" priority="3434" operator="containsText" dxfId="35" stopIfTrue="1" text="例假">
      <formula>NOT(ISERROR(SEARCH("例假",S19)))</formula>
    </cfRule>
    <cfRule type="containsText" priority="3435" operator="containsText" dxfId="4" stopIfTrue="1" text="病假">
      <formula>NOT(ISERROR(SEARCH("病假",S19)))</formula>
    </cfRule>
    <cfRule type="containsText" priority="3436" operator="containsText" dxfId="34" stopIfTrue="1" text="大假">
      <formula>NOT(ISERROR(SEARCH("大假",S19)))</formula>
    </cfRule>
    <cfRule type="containsText" priority="3437" operator="containsText" dxfId="37" stopIfTrue="1" text="無薪">
      <formula>NOT(ISERROR(SEARCH("無薪",S19)))</formula>
    </cfRule>
    <cfRule type="containsText" priority="3438" operator="containsText" dxfId="38" stopIfTrue="1" text="TIL">
      <formula>NOT(ISERROR(SEARCH("TIL",S19)))</formula>
    </cfRule>
    <cfRule type="containsText" priority="3439" operator="containsText" dxfId="39" stopIfTrue="1" text="疫苗">
      <formula>NOT(ISERROR(SEARCH("疫苗",S19)))</formula>
    </cfRule>
    <cfRule type="containsText" priority="3440" operator="containsText" dxfId="0" stopIfTrue="1" text="勞假">
      <formula>NOT(ISERROR(SEARCH("勞假",S19)))</formula>
    </cfRule>
    <cfRule type="containsText" priority="3441" operator="containsText" dxfId="36" stopIfTrue="1" text="補假">
      <formula>NOT(ISERROR(SEARCH("補假",S19)))</formula>
    </cfRule>
    <cfRule type="containsText" priority="3442" operator="containsText" dxfId="35" stopIfTrue="1" text="例假">
      <formula>NOT(ISERROR(SEARCH("例假",S19)))</formula>
    </cfRule>
    <cfRule type="containsText" priority="3443" operator="containsText" dxfId="4" stopIfTrue="1" text="病假">
      <formula>NOT(ISERROR(SEARCH("病假",S19)))</formula>
    </cfRule>
    <cfRule type="containsText" priority="3444" operator="containsText" dxfId="34" stopIfTrue="1" text="大假">
      <formula>NOT(ISERROR(SEARCH("大假",S19)))</formula>
    </cfRule>
    <cfRule type="containsText" priority="3445" operator="containsText" dxfId="37" stopIfTrue="1" text="無薪">
      <formula>NOT(ISERROR(SEARCH("無薪",S19)))</formula>
    </cfRule>
    <cfRule type="cellIs" priority="3446" operator="equal" dxfId="24">
      <formula>"NC"</formula>
    </cfRule>
    <cfRule type="cellIs" priority="3447" operator="equal" dxfId="24">
      <formula>"nd"</formula>
    </cfRule>
    <cfRule type="cellIs" priority="3448" operator="equal" dxfId="24">
      <formula>0</formula>
    </cfRule>
    <cfRule type="cellIs" priority="3449" operator="equal" dxfId="23">
      <formula>"R"</formula>
    </cfRule>
    <cfRule type="cellIs" priority="3450" operator="equal" dxfId="48">
      <formula>"NH12"</formula>
    </cfRule>
    <cfRule type="cellIs" priority="3451" operator="equal" dxfId="48">
      <formula>"Nh11"</formula>
    </cfRule>
    <cfRule type="containsText" priority="3452" operator="containsText" dxfId="38" stopIfTrue="1" text="TIL">
      <formula>NOT(ISERROR(SEARCH("TIL",S19)))</formula>
    </cfRule>
    <cfRule type="containsText" priority="3453" operator="containsText" dxfId="39" stopIfTrue="1" text="疫苗">
      <formula>NOT(ISERROR(SEARCH("疫苗",S19)))</formula>
    </cfRule>
    <cfRule type="containsText" priority="3454" operator="containsText" dxfId="0" stopIfTrue="1" text="勞假">
      <formula>NOT(ISERROR(SEARCH("勞假",S19)))</formula>
    </cfRule>
    <cfRule type="containsText" priority="3455" operator="containsText" dxfId="36" stopIfTrue="1" text="補假">
      <formula>NOT(ISERROR(SEARCH("補假",S19)))</formula>
    </cfRule>
    <cfRule type="containsText" priority="3456" operator="containsText" dxfId="35" stopIfTrue="1" text="例假">
      <formula>NOT(ISERROR(SEARCH("例假",S19)))</formula>
    </cfRule>
    <cfRule type="containsText" priority="3457" operator="containsText" dxfId="4" stopIfTrue="1" text="病假">
      <formula>NOT(ISERROR(SEARCH("病假",S19)))</formula>
    </cfRule>
    <cfRule type="containsText" priority="3458" operator="containsText" dxfId="34" stopIfTrue="1" text="大假">
      <formula>NOT(ISERROR(SEARCH("大假",S19)))</formula>
    </cfRule>
    <cfRule type="containsText" priority="3459" operator="containsText" dxfId="37" stopIfTrue="1" text="無薪">
      <formula>NOT(ISERROR(SEARCH("無薪",S19)))</formula>
    </cfRule>
    <cfRule type="containsText" priority="3460" operator="containsText" dxfId="38" stopIfTrue="1" text="TIL">
      <formula>NOT(ISERROR(SEARCH("TIL",S19)))</formula>
    </cfRule>
    <cfRule type="containsText" priority="3461" operator="containsText" dxfId="39" stopIfTrue="1" text="疫苗">
      <formula>NOT(ISERROR(SEARCH("疫苗",S19)))</formula>
    </cfRule>
    <cfRule type="containsText" priority="3462" operator="containsText" dxfId="0" stopIfTrue="1" text="勞假">
      <formula>NOT(ISERROR(SEARCH("勞假",S19)))</formula>
    </cfRule>
    <cfRule type="containsText" priority="3463" operator="containsText" dxfId="36" stopIfTrue="1" text="補假">
      <formula>NOT(ISERROR(SEARCH("補假",S19)))</formula>
    </cfRule>
    <cfRule type="containsText" priority="3464" operator="containsText" dxfId="35" stopIfTrue="1" text="例假">
      <formula>NOT(ISERROR(SEARCH("例假",S19)))</formula>
    </cfRule>
    <cfRule type="containsText" priority="3465" operator="containsText" dxfId="4" stopIfTrue="1" text="病假">
      <formula>NOT(ISERROR(SEARCH("病假",S19)))</formula>
    </cfRule>
    <cfRule type="containsText" priority="3466" operator="containsText" dxfId="34" stopIfTrue="1" text="大假">
      <formula>NOT(ISERROR(SEARCH("大假",S19)))</formula>
    </cfRule>
    <cfRule type="containsText" priority="3467" operator="containsText" dxfId="37" stopIfTrue="1" text="無薪">
      <formula>NOT(ISERROR(SEARCH("無薪",S19)))</formula>
    </cfRule>
    <cfRule type="containsText" priority="3468" operator="containsText" dxfId="39" stopIfTrue="1" text="疫苗">
      <formula>NOT(ISERROR(SEARCH("疫苗",S19)))</formula>
    </cfRule>
    <cfRule type="containsText" priority="3469" operator="containsText" dxfId="0" stopIfTrue="1" text="勞假">
      <formula>NOT(ISERROR(SEARCH("勞假",S19)))</formula>
    </cfRule>
    <cfRule type="containsText" priority="3470" operator="containsText" dxfId="36" stopIfTrue="1" text="補假">
      <formula>NOT(ISERROR(SEARCH("補假",S19)))</formula>
    </cfRule>
    <cfRule type="containsText" priority="3471" operator="containsText" dxfId="35" stopIfTrue="1" text="例假">
      <formula>NOT(ISERROR(SEARCH("例假",S19)))</formula>
    </cfRule>
    <cfRule type="containsText" priority="3472" operator="containsText" dxfId="4" stopIfTrue="1" text="病假">
      <formula>NOT(ISERROR(SEARCH("病假",S19)))</formula>
    </cfRule>
    <cfRule type="containsText" priority="3473" operator="containsText" dxfId="34" stopIfTrue="1" text="大假">
      <formula>NOT(ISERROR(SEARCH("大假",S19)))</formula>
    </cfRule>
  </conditionalFormatting>
  <conditionalFormatting sqref="S41:AE41">
    <cfRule type="containsText" priority="2644" operator="containsText" dxfId="4" text="RD">
      <formula>NOT(ISERROR(SEARCH("RD",S41)))</formula>
    </cfRule>
    <cfRule type="containsText" priority="2645" operator="containsText" dxfId="405" text="NP">
      <formula>NOT(ISERROR(SEARCH("NP",S41)))</formula>
    </cfRule>
  </conditionalFormatting>
  <conditionalFormatting sqref="S42:AE42">
    <cfRule type="containsText" priority="1921" operator="containsText" dxfId="37" stopIfTrue="1" text="無薪">
      <formula>NOT(ISERROR(SEARCH("無薪",S42)))</formula>
    </cfRule>
    <cfRule type="containsText" priority="1922" operator="containsText" dxfId="38" stopIfTrue="1" text="TIL">
      <formula>NOT(ISERROR(SEARCH("TIL",S42)))</formula>
    </cfRule>
    <cfRule type="containsText" priority="1923" operator="containsText" dxfId="39" stopIfTrue="1" text="疫苗">
      <formula>NOT(ISERROR(SEARCH("疫苗",S42)))</formula>
    </cfRule>
    <cfRule type="containsText" priority="1924" operator="containsText" dxfId="0" stopIfTrue="1" text="勞假">
      <formula>NOT(ISERROR(SEARCH("勞假",S42)))</formula>
    </cfRule>
    <cfRule type="containsText" priority="1925" operator="containsText" dxfId="36" stopIfTrue="1" text="補假">
      <formula>NOT(ISERROR(SEARCH("補假",S42)))</formula>
    </cfRule>
    <cfRule type="containsText" priority="1926" operator="containsText" dxfId="35" stopIfTrue="1" text="例假">
      <formula>NOT(ISERROR(SEARCH("例假",S42)))</formula>
    </cfRule>
    <cfRule type="containsText" priority="1927" operator="containsText" dxfId="4" stopIfTrue="1" text="病假">
      <formula>NOT(ISERROR(SEARCH("病假",S42)))</formula>
    </cfRule>
    <cfRule type="containsText" priority="1928" operator="containsText" dxfId="34" stopIfTrue="1" text="大假">
      <formula>NOT(ISERROR(SEARCH("大假",S42)))</formula>
    </cfRule>
    <cfRule type="containsText" priority="1929" operator="containsText" dxfId="37" stopIfTrue="1" text="無薪">
      <formula>NOT(ISERROR(SEARCH("無薪",S42)))</formula>
    </cfRule>
    <cfRule type="containsText" priority="1930" operator="containsText" dxfId="38" stopIfTrue="1" text="TIL">
      <formula>NOT(ISERROR(SEARCH("TIL",S42)))</formula>
    </cfRule>
    <cfRule type="containsText" priority="1931" operator="containsText" dxfId="39" stopIfTrue="1" text="疫苗">
      <formula>NOT(ISERROR(SEARCH("疫苗",S42)))</formula>
    </cfRule>
    <cfRule type="containsText" priority="1932" operator="containsText" dxfId="0" stopIfTrue="1" text="勞假">
      <formula>NOT(ISERROR(SEARCH("勞假",S42)))</formula>
    </cfRule>
    <cfRule type="containsText" priority="1933" operator="containsText" dxfId="36" stopIfTrue="1" text="補假">
      <formula>NOT(ISERROR(SEARCH("補假",S42)))</formula>
    </cfRule>
    <cfRule type="containsText" priority="1934" operator="containsText" dxfId="35" stopIfTrue="1" text="例假">
      <formula>NOT(ISERROR(SEARCH("例假",S42)))</formula>
    </cfRule>
    <cfRule type="containsText" priority="1935" operator="containsText" dxfId="4" stopIfTrue="1" text="病假">
      <formula>NOT(ISERROR(SEARCH("病假",S42)))</formula>
    </cfRule>
    <cfRule type="containsText" priority="1936" operator="containsText" dxfId="34" stopIfTrue="1" text="大假">
      <formula>NOT(ISERROR(SEARCH("大假",S42)))</formula>
    </cfRule>
    <cfRule type="containsText" priority="1937" operator="containsText" dxfId="38" stopIfTrue="1" text="TIL">
      <formula>NOT(ISERROR(SEARCH("TIL",S42)))</formula>
    </cfRule>
    <cfRule type="cellIs" priority="1938" operator="equal" dxfId="4" stopIfTrue="1">
      <formula>"NP"</formula>
    </cfRule>
    <cfRule type="cellIs" priority="1939" operator="equal" dxfId="25" stopIfTrue="1">
      <formula>"RD"</formula>
    </cfRule>
    <cfRule type="containsText" priority="1940" operator="containsText" dxfId="38" stopIfTrue="1" text="TIL">
      <formula>NOT(ISERROR(SEARCH("TIL",S42)))</formula>
    </cfRule>
    <cfRule type="containsText" priority="1941" operator="containsText" dxfId="39" stopIfTrue="1" text="疫苗">
      <formula>NOT(ISERROR(SEARCH("疫苗",S42)))</formula>
    </cfRule>
    <cfRule type="containsText" priority="1942" operator="containsText" dxfId="0" stopIfTrue="1" text="勞假">
      <formula>NOT(ISERROR(SEARCH("勞假",S42)))</formula>
    </cfRule>
    <cfRule type="containsText" priority="1943" operator="containsText" dxfId="36" stopIfTrue="1" text="補假">
      <formula>NOT(ISERROR(SEARCH("補假",S42)))</formula>
    </cfRule>
    <cfRule type="containsText" priority="1944" operator="containsText" dxfId="35" stopIfTrue="1" text="例假">
      <formula>NOT(ISERROR(SEARCH("例假",S42)))</formula>
    </cfRule>
    <cfRule type="containsText" priority="1945" operator="containsText" dxfId="4" stopIfTrue="1" text="病假">
      <formula>NOT(ISERROR(SEARCH("病假",S42)))</formula>
    </cfRule>
    <cfRule type="containsText" priority="1946" operator="containsText" dxfId="34" stopIfTrue="1" text="大假">
      <formula>NOT(ISERROR(SEARCH("大假",S42)))</formula>
    </cfRule>
    <cfRule type="containsText" priority="1947" operator="containsText" dxfId="38" stopIfTrue="1" text="TIL">
      <formula>NOT(ISERROR(SEARCH("TIL",S42)))</formula>
    </cfRule>
    <cfRule type="containsText" priority="1948" operator="containsText" dxfId="39" stopIfTrue="1" text="疫苗">
      <formula>NOT(ISERROR(SEARCH("疫苗",S42)))</formula>
    </cfRule>
    <cfRule type="containsText" priority="1949" operator="containsText" dxfId="0" stopIfTrue="1" text="勞假">
      <formula>NOT(ISERROR(SEARCH("勞假",S42)))</formula>
    </cfRule>
    <cfRule type="containsText" priority="1950" operator="containsText" dxfId="36" stopIfTrue="1" text="補假">
      <formula>NOT(ISERROR(SEARCH("補假",S42)))</formula>
    </cfRule>
    <cfRule type="containsText" priority="1951" operator="containsText" dxfId="35" stopIfTrue="1" text="例假">
      <formula>NOT(ISERROR(SEARCH("例假",S42)))</formula>
    </cfRule>
    <cfRule type="containsText" priority="1952" operator="containsText" dxfId="4" stopIfTrue="1" text="病假">
      <formula>NOT(ISERROR(SEARCH("病假",S42)))</formula>
    </cfRule>
    <cfRule type="containsText" priority="1953" operator="containsText" dxfId="34" stopIfTrue="1" text="大假">
      <formula>NOT(ISERROR(SEARCH("大假",S42)))</formula>
    </cfRule>
    <cfRule type="containsText" priority="1954" operator="containsText" dxfId="37" stopIfTrue="1" text="無薪">
      <formula>NOT(ISERROR(SEARCH("無薪",S42)))</formula>
    </cfRule>
    <cfRule type="containsText" priority="1955" operator="containsText" dxfId="39" stopIfTrue="1" text="疫苗">
      <formula>NOT(ISERROR(SEARCH("疫苗",S42)))</formula>
    </cfRule>
    <cfRule type="containsText" priority="1956" operator="containsText" dxfId="0" stopIfTrue="1" text="勞假">
      <formula>NOT(ISERROR(SEARCH("勞假",S42)))</formula>
    </cfRule>
    <cfRule type="containsText" priority="1957" operator="containsText" dxfId="36" stopIfTrue="1" text="補假">
      <formula>NOT(ISERROR(SEARCH("補假",S42)))</formula>
    </cfRule>
    <cfRule type="containsText" priority="1958" operator="containsText" dxfId="35" stopIfTrue="1" text="例假">
      <formula>NOT(ISERROR(SEARCH("例假",S42)))</formula>
    </cfRule>
    <cfRule type="containsText" priority="1959" operator="containsText" dxfId="4" stopIfTrue="1" text="病假">
      <formula>NOT(ISERROR(SEARCH("病假",S42)))</formula>
    </cfRule>
    <cfRule type="containsText" priority="1960" operator="containsText" dxfId="34" stopIfTrue="1" text="大假">
      <formula>NOT(ISERROR(SEARCH("大假",S42)))</formula>
    </cfRule>
    <cfRule type="containsText" priority="1961" operator="containsText" dxfId="37" stopIfTrue="1" text="無薪">
      <formula>NOT(ISERROR(SEARCH("無薪",S42)))</formula>
    </cfRule>
    <cfRule type="containsText" priority="1962" operator="containsText" dxfId="38" stopIfTrue="1" text="TIL">
      <formula>NOT(ISERROR(SEARCH("TIL",S42)))</formula>
    </cfRule>
    <cfRule type="containsText" priority="1963" operator="containsText" dxfId="39" stopIfTrue="1" text="疫苗">
      <formula>NOT(ISERROR(SEARCH("疫苗",S42)))</formula>
    </cfRule>
    <cfRule type="containsText" priority="1964" operator="containsText" dxfId="0" stopIfTrue="1" text="勞假">
      <formula>NOT(ISERROR(SEARCH("勞假",S42)))</formula>
    </cfRule>
    <cfRule type="containsText" priority="1965" operator="containsText" dxfId="36" stopIfTrue="1" text="補假">
      <formula>NOT(ISERROR(SEARCH("補假",S42)))</formula>
    </cfRule>
    <cfRule type="containsText" priority="1966" operator="containsText" dxfId="35" stopIfTrue="1" text="例假">
      <formula>NOT(ISERROR(SEARCH("例假",S42)))</formula>
    </cfRule>
    <cfRule type="containsText" priority="1967" operator="containsText" dxfId="4" stopIfTrue="1" text="病假">
      <formula>NOT(ISERROR(SEARCH("病假",S42)))</formula>
    </cfRule>
    <cfRule type="containsText" priority="1968" operator="containsText" dxfId="34" stopIfTrue="1" text="大假">
      <formula>NOT(ISERROR(SEARCH("大假",S42)))</formula>
    </cfRule>
    <cfRule type="containsText" priority="1969" operator="containsText" dxfId="37" stopIfTrue="1" text="無薪">
      <formula>NOT(ISERROR(SEARCH("無薪",S42)))</formula>
    </cfRule>
    <cfRule type="containsText" priority="1970" operator="containsText" dxfId="38" stopIfTrue="1" text="TIL">
      <formula>NOT(ISERROR(SEARCH("TIL",S42)))</formula>
    </cfRule>
    <cfRule type="containsText" priority="1971" operator="containsText" dxfId="39" stopIfTrue="1" text="疫苗">
      <formula>NOT(ISERROR(SEARCH("疫苗",S42)))</formula>
    </cfRule>
    <cfRule type="containsText" priority="1972" operator="containsText" dxfId="0" stopIfTrue="1" text="勞假">
      <formula>NOT(ISERROR(SEARCH("勞假",S42)))</formula>
    </cfRule>
    <cfRule type="containsText" priority="1973" operator="containsText" dxfId="36" stopIfTrue="1" text="補假">
      <formula>NOT(ISERROR(SEARCH("補假",S42)))</formula>
    </cfRule>
    <cfRule type="containsText" priority="1974" operator="containsText" dxfId="35" stopIfTrue="1" text="例假">
      <formula>NOT(ISERROR(SEARCH("例假",S42)))</formula>
    </cfRule>
    <cfRule type="containsText" priority="1975" operator="containsText" dxfId="4" stopIfTrue="1" text="病假">
      <formula>NOT(ISERROR(SEARCH("病假",S42)))</formula>
    </cfRule>
    <cfRule type="containsText" priority="1976" operator="containsText" dxfId="34" stopIfTrue="1" text="大假">
      <formula>NOT(ISERROR(SEARCH("大假",S42)))</formula>
    </cfRule>
    <cfRule type="containsText" priority="1977" operator="containsText" dxfId="37" stopIfTrue="1" text="無薪">
      <formula>NOT(ISERROR(SEARCH("無薪",S42)))</formula>
    </cfRule>
    <cfRule type="cellIs" priority="1978" operator="equal" dxfId="24">
      <formula>"NC"</formula>
    </cfRule>
    <cfRule type="cellIs" priority="1979" operator="equal" dxfId="24">
      <formula>"nd"</formula>
    </cfRule>
    <cfRule type="cellIs" priority="1980" operator="equal" dxfId="24">
      <formula>0</formula>
    </cfRule>
    <cfRule type="cellIs" priority="1981" operator="equal" dxfId="23">
      <formula>"R"</formula>
    </cfRule>
    <cfRule type="cellIs" priority="1982" operator="equal" dxfId="48">
      <formula>"NH12"</formula>
    </cfRule>
    <cfRule type="cellIs" priority="1983" operator="equal" dxfId="48">
      <formula>"Nh11"</formula>
    </cfRule>
    <cfRule type="containsText" priority="1984" operator="containsText" dxfId="38" stopIfTrue="1" text="TIL">
      <formula>NOT(ISERROR(SEARCH("TIL",S42)))</formula>
    </cfRule>
    <cfRule type="containsText" priority="1985" operator="containsText" dxfId="39" stopIfTrue="1" text="疫苗">
      <formula>NOT(ISERROR(SEARCH("疫苗",S42)))</formula>
    </cfRule>
    <cfRule type="containsText" priority="1986" operator="containsText" dxfId="0" stopIfTrue="1" text="勞假">
      <formula>NOT(ISERROR(SEARCH("勞假",S42)))</formula>
    </cfRule>
    <cfRule type="containsText" priority="1987" operator="containsText" dxfId="36" stopIfTrue="1" text="補假">
      <formula>NOT(ISERROR(SEARCH("補假",S42)))</formula>
    </cfRule>
    <cfRule type="containsText" priority="1988" operator="containsText" dxfId="35" stopIfTrue="1" text="例假">
      <formula>NOT(ISERROR(SEARCH("例假",S42)))</formula>
    </cfRule>
    <cfRule type="containsText" priority="1989" operator="containsText" dxfId="4" stopIfTrue="1" text="病假">
      <formula>NOT(ISERROR(SEARCH("病假",S42)))</formula>
    </cfRule>
    <cfRule type="containsText" priority="1990" operator="containsText" dxfId="34" stopIfTrue="1" text="大假">
      <formula>NOT(ISERROR(SEARCH("大假",S42)))</formula>
    </cfRule>
    <cfRule type="containsText" priority="1991" operator="containsText" dxfId="37" stopIfTrue="1" text="無薪">
      <formula>NOT(ISERROR(SEARCH("無薪",S42)))</formula>
    </cfRule>
    <cfRule type="containsText" priority="1992" operator="containsText" dxfId="38" stopIfTrue="1" text="TIL">
      <formula>NOT(ISERROR(SEARCH("TIL",S42)))</formula>
    </cfRule>
    <cfRule type="containsText" priority="1993" operator="containsText" dxfId="39" stopIfTrue="1" text="疫苗">
      <formula>NOT(ISERROR(SEARCH("疫苗",S42)))</formula>
    </cfRule>
    <cfRule type="containsText" priority="1994" operator="containsText" dxfId="0" stopIfTrue="1" text="勞假">
      <formula>NOT(ISERROR(SEARCH("勞假",S42)))</formula>
    </cfRule>
    <cfRule type="containsText" priority="1995" operator="containsText" dxfId="36" stopIfTrue="1" text="補假">
      <formula>NOT(ISERROR(SEARCH("補假",S42)))</formula>
    </cfRule>
    <cfRule type="containsText" priority="1996" operator="containsText" dxfId="35" stopIfTrue="1" text="例假">
      <formula>NOT(ISERROR(SEARCH("例假",S42)))</formula>
    </cfRule>
    <cfRule type="containsText" priority="1997" operator="containsText" dxfId="4" stopIfTrue="1" text="病假">
      <formula>NOT(ISERROR(SEARCH("病假",S42)))</formula>
    </cfRule>
    <cfRule type="containsText" priority="1998" operator="containsText" dxfId="34" stopIfTrue="1" text="大假">
      <formula>NOT(ISERROR(SEARCH("大假",S42)))</formula>
    </cfRule>
    <cfRule type="containsText" priority="1999" operator="containsText" dxfId="37" stopIfTrue="1" text="無薪">
      <formula>NOT(ISERROR(SEARCH("無薪",S42)))</formula>
    </cfRule>
    <cfRule type="containsText" priority="2000" operator="containsText" dxfId="39" stopIfTrue="1" text="疫苗">
      <formula>NOT(ISERROR(SEARCH("疫苗",S42)))</formula>
    </cfRule>
    <cfRule type="containsText" priority="2001" operator="containsText" dxfId="0" stopIfTrue="1" text="勞假">
      <formula>NOT(ISERROR(SEARCH("勞假",S42)))</formula>
    </cfRule>
    <cfRule type="containsText" priority="2002" operator="containsText" dxfId="36" stopIfTrue="1" text="補假">
      <formula>NOT(ISERROR(SEARCH("補假",S42)))</formula>
    </cfRule>
    <cfRule type="containsText" priority="2003" operator="containsText" dxfId="35" stopIfTrue="1" text="例假">
      <formula>NOT(ISERROR(SEARCH("例假",S42)))</formula>
    </cfRule>
    <cfRule type="containsText" priority="2004" operator="containsText" dxfId="4" stopIfTrue="1" text="病假">
      <formula>NOT(ISERROR(SEARCH("病假",S42)))</formula>
    </cfRule>
    <cfRule type="containsText" priority="2005" operator="containsText" dxfId="34" stopIfTrue="1" text="大假">
      <formula>NOT(ISERROR(SEARCH("大假",S42)))</formula>
    </cfRule>
    <cfRule type="cellIs" priority="2006" operator="equal" dxfId="405">
      <formula>"NSH"</formula>
    </cfRule>
    <cfRule type="containsText" priority="2010" operator="containsText" dxfId="4" text="RD">
      <formula>NOT(ISERROR(SEARCH("RD",S42)))</formula>
    </cfRule>
    <cfRule type="containsText" priority="2011" operator="containsText" dxfId="405" text="NP">
      <formula>NOT(ISERROR(SEARCH("NP",S42)))</formula>
    </cfRule>
  </conditionalFormatting>
  <conditionalFormatting sqref="E43:Q43 S43:AE43">
    <cfRule type="cellIs" priority="3250" operator="equal" dxfId="405">
      <formula>"NSH"</formula>
    </cfRule>
  </conditionalFormatting>
  <conditionalFormatting sqref="S43:AE43">
    <cfRule type="containsText" priority="3158" operator="containsText" dxfId="37" stopIfTrue="1" text="無薪">
      <formula>NOT(ISERROR(SEARCH("無薪",S43)))</formula>
    </cfRule>
    <cfRule type="containsText" priority="3159" operator="containsText" dxfId="38" stopIfTrue="1" text="TIL">
      <formula>NOT(ISERROR(SEARCH("TIL",S43)))</formula>
    </cfRule>
    <cfRule type="containsText" priority="3160" operator="containsText" dxfId="39" stopIfTrue="1" text="疫苗">
      <formula>NOT(ISERROR(SEARCH("疫苗",S43)))</formula>
    </cfRule>
    <cfRule type="containsText" priority="3161" operator="containsText" dxfId="0" stopIfTrue="1" text="勞假">
      <formula>NOT(ISERROR(SEARCH("勞假",S43)))</formula>
    </cfRule>
    <cfRule type="containsText" priority="3162" operator="containsText" dxfId="36" stopIfTrue="1" text="補假">
      <formula>NOT(ISERROR(SEARCH("補假",S43)))</formula>
    </cfRule>
    <cfRule type="containsText" priority="3163" operator="containsText" dxfId="35" stopIfTrue="1" text="例假">
      <formula>NOT(ISERROR(SEARCH("例假",S43)))</formula>
    </cfRule>
    <cfRule type="containsText" priority="3164" operator="containsText" dxfId="4" stopIfTrue="1" text="病假">
      <formula>NOT(ISERROR(SEARCH("病假",S43)))</formula>
    </cfRule>
    <cfRule type="containsText" priority="3165" operator="containsText" dxfId="34" stopIfTrue="1" text="大假">
      <formula>NOT(ISERROR(SEARCH("大假",S43)))</formula>
    </cfRule>
    <cfRule type="containsText" priority="3166" operator="containsText" dxfId="37" stopIfTrue="1" text="無薪">
      <formula>NOT(ISERROR(SEARCH("無薪",S43)))</formula>
    </cfRule>
    <cfRule type="containsText" priority="3167" operator="containsText" dxfId="38" stopIfTrue="1" text="TIL">
      <formula>NOT(ISERROR(SEARCH("TIL",S43)))</formula>
    </cfRule>
    <cfRule type="containsText" priority="3168" operator="containsText" dxfId="39" stopIfTrue="1" text="疫苗">
      <formula>NOT(ISERROR(SEARCH("疫苗",S43)))</formula>
    </cfRule>
    <cfRule type="containsText" priority="3169" operator="containsText" dxfId="0" stopIfTrue="1" text="勞假">
      <formula>NOT(ISERROR(SEARCH("勞假",S43)))</formula>
    </cfRule>
    <cfRule type="containsText" priority="3170" operator="containsText" dxfId="36" stopIfTrue="1" text="補假">
      <formula>NOT(ISERROR(SEARCH("補假",S43)))</formula>
    </cfRule>
    <cfRule type="containsText" priority="3171" operator="containsText" dxfId="35" stopIfTrue="1" text="例假">
      <formula>NOT(ISERROR(SEARCH("例假",S43)))</formula>
    </cfRule>
    <cfRule type="containsText" priority="3172" operator="containsText" dxfId="4" stopIfTrue="1" text="病假">
      <formula>NOT(ISERROR(SEARCH("病假",S43)))</formula>
    </cfRule>
    <cfRule type="containsText" priority="3173" operator="containsText" dxfId="34" stopIfTrue="1" text="大假">
      <formula>NOT(ISERROR(SEARCH("大假",S43)))</formula>
    </cfRule>
    <cfRule type="containsText" priority="3174" operator="containsText" dxfId="38" stopIfTrue="1" text="TIL">
      <formula>NOT(ISERROR(SEARCH("TIL",S43)))</formula>
    </cfRule>
    <cfRule type="cellIs" priority="3175" operator="equal" dxfId="4" stopIfTrue="1">
      <formula>"NP"</formula>
    </cfRule>
    <cfRule type="cellIs" priority="3176" operator="equal" dxfId="25" stopIfTrue="1">
      <formula>"RD"</formula>
    </cfRule>
    <cfRule type="containsText" priority="3177" operator="containsText" dxfId="38" stopIfTrue="1" text="TIL">
      <formula>NOT(ISERROR(SEARCH("TIL",S43)))</formula>
    </cfRule>
    <cfRule type="containsText" priority="3178" operator="containsText" dxfId="39" stopIfTrue="1" text="疫苗">
      <formula>NOT(ISERROR(SEARCH("疫苗",S43)))</formula>
    </cfRule>
    <cfRule type="containsText" priority="3179" operator="containsText" dxfId="0" stopIfTrue="1" text="勞假">
      <formula>NOT(ISERROR(SEARCH("勞假",S43)))</formula>
    </cfRule>
    <cfRule type="containsText" priority="3180" operator="containsText" dxfId="36" stopIfTrue="1" text="補假">
      <formula>NOT(ISERROR(SEARCH("補假",S43)))</formula>
    </cfRule>
    <cfRule type="containsText" priority="3181" operator="containsText" dxfId="35" stopIfTrue="1" text="例假">
      <formula>NOT(ISERROR(SEARCH("例假",S43)))</formula>
    </cfRule>
    <cfRule type="containsText" priority="3182" operator="containsText" dxfId="4" stopIfTrue="1" text="病假">
      <formula>NOT(ISERROR(SEARCH("病假",S43)))</formula>
    </cfRule>
    <cfRule type="containsText" priority="3183" operator="containsText" dxfId="34" stopIfTrue="1" text="大假">
      <formula>NOT(ISERROR(SEARCH("大假",S43)))</formula>
    </cfRule>
    <cfRule type="containsText" priority="3184" operator="containsText" dxfId="38" stopIfTrue="1" text="TIL">
      <formula>NOT(ISERROR(SEARCH("TIL",S43)))</formula>
    </cfRule>
    <cfRule type="containsText" priority="3185" operator="containsText" dxfId="39" stopIfTrue="1" text="疫苗">
      <formula>NOT(ISERROR(SEARCH("疫苗",S43)))</formula>
    </cfRule>
    <cfRule type="containsText" priority="3186" operator="containsText" dxfId="0" stopIfTrue="1" text="勞假">
      <formula>NOT(ISERROR(SEARCH("勞假",S43)))</formula>
    </cfRule>
    <cfRule type="containsText" priority="3187" operator="containsText" dxfId="36" stopIfTrue="1" text="補假">
      <formula>NOT(ISERROR(SEARCH("補假",S43)))</formula>
    </cfRule>
    <cfRule type="containsText" priority="3188" operator="containsText" dxfId="35" stopIfTrue="1" text="例假">
      <formula>NOT(ISERROR(SEARCH("例假",S43)))</formula>
    </cfRule>
    <cfRule type="containsText" priority="3189" operator="containsText" dxfId="4" stopIfTrue="1" text="病假">
      <formula>NOT(ISERROR(SEARCH("病假",S43)))</formula>
    </cfRule>
    <cfRule type="containsText" priority="3190" operator="containsText" dxfId="34" stopIfTrue="1" text="大假">
      <formula>NOT(ISERROR(SEARCH("大假",S43)))</formula>
    </cfRule>
    <cfRule type="containsText" priority="3191" operator="containsText" dxfId="37" stopIfTrue="1" text="無薪">
      <formula>NOT(ISERROR(SEARCH("無薪",S43)))</formula>
    </cfRule>
    <cfRule type="containsText" priority="3192" operator="containsText" dxfId="39" stopIfTrue="1" text="疫苗">
      <formula>NOT(ISERROR(SEARCH("疫苗",S43)))</formula>
    </cfRule>
    <cfRule type="containsText" priority="3193" operator="containsText" dxfId="0" stopIfTrue="1" text="勞假">
      <formula>NOT(ISERROR(SEARCH("勞假",S43)))</formula>
    </cfRule>
    <cfRule type="containsText" priority="3194" operator="containsText" dxfId="36" stopIfTrue="1" text="補假">
      <formula>NOT(ISERROR(SEARCH("補假",S43)))</formula>
    </cfRule>
    <cfRule type="containsText" priority="3195" operator="containsText" dxfId="35" stopIfTrue="1" text="例假">
      <formula>NOT(ISERROR(SEARCH("例假",S43)))</formula>
    </cfRule>
    <cfRule type="containsText" priority="3196" operator="containsText" dxfId="4" stopIfTrue="1" text="病假">
      <formula>NOT(ISERROR(SEARCH("病假",S43)))</formula>
    </cfRule>
    <cfRule type="containsText" priority="3197" operator="containsText" dxfId="34" stopIfTrue="1" text="大假">
      <formula>NOT(ISERROR(SEARCH("大假",S43)))</formula>
    </cfRule>
    <cfRule type="containsText" priority="3198" operator="containsText" dxfId="37" stopIfTrue="1" text="無薪">
      <formula>NOT(ISERROR(SEARCH("無薪",S43)))</formula>
    </cfRule>
    <cfRule type="containsText" priority="3199" operator="containsText" dxfId="38" stopIfTrue="1" text="TIL">
      <formula>NOT(ISERROR(SEARCH("TIL",S43)))</formula>
    </cfRule>
    <cfRule type="containsText" priority="3200" operator="containsText" dxfId="39" stopIfTrue="1" text="疫苗">
      <formula>NOT(ISERROR(SEARCH("疫苗",S43)))</formula>
    </cfRule>
    <cfRule type="containsText" priority="3201" operator="containsText" dxfId="0" stopIfTrue="1" text="勞假">
      <formula>NOT(ISERROR(SEARCH("勞假",S43)))</formula>
    </cfRule>
    <cfRule type="containsText" priority="3202" operator="containsText" dxfId="36" stopIfTrue="1" text="補假">
      <formula>NOT(ISERROR(SEARCH("補假",S43)))</formula>
    </cfRule>
    <cfRule type="containsText" priority="3203" operator="containsText" dxfId="35" stopIfTrue="1" text="例假">
      <formula>NOT(ISERROR(SEARCH("例假",S43)))</formula>
    </cfRule>
    <cfRule type="containsText" priority="3204" operator="containsText" dxfId="4" stopIfTrue="1" text="病假">
      <formula>NOT(ISERROR(SEARCH("病假",S43)))</formula>
    </cfRule>
    <cfRule type="containsText" priority="3205" operator="containsText" dxfId="34" stopIfTrue="1" text="大假">
      <formula>NOT(ISERROR(SEARCH("大假",S43)))</formula>
    </cfRule>
    <cfRule type="containsText" priority="3206" operator="containsText" dxfId="37" stopIfTrue="1" text="無薪">
      <formula>NOT(ISERROR(SEARCH("無薪",S43)))</formula>
    </cfRule>
    <cfRule type="containsText" priority="3207" operator="containsText" dxfId="38" stopIfTrue="1" text="TIL">
      <formula>NOT(ISERROR(SEARCH("TIL",S43)))</formula>
    </cfRule>
    <cfRule type="containsText" priority="3208" operator="containsText" dxfId="39" stopIfTrue="1" text="疫苗">
      <formula>NOT(ISERROR(SEARCH("疫苗",S43)))</formula>
    </cfRule>
    <cfRule type="containsText" priority="3209" operator="containsText" dxfId="0" stopIfTrue="1" text="勞假">
      <formula>NOT(ISERROR(SEARCH("勞假",S43)))</formula>
    </cfRule>
    <cfRule type="containsText" priority="3210" operator="containsText" dxfId="36" stopIfTrue="1" text="補假">
      <formula>NOT(ISERROR(SEARCH("補假",S43)))</formula>
    </cfRule>
    <cfRule type="containsText" priority="3211" operator="containsText" dxfId="35" stopIfTrue="1" text="例假">
      <formula>NOT(ISERROR(SEARCH("例假",S43)))</formula>
    </cfRule>
    <cfRule type="containsText" priority="3212" operator="containsText" dxfId="4" stopIfTrue="1" text="病假">
      <formula>NOT(ISERROR(SEARCH("病假",S43)))</formula>
    </cfRule>
    <cfRule type="containsText" priority="3213" operator="containsText" dxfId="34" stopIfTrue="1" text="大假">
      <formula>NOT(ISERROR(SEARCH("大假",S43)))</formula>
    </cfRule>
    <cfRule type="containsText" priority="3214" operator="containsText" dxfId="37" stopIfTrue="1" text="無薪">
      <formula>NOT(ISERROR(SEARCH("無薪",S43)))</formula>
    </cfRule>
    <cfRule type="cellIs" priority="3215" operator="equal" dxfId="24">
      <formula>"NC"</formula>
    </cfRule>
    <cfRule type="cellIs" priority="3216" operator="equal" dxfId="24">
      <formula>"nd"</formula>
    </cfRule>
    <cfRule type="cellIs" priority="3217" operator="equal" dxfId="24">
      <formula>0</formula>
    </cfRule>
    <cfRule type="cellIs" priority="3218" operator="equal" dxfId="23">
      <formula>"R"</formula>
    </cfRule>
    <cfRule type="cellIs" priority="3219" operator="equal" dxfId="48">
      <formula>"NH12"</formula>
    </cfRule>
    <cfRule type="cellIs" priority="3220" operator="equal" dxfId="48">
      <formula>"Nh11"</formula>
    </cfRule>
    <cfRule type="containsText" priority="3221" operator="containsText" dxfId="38" stopIfTrue="1" text="TIL">
      <formula>NOT(ISERROR(SEARCH("TIL",S43)))</formula>
    </cfRule>
    <cfRule type="containsText" priority="3222" operator="containsText" dxfId="39" stopIfTrue="1" text="疫苗">
      <formula>NOT(ISERROR(SEARCH("疫苗",S43)))</formula>
    </cfRule>
    <cfRule type="containsText" priority="3223" operator="containsText" dxfId="0" stopIfTrue="1" text="勞假">
      <formula>NOT(ISERROR(SEARCH("勞假",S43)))</formula>
    </cfRule>
    <cfRule type="containsText" priority="3224" operator="containsText" dxfId="36" stopIfTrue="1" text="補假">
      <formula>NOT(ISERROR(SEARCH("補假",S43)))</formula>
    </cfRule>
    <cfRule type="containsText" priority="3225" operator="containsText" dxfId="35" stopIfTrue="1" text="例假">
      <formula>NOT(ISERROR(SEARCH("例假",S43)))</formula>
    </cfRule>
    <cfRule type="containsText" priority="3226" operator="containsText" dxfId="4" stopIfTrue="1" text="病假">
      <formula>NOT(ISERROR(SEARCH("病假",S43)))</formula>
    </cfRule>
    <cfRule type="containsText" priority="3227" operator="containsText" dxfId="34" stopIfTrue="1" text="大假">
      <formula>NOT(ISERROR(SEARCH("大假",S43)))</formula>
    </cfRule>
    <cfRule type="containsText" priority="3228" operator="containsText" dxfId="37" stopIfTrue="1" text="無薪">
      <formula>NOT(ISERROR(SEARCH("無薪",S43)))</formula>
    </cfRule>
    <cfRule type="containsText" priority="3229" operator="containsText" dxfId="38" stopIfTrue="1" text="TIL">
      <formula>NOT(ISERROR(SEARCH("TIL",S43)))</formula>
    </cfRule>
    <cfRule type="containsText" priority="3230" operator="containsText" dxfId="39" stopIfTrue="1" text="疫苗">
      <formula>NOT(ISERROR(SEARCH("疫苗",S43)))</formula>
    </cfRule>
    <cfRule type="containsText" priority="3231" operator="containsText" dxfId="0" stopIfTrue="1" text="勞假">
      <formula>NOT(ISERROR(SEARCH("勞假",S43)))</formula>
    </cfRule>
    <cfRule type="containsText" priority="3232" operator="containsText" dxfId="36" stopIfTrue="1" text="補假">
      <formula>NOT(ISERROR(SEARCH("補假",S43)))</formula>
    </cfRule>
    <cfRule type="containsText" priority="3233" operator="containsText" dxfId="35" stopIfTrue="1" text="例假">
      <formula>NOT(ISERROR(SEARCH("例假",S43)))</formula>
    </cfRule>
    <cfRule type="containsText" priority="3234" operator="containsText" dxfId="4" stopIfTrue="1" text="病假">
      <formula>NOT(ISERROR(SEARCH("病假",S43)))</formula>
    </cfRule>
    <cfRule type="containsText" priority="3235" operator="containsText" dxfId="34" stopIfTrue="1" text="大假">
      <formula>NOT(ISERROR(SEARCH("大假",S43)))</formula>
    </cfRule>
    <cfRule type="containsText" priority="3236" operator="containsText" dxfId="37" stopIfTrue="1" text="無薪">
      <formula>NOT(ISERROR(SEARCH("無薪",S43)))</formula>
    </cfRule>
    <cfRule type="containsText" priority="3237" operator="containsText" dxfId="39" stopIfTrue="1" text="疫苗">
      <formula>NOT(ISERROR(SEARCH("疫苗",S43)))</formula>
    </cfRule>
    <cfRule type="containsText" priority="3238" operator="containsText" dxfId="0" stopIfTrue="1" text="勞假">
      <formula>NOT(ISERROR(SEARCH("勞假",S43)))</formula>
    </cfRule>
    <cfRule type="containsText" priority="3239" operator="containsText" dxfId="36" stopIfTrue="1" text="補假">
      <formula>NOT(ISERROR(SEARCH("補假",S43)))</formula>
    </cfRule>
    <cfRule type="containsText" priority="3240" operator="containsText" dxfId="35" stopIfTrue="1" text="例假">
      <formula>NOT(ISERROR(SEARCH("例假",S43)))</formula>
    </cfRule>
    <cfRule type="containsText" priority="3241" operator="containsText" dxfId="4" stopIfTrue="1" text="病假">
      <formula>NOT(ISERROR(SEARCH("病假",S43)))</formula>
    </cfRule>
    <cfRule type="containsText" priority="3242" operator="containsText" dxfId="34" stopIfTrue="1" text="大假">
      <formula>NOT(ISERROR(SEARCH("大假",S43)))</formula>
    </cfRule>
    <cfRule type="containsText" priority="3257" operator="containsText" dxfId="4" text="RD">
      <formula>NOT(ISERROR(SEARCH("RD",S43)))</formula>
    </cfRule>
    <cfRule type="containsText" priority="3258" operator="containsText" dxfId="405" text="NP">
      <formula>NOT(ISERROR(SEARCH("NP",S43)))</formula>
    </cfRule>
  </conditionalFormatting>
  <conditionalFormatting sqref="T11:AD11">
    <cfRule type="containsText" priority="2448" operator="containsText" dxfId="4" text="RD">
      <formula>NOT(ISERROR(SEARCH("RD",T11)))</formula>
    </cfRule>
    <cfRule type="containsText" priority="2449" operator="containsText" dxfId="405" text="NP">
      <formula>NOT(ISERROR(SEARCH("NP",T11)))</formula>
    </cfRule>
    <cfRule type="cellIs" priority="2450" operator="equal" dxfId="61">
      <formula>"VO"</formula>
    </cfRule>
    <cfRule type="cellIs" priority="2451" operator="equal" dxfId="61">
      <formula>"CW"</formula>
    </cfRule>
    <cfRule type="cellIs" priority="2452" operator="equal" dxfId="61">
      <formula>"CF"</formula>
    </cfRule>
    <cfRule type="containsText" priority="2453" operator="containsText" dxfId="37" stopIfTrue="1" text="無薪">
      <formula>NOT(ISERROR(SEARCH("無薪",T11)))</formula>
    </cfRule>
    <cfRule type="containsText" priority="2454" operator="containsText" dxfId="38" stopIfTrue="1" text="TIL">
      <formula>NOT(ISERROR(SEARCH("TIL",T11)))</formula>
    </cfRule>
    <cfRule type="containsText" priority="2455" operator="containsText" dxfId="39" stopIfTrue="1" text="疫苗">
      <formula>NOT(ISERROR(SEARCH("疫苗",T11)))</formula>
    </cfRule>
    <cfRule type="containsText" priority="2456" operator="containsText" dxfId="0" stopIfTrue="1" text="勞假">
      <formula>NOT(ISERROR(SEARCH("勞假",T11)))</formula>
    </cfRule>
    <cfRule type="containsText" priority="2457" operator="containsText" dxfId="36" stopIfTrue="1" text="補假">
      <formula>NOT(ISERROR(SEARCH("補假",T11)))</formula>
    </cfRule>
    <cfRule type="containsText" priority="2458" operator="containsText" dxfId="35" stopIfTrue="1" text="例假">
      <formula>NOT(ISERROR(SEARCH("例假",T11)))</formula>
    </cfRule>
    <cfRule type="containsText" priority="2459" operator="containsText" dxfId="4" stopIfTrue="1" text="病假">
      <formula>NOT(ISERROR(SEARCH("病假",T11)))</formula>
    </cfRule>
    <cfRule type="containsText" priority="2460" operator="containsText" dxfId="34" stopIfTrue="1" text="大假">
      <formula>NOT(ISERROR(SEARCH("大假",T11)))</formula>
    </cfRule>
    <cfRule type="containsText" priority="2461" operator="containsText" dxfId="37" stopIfTrue="1" text="無薪">
      <formula>NOT(ISERROR(SEARCH("無薪",T11)))</formula>
    </cfRule>
    <cfRule type="containsText" priority="2462" operator="containsText" dxfId="38" stopIfTrue="1" text="TIL">
      <formula>NOT(ISERROR(SEARCH("TIL",T11)))</formula>
    </cfRule>
    <cfRule type="containsText" priority="2463" operator="containsText" dxfId="39" stopIfTrue="1" text="疫苗">
      <formula>NOT(ISERROR(SEARCH("疫苗",T11)))</formula>
    </cfRule>
    <cfRule type="containsText" priority="2464" operator="containsText" dxfId="0" stopIfTrue="1" text="勞假">
      <formula>NOT(ISERROR(SEARCH("勞假",T11)))</formula>
    </cfRule>
    <cfRule type="containsText" priority="2465" operator="containsText" dxfId="36" stopIfTrue="1" text="補假">
      <formula>NOT(ISERROR(SEARCH("補假",T11)))</formula>
    </cfRule>
    <cfRule type="containsText" priority="2466" operator="containsText" dxfId="35" stopIfTrue="1" text="例假">
      <formula>NOT(ISERROR(SEARCH("例假",T11)))</formula>
    </cfRule>
    <cfRule type="containsText" priority="2467" operator="containsText" dxfId="4" stopIfTrue="1" text="病假">
      <formula>NOT(ISERROR(SEARCH("病假",T11)))</formula>
    </cfRule>
    <cfRule type="containsText" priority="2468" operator="containsText" dxfId="34" stopIfTrue="1" text="大假">
      <formula>NOT(ISERROR(SEARCH("大假",T11)))</formula>
    </cfRule>
    <cfRule type="containsText" priority="2469" operator="containsText" dxfId="38" stopIfTrue="1" text="TIL">
      <formula>NOT(ISERROR(SEARCH("TIL",T11)))</formula>
    </cfRule>
    <cfRule type="cellIs" priority="2470" operator="equal" dxfId="4" stopIfTrue="1">
      <formula>"NP"</formula>
    </cfRule>
    <cfRule type="cellIs" priority="2471" operator="equal" dxfId="25" stopIfTrue="1">
      <formula>"RD"</formula>
    </cfRule>
    <cfRule type="containsText" priority="2472" operator="containsText" dxfId="38" stopIfTrue="1" text="TIL">
      <formula>NOT(ISERROR(SEARCH("TIL",T11)))</formula>
    </cfRule>
    <cfRule type="containsText" priority="2473" operator="containsText" dxfId="39" stopIfTrue="1" text="疫苗">
      <formula>NOT(ISERROR(SEARCH("疫苗",T11)))</formula>
    </cfRule>
    <cfRule type="containsText" priority="2474" operator="containsText" dxfId="0" stopIfTrue="1" text="勞假">
      <formula>NOT(ISERROR(SEARCH("勞假",T11)))</formula>
    </cfRule>
    <cfRule type="containsText" priority="2475" operator="containsText" dxfId="36" stopIfTrue="1" text="補假">
      <formula>NOT(ISERROR(SEARCH("補假",T11)))</formula>
    </cfRule>
    <cfRule type="containsText" priority="2476" operator="containsText" dxfId="35" stopIfTrue="1" text="例假">
      <formula>NOT(ISERROR(SEARCH("例假",T11)))</formula>
    </cfRule>
    <cfRule type="containsText" priority="2477" operator="containsText" dxfId="4" stopIfTrue="1" text="病假">
      <formula>NOT(ISERROR(SEARCH("病假",T11)))</formula>
    </cfRule>
    <cfRule type="containsText" priority="2478" operator="containsText" dxfId="34" stopIfTrue="1" text="大假">
      <formula>NOT(ISERROR(SEARCH("大假",T11)))</formula>
    </cfRule>
    <cfRule type="containsText" priority="2479" operator="containsText" dxfId="38" stopIfTrue="1" text="TIL">
      <formula>NOT(ISERROR(SEARCH("TIL",T11)))</formula>
    </cfRule>
    <cfRule type="containsText" priority="2480" operator="containsText" dxfId="39" stopIfTrue="1" text="疫苗">
      <formula>NOT(ISERROR(SEARCH("疫苗",T11)))</formula>
    </cfRule>
    <cfRule type="containsText" priority="2481" operator="containsText" dxfId="0" stopIfTrue="1" text="勞假">
      <formula>NOT(ISERROR(SEARCH("勞假",T11)))</formula>
    </cfRule>
    <cfRule type="containsText" priority="2482" operator="containsText" dxfId="36" stopIfTrue="1" text="補假">
      <formula>NOT(ISERROR(SEARCH("補假",T11)))</formula>
    </cfRule>
    <cfRule type="containsText" priority="2483" operator="containsText" dxfId="35" stopIfTrue="1" text="例假">
      <formula>NOT(ISERROR(SEARCH("例假",T11)))</formula>
    </cfRule>
    <cfRule type="containsText" priority="2484" operator="containsText" dxfId="4" stopIfTrue="1" text="病假">
      <formula>NOT(ISERROR(SEARCH("病假",T11)))</formula>
    </cfRule>
    <cfRule type="containsText" priority="2485" operator="containsText" dxfId="34" stopIfTrue="1" text="大假">
      <formula>NOT(ISERROR(SEARCH("大假",T11)))</formula>
    </cfRule>
    <cfRule type="containsText" priority="2486" operator="containsText" dxfId="37" stopIfTrue="1" text="無薪">
      <formula>NOT(ISERROR(SEARCH("無薪",T11)))</formula>
    </cfRule>
    <cfRule type="containsText" priority="2487" operator="containsText" dxfId="39" stopIfTrue="1" text="疫苗">
      <formula>NOT(ISERROR(SEARCH("疫苗",T11)))</formula>
    </cfRule>
    <cfRule type="containsText" priority="2488" operator="containsText" dxfId="0" stopIfTrue="1" text="勞假">
      <formula>NOT(ISERROR(SEARCH("勞假",T11)))</formula>
    </cfRule>
    <cfRule type="containsText" priority="2489" operator="containsText" dxfId="36" stopIfTrue="1" text="補假">
      <formula>NOT(ISERROR(SEARCH("補假",T11)))</formula>
    </cfRule>
    <cfRule type="containsText" priority="2490" operator="containsText" dxfId="35" stopIfTrue="1" text="例假">
      <formula>NOT(ISERROR(SEARCH("例假",T11)))</formula>
    </cfRule>
    <cfRule type="containsText" priority="2491" operator="containsText" dxfId="4" stopIfTrue="1" text="病假">
      <formula>NOT(ISERROR(SEARCH("病假",T11)))</formula>
    </cfRule>
    <cfRule type="containsText" priority="2492" operator="containsText" dxfId="34" stopIfTrue="1" text="大假">
      <formula>NOT(ISERROR(SEARCH("大假",T11)))</formula>
    </cfRule>
    <cfRule type="containsText" priority="2493" operator="containsText" dxfId="37" stopIfTrue="1" text="無薪">
      <formula>NOT(ISERROR(SEARCH("無薪",T11)))</formula>
    </cfRule>
    <cfRule type="containsText" priority="2494" operator="containsText" dxfId="38" stopIfTrue="1" text="TIL">
      <formula>NOT(ISERROR(SEARCH("TIL",T11)))</formula>
    </cfRule>
    <cfRule type="containsText" priority="2495" operator="containsText" dxfId="39" stopIfTrue="1" text="疫苗">
      <formula>NOT(ISERROR(SEARCH("疫苗",T11)))</formula>
    </cfRule>
    <cfRule type="containsText" priority="2496" operator="containsText" dxfId="0" stopIfTrue="1" text="勞假">
      <formula>NOT(ISERROR(SEARCH("勞假",T11)))</formula>
    </cfRule>
    <cfRule type="containsText" priority="2497" operator="containsText" dxfId="36" stopIfTrue="1" text="補假">
      <formula>NOT(ISERROR(SEARCH("補假",T11)))</formula>
    </cfRule>
    <cfRule type="containsText" priority="2498" operator="containsText" dxfId="35" stopIfTrue="1" text="例假">
      <formula>NOT(ISERROR(SEARCH("例假",T11)))</formula>
    </cfRule>
    <cfRule type="containsText" priority="2499" operator="containsText" dxfId="4" stopIfTrue="1" text="病假">
      <formula>NOT(ISERROR(SEARCH("病假",T11)))</formula>
    </cfRule>
    <cfRule type="containsText" priority="2500" operator="containsText" dxfId="34" stopIfTrue="1" text="大假">
      <formula>NOT(ISERROR(SEARCH("大假",T11)))</formula>
    </cfRule>
    <cfRule type="containsText" priority="2501" operator="containsText" dxfId="37" stopIfTrue="1" text="無薪">
      <formula>NOT(ISERROR(SEARCH("無薪",T11)))</formula>
    </cfRule>
    <cfRule type="containsText" priority="2502" operator="containsText" dxfId="38" stopIfTrue="1" text="TIL">
      <formula>NOT(ISERROR(SEARCH("TIL",T11)))</formula>
    </cfRule>
    <cfRule type="containsText" priority="2503" operator="containsText" dxfId="39" stopIfTrue="1" text="疫苗">
      <formula>NOT(ISERROR(SEARCH("疫苗",T11)))</formula>
    </cfRule>
    <cfRule type="containsText" priority="2504" operator="containsText" dxfId="0" stopIfTrue="1" text="勞假">
      <formula>NOT(ISERROR(SEARCH("勞假",T11)))</formula>
    </cfRule>
    <cfRule type="containsText" priority="2505" operator="containsText" dxfId="36" stopIfTrue="1" text="補假">
      <formula>NOT(ISERROR(SEARCH("補假",T11)))</formula>
    </cfRule>
    <cfRule type="containsText" priority="2506" operator="containsText" dxfId="35" stopIfTrue="1" text="例假">
      <formula>NOT(ISERROR(SEARCH("例假",T11)))</formula>
    </cfRule>
    <cfRule type="containsText" priority="2507" operator="containsText" dxfId="4" stopIfTrue="1" text="病假">
      <formula>NOT(ISERROR(SEARCH("病假",T11)))</formula>
    </cfRule>
    <cfRule type="containsText" priority="2508" operator="containsText" dxfId="34" stopIfTrue="1" text="大假">
      <formula>NOT(ISERROR(SEARCH("大假",T11)))</formula>
    </cfRule>
    <cfRule type="containsText" priority="2509" operator="containsText" dxfId="37" stopIfTrue="1" text="無薪">
      <formula>NOT(ISERROR(SEARCH("無薪",T11)))</formula>
    </cfRule>
    <cfRule type="cellIs" priority="2510" operator="equal" dxfId="24">
      <formula>"NC"</formula>
    </cfRule>
    <cfRule type="cellIs" priority="2511" operator="equal" dxfId="24">
      <formula>"nd"</formula>
    </cfRule>
    <cfRule type="cellIs" priority="2512" operator="equal" dxfId="24">
      <formula>0</formula>
    </cfRule>
    <cfRule type="cellIs" priority="2513" operator="equal" dxfId="23">
      <formula>"R"</formula>
    </cfRule>
    <cfRule type="cellIs" priority="2514" operator="equal" dxfId="48">
      <formula>"NH12"</formula>
    </cfRule>
    <cfRule type="cellIs" priority="2515" operator="equal" dxfId="48">
      <formula>"Nh11"</formula>
    </cfRule>
    <cfRule type="containsText" priority="2516" operator="containsText" dxfId="38" stopIfTrue="1" text="TIL">
      <formula>NOT(ISERROR(SEARCH("TIL",T11)))</formula>
    </cfRule>
    <cfRule type="containsText" priority="2517" operator="containsText" dxfId="39" stopIfTrue="1" text="疫苗">
      <formula>NOT(ISERROR(SEARCH("疫苗",T11)))</formula>
    </cfRule>
    <cfRule type="containsText" priority="2518" operator="containsText" dxfId="0" stopIfTrue="1" text="勞假">
      <formula>NOT(ISERROR(SEARCH("勞假",T11)))</formula>
    </cfRule>
    <cfRule type="containsText" priority="2519" operator="containsText" dxfId="36" stopIfTrue="1" text="補假">
      <formula>NOT(ISERROR(SEARCH("補假",T11)))</formula>
    </cfRule>
    <cfRule type="containsText" priority="2520" operator="containsText" dxfId="35" stopIfTrue="1" text="例假">
      <formula>NOT(ISERROR(SEARCH("例假",T11)))</formula>
    </cfRule>
    <cfRule type="containsText" priority="2521" operator="containsText" dxfId="4" stopIfTrue="1" text="病假">
      <formula>NOT(ISERROR(SEARCH("病假",T11)))</formula>
    </cfRule>
    <cfRule type="containsText" priority="2522" operator="containsText" dxfId="34" stopIfTrue="1" text="大假">
      <formula>NOT(ISERROR(SEARCH("大假",T11)))</formula>
    </cfRule>
    <cfRule type="containsText" priority="2523" operator="containsText" dxfId="37" stopIfTrue="1" text="無薪">
      <formula>NOT(ISERROR(SEARCH("無薪",T11)))</formula>
    </cfRule>
    <cfRule type="containsText" priority="2524" operator="containsText" dxfId="38" stopIfTrue="1" text="TIL">
      <formula>NOT(ISERROR(SEARCH("TIL",T11)))</formula>
    </cfRule>
    <cfRule type="containsText" priority="2525" operator="containsText" dxfId="39" stopIfTrue="1" text="疫苗">
      <formula>NOT(ISERROR(SEARCH("疫苗",T11)))</formula>
    </cfRule>
    <cfRule type="containsText" priority="2526" operator="containsText" dxfId="0" stopIfTrue="1" text="勞假">
      <formula>NOT(ISERROR(SEARCH("勞假",T11)))</formula>
    </cfRule>
    <cfRule type="containsText" priority="2527" operator="containsText" dxfId="36" stopIfTrue="1" text="補假">
      <formula>NOT(ISERROR(SEARCH("補假",T11)))</formula>
    </cfRule>
    <cfRule type="containsText" priority="2528" operator="containsText" dxfId="35" stopIfTrue="1" text="例假">
      <formula>NOT(ISERROR(SEARCH("例假",T11)))</formula>
    </cfRule>
    <cfRule type="containsText" priority="2529" operator="containsText" dxfId="4" stopIfTrue="1" text="病假">
      <formula>NOT(ISERROR(SEARCH("病假",T11)))</formula>
    </cfRule>
    <cfRule type="containsText" priority="2530" operator="containsText" dxfId="34" stopIfTrue="1" text="大假">
      <formula>NOT(ISERROR(SEARCH("大假",T11)))</formula>
    </cfRule>
    <cfRule type="containsText" priority="2531" operator="containsText" dxfId="37" stopIfTrue="1" text="無薪">
      <formula>NOT(ISERROR(SEARCH("無薪",T11)))</formula>
    </cfRule>
    <cfRule type="containsText" priority="2532" operator="containsText" dxfId="39" stopIfTrue="1" text="疫苗">
      <formula>NOT(ISERROR(SEARCH("疫苗",T11)))</formula>
    </cfRule>
    <cfRule type="containsText" priority="2533" operator="containsText" dxfId="0" stopIfTrue="1" text="勞假">
      <formula>NOT(ISERROR(SEARCH("勞假",T11)))</formula>
    </cfRule>
    <cfRule type="containsText" priority="2534" operator="containsText" dxfId="36" stopIfTrue="1" text="補假">
      <formula>NOT(ISERROR(SEARCH("補假",T11)))</formula>
    </cfRule>
    <cfRule type="containsText" priority="2535" operator="containsText" dxfId="35" stopIfTrue="1" text="例假">
      <formula>NOT(ISERROR(SEARCH("例假",T11)))</formula>
    </cfRule>
    <cfRule type="containsText" priority="2536" operator="containsText" dxfId="4" stopIfTrue="1" text="病假">
      <formula>NOT(ISERROR(SEARCH("病假",T11)))</formula>
    </cfRule>
    <cfRule type="containsText" priority="2537" operator="containsText" dxfId="34" stopIfTrue="1" text="大假">
      <formula>NOT(ISERROR(SEARCH("大假",T11)))</formula>
    </cfRule>
  </conditionalFormatting>
  <conditionalFormatting sqref="U11">
    <cfRule type="cellIs" priority="1813" operator="equal" dxfId="61">
      <formula>"VO"</formula>
    </cfRule>
    <cfRule type="cellIs" priority="1814" operator="equal" dxfId="61">
      <formula>"CW"</formula>
    </cfRule>
    <cfRule type="cellIs" priority="1815" operator="equal" dxfId="61">
      <formula>"CF"</formula>
    </cfRule>
    <cfRule type="containsText" priority="1816" operator="containsText" dxfId="37" stopIfTrue="1" text="無薪">
      <formula>NOT(ISERROR(SEARCH("無薪",U11)))</formula>
    </cfRule>
    <cfRule type="containsText" priority="1817" operator="containsText" dxfId="38" stopIfTrue="1" text="TIL">
      <formula>NOT(ISERROR(SEARCH("TIL",U11)))</formula>
    </cfRule>
    <cfRule type="containsText" priority="1818" operator="containsText" dxfId="39" stopIfTrue="1" text="疫苗">
      <formula>NOT(ISERROR(SEARCH("疫苗",U11)))</formula>
    </cfRule>
    <cfRule type="containsText" priority="1819" operator="containsText" dxfId="0" stopIfTrue="1" text="勞假">
      <formula>NOT(ISERROR(SEARCH("勞假",U11)))</formula>
    </cfRule>
    <cfRule type="containsText" priority="1820" operator="containsText" dxfId="36" stopIfTrue="1" text="補假">
      <formula>NOT(ISERROR(SEARCH("補假",U11)))</formula>
    </cfRule>
    <cfRule type="containsText" priority="1821" operator="containsText" dxfId="35" stopIfTrue="1" text="例假">
      <formula>NOT(ISERROR(SEARCH("例假",U11)))</formula>
    </cfRule>
    <cfRule type="containsText" priority="1822" operator="containsText" dxfId="4" stopIfTrue="1" text="病假">
      <formula>NOT(ISERROR(SEARCH("病假",U11)))</formula>
    </cfRule>
    <cfRule type="containsText" priority="1823" operator="containsText" dxfId="34" stopIfTrue="1" text="大假">
      <formula>NOT(ISERROR(SEARCH("大假",U11)))</formula>
    </cfRule>
    <cfRule type="containsText" priority="1824" operator="containsText" dxfId="37" stopIfTrue="1" text="無薪">
      <formula>NOT(ISERROR(SEARCH("無薪",U11)))</formula>
    </cfRule>
    <cfRule type="containsText" priority="1825" operator="containsText" dxfId="38" stopIfTrue="1" text="TIL">
      <formula>NOT(ISERROR(SEARCH("TIL",U11)))</formula>
    </cfRule>
    <cfRule type="containsText" priority="1826" operator="containsText" dxfId="39" stopIfTrue="1" text="疫苗">
      <formula>NOT(ISERROR(SEARCH("疫苗",U11)))</formula>
    </cfRule>
    <cfRule type="containsText" priority="1827" operator="containsText" dxfId="0" stopIfTrue="1" text="勞假">
      <formula>NOT(ISERROR(SEARCH("勞假",U11)))</formula>
    </cfRule>
    <cfRule type="containsText" priority="1828" operator="containsText" dxfId="36" stopIfTrue="1" text="補假">
      <formula>NOT(ISERROR(SEARCH("補假",U11)))</formula>
    </cfRule>
    <cfRule type="containsText" priority="1829" operator="containsText" dxfId="35" stopIfTrue="1" text="例假">
      <formula>NOT(ISERROR(SEARCH("例假",U11)))</formula>
    </cfRule>
    <cfRule type="containsText" priority="1830" operator="containsText" dxfId="4" stopIfTrue="1" text="病假">
      <formula>NOT(ISERROR(SEARCH("病假",U11)))</formula>
    </cfRule>
    <cfRule type="containsText" priority="1831" operator="containsText" dxfId="34" stopIfTrue="1" text="大假">
      <formula>NOT(ISERROR(SEARCH("大假",U11)))</formula>
    </cfRule>
    <cfRule type="containsText" priority="1832" operator="containsText" dxfId="38" stopIfTrue="1" text="TIL">
      <formula>NOT(ISERROR(SEARCH("TIL",U11)))</formula>
    </cfRule>
    <cfRule type="cellIs" priority="1833" operator="equal" dxfId="4" stopIfTrue="1">
      <formula>"NP"</formula>
    </cfRule>
    <cfRule type="cellIs" priority="1834" operator="equal" dxfId="25" stopIfTrue="1">
      <formula>"RD"</formula>
    </cfRule>
    <cfRule type="containsText" priority="1835" operator="containsText" dxfId="38" stopIfTrue="1" text="TIL">
      <formula>NOT(ISERROR(SEARCH("TIL",U11)))</formula>
    </cfRule>
    <cfRule type="containsText" priority="1836" operator="containsText" dxfId="39" stopIfTrue="1" text="疫苗">
      <formula>NOT(ISERROR(SEARCH("疫苗",U11)))</formula>
    </cfRule>
    <cfRule type="containsText" priority="1837" operator="containsText" dxfId="0" stopIfTrue="1" text="勞假">
      <formula>NOT(ISERROR(SEARCH("勞假",U11)))</formula>
    </cfRule>
    <cfRule type="containsText" priority="1838" operator="containsText" dxfId="36" stopIfTrue="1" text="補假">
      <formula>NOT(ISERROR(SEARCH("補假",U11)))</formula>
    </cfRule>
    <cfRule type="containsText" priority="1839" operator="containsText" dxfId="35" stopIfTrue="1" text="例假">
      <formula>NOT(ISERROR(SEARCH("例假",U11)))</formula>
    </cfRule>
    <cfRule type="containsText" priority="1840" operator="containsText" dxfId="4" stopIfTrue="1" text="病假">
      <formula>NOT(ISERROR(SEARCH("病假",U11)))</formula>
    </cfRule>
    <cfRule type="containsText" priority="1841" operator="containsText" dxfId="34" stopIfTrue="1" text="大假">
      <formula>NOT(ISERROR(SEARCH("大假",U11)))</formula>
    </cfRule>
    <cfRule type="containsText" priority="1842" operator="containsText" dxfId="38" stopIfTrue="1" text="TIL">
      <formula>NOT(ISERROR(SEARCH("TIL",U11)))</formula>
    </cfRule>
    <cfRule type="containsText" priority="1843" operator="containsText" dxfId="39" stopIfTrue="1" text="疫苗">
      <formula>NOT(ISERROR(SEARCH("疫苗",U11)))</formula>
    </cfRule>
    <cfRule type="containsText" priority="1844" operator="containsText" dxfId="0" stopIfTrue="1" text="勞假">
      <formula>NOT(ISERROR(SEARCH("勞假",U11)))</formula>
    </cfRule>
    <cfRule type="containsText" priority="1845" operator="containsText" dxfId="36" stopIfTrue="1" text="補假">
      <formula>NOT(ISERROR(SEARCH("補假",U11)))</formula>
    </cfRule>
    <cfRule type="containsText" priority="1846" operator="containsText" dxfId="35" stopIfTrue="1" text="例假">
      <formula>NOT(ISERROR(SEARCH("例假",U11)))</formula>
    </cfRule>
    <cfRule type="containsText" priority="1847" operator="containsText" dxfId="4" stopIfTrue="1" text="病假">
      <formula>NOT(ISERROR(SEARCH("病假",U11)))</formula>
    </cfRule>
    <cfRule type="containsText" priority="1848" operator="containsText" dxfId="34" stopIfTrue="1" text="大假">
      <formula>NOT(ISERROR(SEARCH("大假",U11)))</formula>
    </cfRule>
    <cfRule type="containsText" priority="1849" operator="containsText" dxfId="37" stopIfTrue="1" text="無薪">
      <formula>NOT(ISERROR(SEARCH("無薪",U11)))</formula>
    </cfRule>
    <cfRule type="containsText" priority="1850" operator="containsText" dxfId="39" stopIfTrue="1" text="疫苗">
      <formula>NOT(ISERROR(SEARCH("疫苗",U11)))</formula>
    </cfRule>
    <cfRule type="containsText" priority="1851" operator="containsText" dxfId="0" stopIfTrue="1" text="勞假">
      <formula>NOT(ISERROR(SEARCH("勞假",U11)))</formula>
    </cfRule>
    <cfRule type="containsText" priority="1852" operator="containsText" dxfId="36" stopIfTrue="1" text="補假">
      <formula>NOT(ISERROR(SEARCH("補假",U11)))</formula>
    </cfRule>
    <cfRule type="containsText" priority="1853" operator="containsText" dxfId="35" stopIfTrue="1" text="例假">
      <formula>NOT(ISERROR(SEARCH("例假",U11)))</formula>
    </cfRule>
    <cfRule type="containsText" priority="1854" operator="containsText" dxfId="4" stopIfTrue="1" text="病假">
      <formula>NOT(ISERROR(SEARCH("病假",U11)))</formula>
    </cfRule>
    <cfRule type="containsText" priority="1855" operator="containsText" dxfId="34" stopIfTrue="1" text="大假">
      <formula>NOT(ISERROR(SEARCH("大假",U11)))</formula>
    </cfRule>
    <cfRule type="containsText" priority="1856" operator="containsText" dxfId="37" stopIfTrue="1" text="無薪">
      <formula>NOT(ISERROR(SEARCH("無薪",U11)))</formula>
    </cfRule>
    <cfRule type="containsText" priority="1857" operator="containsText" dxfId="38" stopIfTrue="1" text="TIL">
      <formula>NOT(ISERROR(SEARCH("TIL",U11)))</formula>
    </cfRule>
    <cfRule type="containsText" priority="1858" operator="containsText" dxfId="39" stopIfTrue="1" text="疫苗">
      <formula>NOT(ISERROR(SEARCH("疫苗",U11)))</formula>
    </cfRule>
    <cfRule type="containsText" priority="1859" operator="containsText" dxfId="0" stopIfTrue="1" text="勞假">
      <formula>NOT(ISERROR(SEARCH("勞假",U11)))</formula>
    </cfRule>
    <cfRule type="containsText" priority="1860" operator="containsText" dxfId="36" stopIfTrue="1" text="補假">
      <formula>NOT(ISERROR(SEARCH("補假",U11)))</formula>
    </cfRule>
    <cfRule type="containsText" priority="1861" operator="containsText" dxfId="35" stopIfTrue="1" text="例假">
      <formula>NOT(ISERROR(SEARCH("例假",U11)))</formula>
    </cfRule>
    <cfRule type="containsText" priority="1862" operator="containsText" dxfId="4" stopIfTrue="1" text="病假">
      <formula>NOT(ISERROR(SEARCH("病假",U11)))</formula>
    </cfRule>
    <cfRule type="containsText" priority="1863" operator="containsText" dxfId="34" stopIfTrue="1" text="大假">
      <formula>NOT(ISERROR(SEARCH("大假",U11)))</formula>
    </cfRule>
    <cfRule type="containsText" priority="1864" operator="containsText" dxfId="37" stopIfTrue="1" text="無薪">
      <formula>NOT(ISERROR(SEARCH("無薪",U11)))</formula>
    </cfRule>
    <cfRule type="containsText" priority="1865" operator="containsText" dxfId="38" stopIfTrue="1" text="TIL">
      <formula>NOT(ISERROR(SEARCH("TIL",U11)))</formula>
    </cfRule>
    <cfRule type="containsText" priority="1866" operator="containsText" dxfId="39" stopIfTrue="1" text="疫苗">
      <formula>NOT(ISERROR(SEARCH("疫苗",U11)))</formula>
    </cfRule>
    <cfRule type="containsText" priority="1867" operator="containsText" dxfId="0" stopIfTrue="1" text="勞假">
      <formula>NOT(ISERROR(SEARCH("勞假",U11)))</formula>
    </cfRule>
    <cfRule type="containsText" priority="1868" operator="containsText" dxfId="36" stopIfTrue="1" text="補假">
      <formula>NOT(ISERROR(SEARCH("補假",U11)))</formula>
    </cfRule>
    <cfRule type="containsText" priority="1869" operator="containsText" dxfId="35" stopIfTrue="1" text="例假">
      <formula>NOT(ISERROR(SEARCH("例假",U11)))</formula>
    </cfRule>
    <cfRule type="containsText" priority="1870" operator="containsText" dxfId="4" stopIfTrue="1" text="病假">
      <formula>NOT(ISERROR(SEARCH("病假",U11)))</formula>
    </cfRule>
    <cfRule type="containsText" priority="1871" operator="containsText" dxfId="34" stopIfTrue="1" text="大假">
      <formula>NOT(ISERROR(SEARCH("大假",U11)))</formula>
    </cfRule>
    <cfRule type="containsText" priority="1872" operator="containsText" dxfId="37" stopIfTrue="1" text="無薪">
      <formula>NOT(ISERROR(SEARCH("無薪",U11)))</formula>
    </cfRule>
    <cfRule type="cellIs" priority="1873" operator="equal" dxfId="24">
      <formula>"NC"</formula>
    </cfRule>
    <cfRule type="cellIs" priority="1874" operator="equal" dxfId="24">
      <formula>"nd"</formula>
    </cfRule>
    <cfRule type="cellIs" priority="1875" operator="equal" dxfId="24">
      <formula>0</formula>
    </cfRule>
    <cfRule type="cellIs" priority="1876" operator="equal" dxfId="23">
      <formula>"R"</formula>
    </cfRule>
    <cfRule type="cellIs" priority="1877" operator="equal" dxfId="48">
      <formula>"NH12"</formula>
    </cfRule>
    <cfRule type="cellIs" priority="1878" operator="equal" dxfId="48">
      <formula>"Nh11"</formula>
    </cfRule>
    <cfRule type="containsText" priority="1879" operator="containsText" dxfId="38" stopIfTrue="1" text="TIL">
      <formula>NOT(ISERROR(SEARCH("TIL",U11)))</formula>
    </cfRule>
    <cfRule type="containsText" priority="1880" operator="containsText" dxfId="39" stopIfTrue="1" text="疫苗">
      <formula>NOT(ISERROR(SEARCH("疫苗",U11)))</formula>
    </cfRule>
    <cfRule type="containsText" priority="1881" operator="containsText" dxfId="0" stopIfTrue="1" text="勞假">
      <formula>NOT(ISERROR(SEARCH("勞假",U11)))</formula>
    </cfRule>
    <cfRule type="containsText" priority="1882" operator="containsText" dxfId="36" stopIfTrue="1" text="補假">
      <formula>NOT(ISERROR(SEARCH("補假",U11)))</formula>
    </cfRule>
    <cfRule type="containsText" priority="1883" operator="containsText" dxfId="35" stopIfTrue="1" text="例假">
      <formula>NOT(ISERROR(SEARCH("例假",U11)))</formula>
    </cfRule>
    <cfRule type="containsText" priority="1884" operator="containsText" dxfId="4" stopIfTrue="1" text="病假">
      <formula>NOT(ISERROR(SEARCH("病假",U11)))</formula>
    </cfRule>
    <cfRule type="containsText" priority="1885" operator="containsText" dxfId="34" stopIfTrue="1" text="大假">
      <formula>NOT(ISERROR(SEARCH("大假",U11)))</formula>
    </cfRule>
    <cfRule type="containsText" priority="1886" operator="containsText" dxfId="37" stopIfTrue="1" text="無薪">
      <formula>NOT(ISERROR(SEARCH("無薪",U11)))</formula>
    </cfRule>
    <cfRule type="containsText" priority="1887" operator="containsText" dxfId="38" stopIfTrue="1" text="TIL">
      <formula>NOT(ISERROR(SEARCH("TIL",U11)))</formula>
    </cfRule>
    <cfRule type="containsText" priority="1888" operator="containsText" dxfId="39" stopIfTrue="1" text="疫苗">
      <formula>NOT(ISERROR(SEARCH("疫苗",U11)))</formula>
    </cfRule>
    <cfRule type="containsText" priority="1889" operator="containsText" dxfId="0" stopIfTrue="1" text="勞假">
      <formula>NOT(ISERROR(SEARCH("勞假",U11)))</formula>
    </cfRule>
    <cfRule type="containsText" priority="1890" operator="containsText" dxfId="36" stopIfTrue="1" text="補假">
      <formula>NOT(ISERROR(SEARCH("補假",U11)))</formula>
    </cfRule>
    <cfRule type="containsText" priority="1891" operator="containsText" dxfId="35" stopIfTrue="1" text="例假">
      <formula>NOT(ISERROR(SEARCH("例假",U11)))</formula>
    </cfRule>
    <cfRule type="containsText" priority="1892" operator="containsText" dxfId="4" stopIfTrue="1" text="病假">
      <formula>NOT(ISERROR(SEARCH("病假",U11)))</formula>
    </cfRule>
    <cfRule type="containsText" priority="1893" operator="containsText" dxfId="34" stopIfTrue="1" text="大假">
      <formula>NOT(ISERROR(SEARCH("大假",U11)))</formula>
    </cfRule>
    <cfRule type="containsText" priority="1894" operator="containsText" dxfId="37" stopIfTrue="1" text="無薪">
      <formula>NOT(ISERROR(SEARCH("無薪",U11)))</formula>
    </cfRule>
    <cfRule type="containsText" priority="1895" operator="containsText" dxfId="39" stopIfTrue="1" text="疫苗">
      <formula>NOT(ISERROR(SEARCH("疫苗",U11)))</formula>
    </cfRule>
    <cfRule type="containsText" priority="1896" operator="containsText" dxfId="0" stopIfTrue="1" text="勞假">
      <formula>NOT(ISERROR(SEARCH("勞假",U11)))</formula>
    </cfRule>
    <cfRule type="containsText" priority="1897" operator="containsText" dxfId="36" stopIfTrue="1" text="補假">
      <formula>NOT(ISERROR(SEARCH("補假",U11)))</formula>
    </cfRule>
    <cfRule type="containsText" priority="1898" operator="containsText" dxfId="35" stopIfTrue="1" text="例假">
      <formula>NOT(ISERROR(SEARCH("例假",U11)))</formula>
    </cfRule>
    <cfRule type="containsText" priority="1899" operator="containsText" dxfId="4" stopIfTrue="1" text="病假">
      <formula>NOT(ISERROR(SEARCH("病假",U11)))</formula>
    </cfRule>
    <cfRule type="containsText" priority="1900" operator="containsText" dxfId="34" stopIfTrue="1" text="大假">
      <formula>NOT(ISERROR(SEARCH("大假",U11)))</formula>
    </cfRule>
  </conditionalFormatting>
  <conditionalFormatting sqref="U11:AE11">
    <cfRule type="containsText" priority="2794" operator="containsText" dxfId="4" text="RD">
      <formula>NOT(ISERROR(SEARCH("RD",U11)))</formula>
    </cfRule>
    <cfRule type="containsText" priority="2795" operator="containsText" dxfId="405" text="NP">
      <formula>NOT(ISERROR(SEARCH("NP",U11)))</formula>
    </cfRule>
  </conditionalFormatting>
  <conditionalFormatting sqref="X11">
    <cfRule type="cellIs" priority="1725" operator="equal" dxfId="61">
      <formula>"VO"</formula>
    </cfRule>
    <cfRule type="cellIs" priority="1726" operator="equal" dxfId="61">
      <formula>"CW"</formula>
    </cfRule>
    <cfRule type="cellIs" priority="1727" operator="equal" dxfId="61">
      <formula>"CF"</formula>
    </cfRule>
    <cfRule type="containsText" priority="1728" operator="containsText" dxfId="37" stopIfTrue="1" text="無薪">
      <formula>NOT(ISERROR(SEARCH("無薪",X11)))</formula>
    </cfRule>
    <cfRule type="containsText" priority="1729" operator="containsText" dxfId="38" stopIfTrue="1" text="TIL">
      <formula>NOT(ISERROR(SEARCH("TIL",X11)))</formula>
    </cfRule>
    <cfRule type="containsText" priority="1730" operator="containsText" dxfId="39" stopIfTrue="1" text="疫苗">
      <formula>NOT(ISERROR(SEARCH("疫苗",X11)))</formula>
    </cfRule>
    <cfRule type="containsText" priority="1731" operator="containsText" dxfId="0" stopIfTrue="1" text="勞假">
      <formula>NOT(ISERROR(SEARCH("勞假",X11)))</formula>
    </cfRule>
    <cfRule type="containsText" priority="1732" operator="containsText" dxfId="36" stopIfTrue="1" text="補假">
      <formula>NOT(ISERROR(SEARCH("補假",X11)))</formula>
    </cfRule>
    <cfRule type="containsText" priority="1733" operator="containsText" dxfId="35" stopIfTrue="1" text="例假">
      <formula>NOT(ISERROR(SEARCH("例假",X11)))</formula>
    </cfRule>
    <cfRule type="containsText" priority="1734" operator="containsText" dxfId="4" stopIfTrue="1" text="病假">
      <formula>NOT(ISERROR(SEARCH("病假",X11)))</formula>
    </cfRule>
    <cfRule type="containsText" priority="1735" operator="containsText" dxfId="34" stopIfTrue="1" text="大假">
      <formula>NOT(ISERROR(SEARCH("大假",X11)))</formula>
    </cfRule>
    <cfRule type="containsText" priority="1736" operator="containsText" dxfId="37" stopIfTrue="1" text="無薪">
      <formula>NOT(ISERROR(SEARCH("無薪",X11)))</formula>
    </cfRule>
    <cfRule type="containsText" priority="1737" operator="containsText" dxfId="38" stopIfTrue="1" text="TIL">
      <formula>NOT(ISERROR(SEARCH("TIL",X11)))</formula>
    </cfRule>
    <cfRule type="containsText" priority="1738" operator="containsText" dxfId="39" stopIfTrue="1" text="疫苗">
      <formula>NOT(ISERROR(SEARCH("疫苗",X11)))</formula>
    </cfRule>
    <cfRule type="containsText" priority="1739" operator="containsText" dxfId="0" stopIfTrue="1" text="勞假">
      <formula>NOT(ISERROR(SEARCH("勞假",X11)))</formula>
    </cfRule>
    <cfRule type="containsText" priority="1740" operator="containsText" dxfId="36" stopIfTrue="1" text="補假">
      <formula>NOT(ISERROR(SEARCH("補假",X11)))</formula>
    </cfRule>
    <cfRule type="containsText" priority="1741" operator="containsText" dxfId="35" stopIfTrue="1" text="例假">
      <formula>NOT(ISERROR(SEARCH("例假",X11)))</formula>
    </cfRule>
    <cfRule type="containsText" priority="1742" operator="containsText" dxfId="4" stopIfTrue="1" text="病假">
      <formula>NOT(ISERROR(SEARCH("病假",X11)))</formula>
    </cfRule>
    <cfRule type="containsText" priority="1743" operator="containsText" dxfId="34" stopIfTrue="1" text="大假">
      <formula>NOT(ISERROR(SEARCH("大假",X11)))</formula>
    </cfRule>
    <cfRule type="containsText" priority="1744" operator="containsText" dxfId="38" stopIfTrue="1" text="TIL">
      <formula>NOT(ISERROR(SEARCH("TIL",X11)))</formula>
    </cfRule>
    <cfRule type="cellIs" priority="1745" operator="equal" dxfId="4" stopIfTrue="1">
      <formula>"NP"</formula>
    </cfRule>
    <cfRule type="cellIs" priority="1746" operator="equal" dxfId="25" stopIfTrue="1">
      <formula>"RD"</formula>
    </cfRule>
    <cfRule type="containsText" priority="1747" operator="containsText" dxfId="38" stopIfTrue="1" text="TIL">
      <formula>NOT(ISERROR(SEARCH("TIL",X11)))</formula>
    </cfRule>
    <cfRule type="containsText" priority="1748" operator="containsText" dxfId="39" stopIfTrue="1" text="疫苗">
      <formula>NOT(ISERROR(SEARCH("疫苗",X11)))</formula>
    </cfRule>
    <cfRule type="containsText" priority="1749" operator="containsText" dxfId="0" stopIfTrue="1" text="勞假">
      <formula>NOT(ISERROR(SEARCH("勞假",X11)))</formula>
    </cfRule>
    <cfRule type="containsText" priority="1750" operator="containsText" dxfId="36" stopIfTrue="1" text="補假">
      <formula>NOT(ISERROR(SEARCH("補假",X11)))</formula>
    </cfRule>
    <cfRule type="containsText" priority="1751" operator="containsText" dxfId="35" stopIfTrue="1" text="例假">
      <formula>NOT(ISERROR(SEARCH("例假",X11)))</formula>
    </cfRule>
    <cfRule type="containsText" priority="1752" operator="containsText" dxfId="4" stopIfTrue="1" text="病假">
      <formula>NOT(ISERROR(SEARCH("病假",X11)))</formula>
    </cfRule>
    <cfRule type="containsText" priority="1753" operator="containsText" dxfId="34" stopIfTrue="1" text="大假">
      <formula>NOT(ISERROR(SEARCH("大假",X11)))</formula>
    </cfRule>
    <cfRule type="containsText" priority="1754" operator="containsText" dxfId="38" stopIfTrue="1" text="TIL">
      <formula>NOT(ISERROR(SEARCH("TIL",X11)))</formula>
    </cfRule>
    <cfRule type="containsText" priority="1755" operator="containsText" dxfId="39" stopIfTrue="1" text="疫苗">
      <formula>NOT(ISERROR(SEARCH("疫苗",X11)))</formula>
    </cfRule>
    <cfRule type="containsText" priority="1756" operator="containsText" dxfId="0" stopIfTrue="1" text="勞假">
      <formula>NOT(ISERROR(SEARCH("勞假",X11)))</formula>
    </cfRule>
    <cfRule type="containsText" priority="1757" operator="containsText" dxfId="36" stopIfTrue="1" text="補假">
      <formula>NOT(ISERROR(SEARCH("補假",X11)))</formula>
    </cfRule>
    <cfRule type="containsText" priority="1758" operator="containsText" dxfId="35" stopIfTrue="1" text="例假">
      <formula>NOT(ISERROR(SEARCH("例假",X11)))</formula>
    </cfRule>
    <cfRule type="containsText" priority="1759" operator="containsText" dxfId="4" stopIfTrue="1" text="病假">
      <formula>NOT(ISERROR(SEARCH("病假",X11)))</formula>
    </cfRule>
    <cfRule type="containsText" priority="1760" operator="containsText" dxfId="34" stopIfTrue="1" text="大假">
      <formula>NOT(ISERROR(SEARCH("大假",X11)))</formula>
    </cfRule>
    <cfRule type="containsText" priority="1761" operator="containsText" dxfId="37" stopIfTrue="1" text="無薪">
      <formula>NOT(ISERROR(SEARCH("無薪",X11)))</formula>
    </cfRule>
    <cfRule type="containsText" priority="1762" operator="containsText" dxfId="39" stopIfTrue="1" text="疫苗">
      <formula>NOT(ISERROR(SEARCH("疫苗",X11)))</formula>
    </cfRule>
    <cfRule type="containsText" priority="1763" operator="containsText" dxfId="0" stopIfTrue="1" text="勞假">
      <formula>NOT(ISERROR(SEARCH("勞假",X11)))</formula>
    </cfRule>
    <cfRule type="containsText" priority="1764" operator="containsText" dxfId="36" stopIfTrue="1" text="補假">
      <formula>NOT(ISERROR(SEARCH("補假",X11)))</formula>
    </cfRule>
    <cfRule type="containsText" priority="1765" operator="containsText" dxfId="35" stopIfTrue="1" text="例假">
      <formula>NOT(ISERROR(SEARCH("例假",X11)))</formula>
    </cfRule>
    <cfRule type="containsText" priority="1766" operator="containsText" dxfId="4" stopIfTrue="1" text="病假">
      <formula>NOT(ISERROR(SEARCH("病假",X11)))</formula>
    </cfRule>
    <cfRule type="containsText" priority="1767" operator="containsText" dxfId="34" stopIfTrue="1" text="大假">
      <formula>NOT(ISERROR(SEARCH("大假",X11)))</formula>
    </cfRule>
    <cfRule type="containsText" priority="1768" operator="containsText" dxfId="37" stopIfTrue="1" text="無薪">
      <formula>NOT(ISERROR(SEARCH("無薪",X11)))</formula>
    </cfRule>
    <cfRule type="containsText" priority="1769" operator="containsText" dxfId="38" stopIfTrue="1" text="TIL">
      <formula>NOT(ISERROR(SEARCH("TIL",X11)))</formula>
    </cfRule>
    <cfRule type="containsText" priority="1770" operator="containsText" dxfId="39" stopIfTrue="1" text="疫苗">
      <formula>NOT(ISERROR(SEARCH("疫苗",X11)))</formula>
    </cfRule>
    <cfRule type="containsText" priority="1771" operator="containsText" dxfId="0" stopIfTrue="1" text="勞假">
      <formula>NOT(ISERROR(SEARCH("勞假",X11)))</formula>
    </cfRule>
    <cfRule type="containsText" priority="1772" operator="containsText" dxfId="36" stopIfTrue="1" text="補假">
      <formula>NOT(ISERROR(SEARCH("補假",X11)))</formula>
    </cfRule>
    <cfRule type="containsText" priority="1773" operator="containsText" dxfId="35" stopIfTrue="1" text="例假">
      <formula>NOT(ISERROR(SEARCH("例假",X11)))</formula>
    </cfRule>
    <cfRule type="containsText" priority="1774" operator="containsText" dxfId="4" stopIfTrue="1" text="病假">
      <formula>NOT(ISERROR(SEARCH("病假",X11)))</formula>
    </cfRule>
    <cfRule type="containsText" priority="1775" operator="containsText" dxfId="34" stopIfTrue="1" text="大假">
      <formula>NOT(ISERROR(SEARCH("大假",X11)))</formula>
    </cfRule>
    <cfRule type="containsText" priority="1776" operator="containsText" dxfId="37" stopIfTrue="1" text="無薪">
      <formula>NOT(ISERROR(SEARCH("無薪",X11)))</formula>
    </cfRule>
    <cfRule type="containsText" priority="1777" operator="containsText" dxfId="38" stopIfTrue="1" text="TIL">
      <formula>NOT(ISERROR(SEARCH("TIL",X11)))</formula>
    </cfRule>
    <cfRule type="containsText" priority="1778" operator="containsText" dxfId="39" stopIfTrue="1" text="疫苗">
      <formula>NOT(ISERROR(SEARCH("疫苗",X11)))</formula>
    </cfRule>
    <cfRule type="containsText" priority="1779" operator="containsText" dxfId="0" stopIfTrue="1" text="勞假">
      <formula>NOT(ISERROR(SEARCH("勞假",X11)))</formula>
    </cfRule>
    <cfRule type="containsText" priority="1780" operator="containsText" dxfId="36" stopIfTrue="1" text="補假">
      <formula>NOT(ISERROR(SEARCH("補假",X11)))</formula>
    </cfRule>
    <cfRule type="containsText" priority="1781" operator="containsText" dxfId="35" stopIfTrue="1" text="例假">
      <formula>NOT(ISERROR(SEARCH("例假",X11)))</formula>
    </cfRule>
    <cfRule type="containsText" priority="1782" operator="containsText" dxfId="4" stopIfTrue="1" text="病假">
      <formula>NOT(ISERROR(SEARCH("病假",X11)))</formula>
    </cfRule>
    <cfRule type="containsText" priority="1783" operator="containsText" dxfId="34" stopIfTrue="1" text="大假">
      <formula>NOT(ISERROR(SEARCH("大假",X11)))</formula>
    </cfRule>
    <cfRule type="containsText" priority="1784" operator="containsText" dxfId="37" stopIfTrue="1" text="無薪">
      <formula>NOT(ISERROR(SEARCH("無薪",X11)))</formula>
    </cfRule>
    <cfRule type="cellIs" priority="1785" operator="equal" dxfId="24">
      <formula>"NC"</formula>
    </cfRule>
    <cfRule type="cellIs" priority="1786" operator="equal" dxfId="24">
      <formula>"nd"</formula>
    </cfRule>
    <cfRule type="cellIs" priority="1787" operator="equal" dxfId="24">
      <formula>0</formula>
    </cfRule>
    <cfRule type="cellIs" priority="1788" operator="equal" dxfId="23">
      <formula>"R"</formula>
    </cfRule>
    <cfRule type="cellIs" priority="1789" operator="equal" dxfId="48">
      <formula>"NH12"</formula>
    </cfRule>
    <cfRule type="cellIs" priority="1790" operator="equal" dxfId="48">
      <formula>"Nh11"</formula>
    </cfRule>
    <cfRule type="containsText" priority="1791" operator="containsText" dxfId="38" stopIfTrue="1" text="TIL">
      <formula>NOT(ISERROR(SEARCH("TIL",X11)))</formula>
    </cfRule>
    <cfRule type="containsText" priority="1792" operator="containsText" dxfId="39" stopIfTrue="1" text="疫苗">
      <formula>NOT(ISERROR(SEARCH("疫苗",X11)))</formula>
    </cfRule>
    <cfRule type="containsText" priority="1793" operator="containsText" dxfId="0" stopIfTrue="1" text="勞假">
      <formula>NOT(ISERROR(SEARCH("勞假",X11)))</formula>
    </cfRule>
    <cfRule type="containsText" priority="1794" operator="containsText" dxfId="36" stopIfTrue="1" text="補假">
      <formula>NOT(ISERROR(SEARCH("補假",X11)))</formula>
    </cfRule>
    <cfRule type="containsText" priority="1795" operator="containsText" dxfId="35" stopIfTrue="1" text="例假">
      <formula>NOT(ISERROR(SEARCH("例假",X11)))</formula>
    </cfRule>
    <cfRule type="containsText" priority="1796" operator="containsText" dxfId="4" stopIfTrue="1" text="病假">
      <formula>NOT(ISERROR(SEARCH("病假",X11)))</formula>
    </cfRule>
    <cfRule type="containsText" priority="1797" operator="containsText" dxfId="34" stopIfTrue="1" text="大假">
      <formula>NOT(ISERROR(SEARCH("大假",X11)))</formula>
    </cfRule>
    <cfRule type="containsText" priority="1798" operator="containsText" dxfId="37" stopIfTrue="1" text="無薪">
      <formula>NOT(ISERROR(SEARCH("無薪",X11)))</formula>
    </cfRule>
    <cfRule type="containsText" priority="1799" operator="containsText" dxfId="38" stopIfTrue="1" text="TIL">
      <formula>NOT(ISERROR(SEARCH("TIL",X11)))</formula>
    </cfRule>
    <cfRule type="containsText" priority="1800" operator="containsText" dxfId="39" stopIfTrue="1" text="疫苗">
      <formula>NOT(ISERROR(SEARCH("疫苗",X11)))</formula>
    </cfRule>
    <cfRule type="containsText" priority="1801" operator="containsText" dxfId="0" stopIfTrue="1" text="勞假">
      <formula>NOT(ISERROR(SEARCH("勞假",X11)))</formula>
    </cfRule>
    <cfRule type="containsText" priority="1802" operator="containsText" dxfId="36" stopIfTrue="1" text="補假">
      <formula>NOT(ISERROR(SEARCH("補假",X11)))</formula>
    </cfRule>
    <cfRule type="containsText" priority="1803" operator="containsText" dxfId="35" stopIfTrue="1" text="例假">
      <formula>NOT(ISERROR(SEARCH("例假",X11)))</formula>
    </cfRule>
    <cfRule type="containsText" priority="1804" operator="containsText" dxfId="4" stopIfTrue="1" text="病假">
      <formula>NOT(ISERROR(SEARCH("病假",X11)))</formula>
    </cfRule>
    <cfRule type="containsText" priority="1805" operator="containsText" dxfId="34" stopIfTrue="1" text="大假">
      <formula>NOT(ISERROR(SEARCH("大假",X11)))</formula>
    </cfRule>
    <cfRule type="containsText" priority="1806" operator="containsText" dxfId="37" stopIfTrue="1" text="無薪">
      <formula>NOT(ISERROR(SEARCH("無薪",X11)))</formula>
    </cfRule>
    <cfRule type="containsText" priority="1807" operator="containsText" dxfId="39" stopIfTrue="1" text="疫苗">
      <formula>NOT(ISERROR(SEARCH("疫苗",X11)))</formula>
    </cfRule>
    <cfRule type="containsText" priority="1808" operator="containsText" dxfId="0" stopIfTrue="1" text="勞假">
      <formula>NOT(ISERROR(SEARCH("勞假",X11)))</formula>
    </cfRule>
    <cfRule type="containsText" priority="1809" operator="containsText" dxfId="36" stopIfTrue="1" text="補假">
      <formula>NOT(ISERROR(SEARCH("補假",X11)))</formula>
    </cfRule>
    <cfRule type="containsText" priority="1810" operator="containsText" dxfId="35" stopIfTrue="1" text="例假">
      <formula>NOT(ISERROR(SEARCH("例假",X11)))</formula>
    </cfRule>
    <cfRule type="containsText" priority="1811" operator="containsText" dxfId="4" stopIfTrue="1" text="病假">
      <formula>NOT(ISERROR(SEARCH("病假",X11)))</formula>
    </cfRule>
    <cfRule type="containsText" priority="1812" operator="containsText" dxfId="34" stopIfTrue="1" text="大假">
      <formula>NOT(ISERROR(SEARCH("大假",X11)))</formula>
    </cfRule>
  </conditionalFormatting>
  <conditionalFormatting sqref="X43:Z43">
    <cfRule type="containsText" priority="2103" operator="containsText" dxfId="4" text="RD">
      <formula>NOT(ISERROR(SEARCH("RD",X43)))</formula>
    </cfRule>
    <cfRule type="containsText" priority="2104" operator="containsText" dxfId="405" text="NP">
      <formula>NOT(ISERROR(SEARCH("NP",X43)))</formula>
    </cfRule>
  </conditionalFormatting>
  <conditionalFormatting sqref="X18:AE18">
    <cfRule type="containsText" priority="2105" operator="containsText" dxfId="38" stopIfTrue="1" text="TIL">
      <formula>NOT(ISERROR(SEARCH("TIL",X18)))</formula>
    </cfRule>
    <cfRule type="containsText" priority="2106" operator="containsText" dxfId="39" stopIfTrue="1" text="疫苗">
      <formula>NOT(ISERROR(SEARCH("疫苗",X18)))</formula>
    </cfRule>
    <cfRule type="containsText" priority="2107" operator="containsText" dxfId="0" stopIfTrue="1" text="勞假">
      <formula>NOT(ISERROR(SEARCH("勞假",X18)))</formula>
    </cfRule>
    <cfRule type="containsText" priority="2108" operator="containsText" dxfId="36" stopIfTrue="1" text="補假">
      <formula>NOT(ISERROR(SEARCH("補假",X18)))</formula>
    </cfRule>
    <cfRule type="containsText" priority="2109" operator="containsText" dxfId="35" stopIfTrue="1" text="例假">
      <formula>NOT(ISERROR(SEARCH("例假",X18)))</formula>
    </cfRule>
    <cfRule type="containsText" priority="2110" operator="containsText" dxfId="4" stopIfTrue="1" text="病假">
      <formula>NOT(ISERROR(SEARCH("病假",X18)))</formula>
    </cfRule>
    <cfRule type="containsText" priority="2111" operator="containsText" dxfId="34" stopIfTrue="1" text="大假">
      <formula>NOT(ISERROR(SEARCH("大假",X18)))</formula>
    </cfRule>
    <cfRule type="containsText" priority="2112" operator="containsText" dxfId="37" stopIfTrue="1" text="無薪">
      <formula>NOT(ISERROR(SEARCH("無薪",X18)))</formula>
    </cfRule>
    <cfRule type="containsText" priority="2113" operator="containsText" dxfId="38" stopIfTrue="1" text="TIL">
      <formula>NOT(ISERROR(SEARCH("TIL",X18)))</formula>
    </cfRule>
    <cfRule type="containsText" priority="2114" operator="containsText" dxfId="39" stopIfTrue="1" text="疫苗">
      <formula>NOT(ISERROR(SEARCH("疫苗",X18)))</formula>
    </cfRule>
    <cfRule type="containsText" priority="2115" operator="containsText" dxfId="0" stopIfTrue="1" text="勞假">
      <formula>NOT(ISERROR(SEARCH("勞假",X18)))</formula>
    </cfRule>
    <cfRule type="containsText" priority="2116" operator="containsText" dxfId="36" stopIfTrue="1" text="補假">
      <formula>NOT(ISERROR(SEARCH("補假",X18)))</formula>
    </cfRule>
    <cfRule type="containsText" priority="2117" operator="containsText" dxfId="35" stopIfTrue="1" text="例假">
      <formula>NOT(ISERROR(SEARCH("例假",X18)))</formula>
    </cfRule>
    <cfRule type="containsText" priority="2118" operator="containsText" dxfId="4" stopIfTrue="1" text="病假">
      <formula>NOT(ISERROR(SEARCH("病假",X18)))</formula>
    </cfRule>
    <cfRule type="containsText" priority="2119" operator="containsText" dxfId="34" stopIfTrue="1" text="大假">
      <formula>NOT(ISERROR(SEARCH("大假",X18)))</formula>
    </cfRule>
    <cfRule type="containsText" priority="2120" operator="containsText" dxfId="38" stopIfTrue="1" text="TIL">
      <formula>NOT(ISERROR(SEARCH("TIL",X18)))</formula>
    </cfRule>
    <cfRule type="cellIs" priority="2121" operator="equal" dxfId="4" stopIfTrue="1">
      <formula>"NP"</formula>
    </cfRule>
    <cfRule type="cellIs" priority="2122" operator="equal" dxfId="25" stopIfTrue="1">
      <formula>"RD"</formula>
    </cfRule>
    <cfRule type="containsText" priority="2123" operator="containsText" dxfId="38" stopIfTrue="1" text="TIL">
      <formula>NOT(ISERROR(SEARCH("TIL",X18)))</formula>
    </cfRule>
    <cfRule type="containsText" priority="2124" operator="containsText" dxfId="39" stopIfTrue="1" text="疫苗">
      <formula>NOT(ISERROR(SEARCH("疫苗",X18)))</formula>
    </cfRule>
    <cfRule type="containsText" priority="2125" operator="containsText" dxfId="0" stopIfTrue="1" text="勞假">
      <formula>NOT(ISERROR(SEARCH("勞假",X18)))</formula>
    </cfRule>
    <cfRule type="containsText" priority="2126" operator="containsText" dxfId="36" stopIfTrue="1" text="補假">
      <formula>NOT(ISERROR(SEARCH("補假",X18)))</formula>
    </cfRule>
    <cfRule type="containsText" priority="2127" operator="containsText" dxfId="35" stopIfTrue="1" text="例假">
      <formula>NOT(ISERROR(SEARCH("例假",X18)))</formula>
    </cfRule>
    <cfRule type="containsText" priority="2128" operator="containsText" dxfId="4" stopIfTrue="1" text="病假">
      <formula>NOT(ISERROR(SEARCH("病假",X18)))</formula>
    </cfRule>
    <cfRule type="containsText" priority="2129" operator="containsText" dxfId="34" stopIfTrue="1" text="大假">
      <formula>NOT(ISERROR(SEARCH("大假",X18)))</formula>
    </cfRule>
    <cfRule type="containsText" priority="2130" operator="containsText" dxfId="38" stopIfTrue="1" text="TIL">
      <formula>NOT(ISERROR(SEARCH("TIL",X18)))</formula>
    </cfRule>
    <cfRule type="containsText" priority="2131" operator="containsText" dxfId="39" stopIfTrue="1" text="疫苗">
      <formula>NOT(ISERROR(SEARCH("疫苗",X18)))</formula>
    </cfRule>
    <cfRule type="containsText" priority="2132" operator="containsText" dxfId="0" stopIfTrue="1" text="勞假">
      <formula>NOT(ISERROR(SEARCH("勞假",X18)))</formula>
    </cfRule>
    <cfRule type="containsText" priority="2133" operator="containsText" dxfId="36" stopIfTrue="1" text="補假">
      <formula>NOT(ISERROR(SEARCH("補假",X18)))</formula>
    </cfRule>
    <cfRule type="containsText" priority="2134" operator="containsText" dxfId="35" stopIfTrue="1" text="例假">
      <formula>NOT(ISERROR(SEARCH("例假",X18)))</formula>
    </cfRule>
    <cfRule type="containsText" priority="2135" operator="containsText" dxfId="4" stopIfTrue="1" text="病假">
      <formula>NOT(ISERROR(SEARCH("病假",X18)))</formula>
    </cfRule>
    <cfRule type="containsText" priority="2136" operator="containsText" dxfId="34" stopIfTrue="1" text="大假">
      <formula>NOT(ISERROR(SEARCH("大假",X18)))</formula>
    </cfRule>
    <cfRule type="containsText" priority="2137" operator="containsText" dxfId="37" stopIfTrue="1" text="無薪">
      <formula>NOT(ISERROR(SEARCH("無薪",X18)))</formula>
    </cfRule>
    <cfRule type="containsText" priority="2138" operator="containsText" dxfId="39" stopIfTrue="1" text="疫苗">
      <formula>NOT(ISERROR(SEARCH("疫苗",X18)))</formula>
    </cfRule>
    <cfRule type="containsText" priority="2139" operator="containsText" dxfId="0" stopIfTrue="1" text="勞假">
      <formula>NOT(ISERROR(SEARCH("勞假",X18)))</formula>
    </cfRule>
    <cfRule type="containsText" priority="2140" operator="containsText" dxfId="36" stopIfTrue="1" text="補假">
      <formula>NOT(ISERROR(SEARCH("補假",X18)))</formula>
    </cfRule>
    <cfRule type="containsText" priority="2141" operator="containsText" dxfId="35" stopIfTrue="1" text="例假">
      <formula>NOT(ISERROR(SEARCH("例假",X18)))</formula>
    </cfRule>
    <cfRule type="containsText" priority="2142" operator="containsText" dxfId="4" stopIfTrue="1" text="病假">
      <formula>NOT(ISERROR(SEARCH("病假",X18)))</formula>
    </cfRule>
    <cfRule type="containsText" priority="2143" operator="containsText" dxfId="34" stopIfTrue="1" text="大假">
      <formula>NOT(ISERROR(SEARCH("大假",X18)))</formula>
    </cfRule>
    <cfRule type="containsText" priority="2144" operator="containsText" dxfId="37" stopIfTrue="1" text="無薪">
      <formula>NOT(ISERROR(SEARCH("無薪",X18)))</formula>
    </cfRule>
    <cfRule type="containsText" priority="2145" operator="containsText" dxfId="38" stopIfTrue="1" text="TIL">
      <formula>NOT(ISERROR(SEARCH("TIL",X18)))</formula>
    </cfRule>
    <cfRule type="containsText" priority="2146" operator="containsText" dxfId="39" stopIfTrue="1" text="疫苗">
      <formula>NOT(ISERROR(SEARCH("疫苗",X18)))</formula>
    </cfRule>
    <cfRule type="containsText" priority="2147" operator="containsText" dxfId="0" stopIfTrue="1" text="勞假">
      <formula>NOT(ISERROR(SEARCH("勞假",X18)))</formula>
    </cfRule>
    <cfRule type="containsText" priority="2148" operator="containsText" dxfId="36" stopIfTrue="1" text="補假">
      <formula>NOT(ISERROR(SEARCH("補假",X18)))</formula>
    </cfRule>
    <cfRule type="containsText" priority="2149" operator="containsText" dxfId="35" stopIfTrue="1" text="例假">
      <formula>NOT(ISERROR(SEARCH("例假",X18)))</formula>
    </cfRule>
    <cfRule type="containsText" priority="2150" operator="containsText" dxfId="4" stopIfTrue="1" text="病假">
      <formula>NOT(ISERROR(SEARCH("病假",X18)))</formula>
    </cfRule>
    <cfRule type="containsText" priority="2151" operator="containsText" dxfId="34" stopIfTrue="1" text="大假">
      <formula>NOT(ISERROR(SEARCH("大假",X18)))</formula>
    </cfRule>
    <cfRule type="containsText" priority="2152" operator="containsText" dxfId="37" stopIfTrue="1" text="無薪">
      <formula>NOT(ISERROR(SEARCH("無薪",X18)))</formula>
    </cfRule>
    <cfRule type="containsText" priority="2153" operator="containsText" dxfId="38" stopIfTrue="1" text="TIL">
      <formula>NOT(ISERROR(SEARCH("TIL",X18)))</formula>
    </cfRule>
    <cfRule type="containsText" priority="2154" operator="containsText" dxfId="39" stopIfTrue="1" text="疫苗">
      <formula>NOT(ISERROR(SEARCH("疫苗",X18)))</formula>
    </cfRule>
    <cfRule type="containsText" priority="2155" operator="containsText" dxfId="0" stopIfTrue="1" text="勞假">
      <formula>NOT(ISERROR(SEARCH("勞假",X18)))</formula>
    </cfRule>
    <cfRule type="containsText" priority="2156" operator="containsText" dxfId="36" stopIfTrue="1" text="補假">
      <formula>NOT(ISERROR(SEARCH("補假",X18)))</formula>
    </cfRule>
    <cfRule type="containsText" priority="2157" operator="containsText" dxfId="35" stopIfTrue="1" text="例假">
      <formula>NOT(ISERROR(SEARCH("例假",X18)))</formula>
    </cfRule>
    <cfRule type="containsText" priority="2158" operator="containsText" dxfId="4" stopIfTrue="1" text="病假">
      <formula>NOT(ISERROR(SEARCH("病假",X18)))</formula>
    </cfRule>
    <cfRule type="containsText" priority="2159" operator="containsText" dxfId="34" stopIfTrue="1" text="大假">
      <formula>NOT(ISERROR(SEARCH("大假",X18)))</formula>
    </cfRule>
    <cfRule type="containsText" priority="2160" operator="containsText" dxfId="37" stopIfTrue="1" text="無薪">
      <formula>NOT(ISERROR(SEARCH("無薪",X18)))</formula>
    </cfRule>
    <cfRule type="cellIs" priority="2161" operator="equal" dxfId="24">
      <formula>"NC"</formula>
    </cfRule>
    <cfRule type="cellIs" priority="2162" operator="equal" dxfId="24">
      <formula>"nd"</formula>
    </cfRule>
    <cfRule type="cellIs" priority="2163" operator="equal" dxfId="24">
      <formula>0</formula>
    </cfRule>
    <cfRule type="cellIs" priority="2164" operator="equal" dxfId="23">
      <formula>"R"</formula>
    </cfRule>
    <cfRule type="cellIs" priority="2165" operator="equal" dxfId="48">
      <formula>"NH12"</formula>
    </cfRule>
    <cfRule type="cellIs" priority="2166" operator="equal" dxfId="48">
      <formula>"Nh11"</formula>
    </cfRule>
    <cfRule type="containsText" priority="2167" operator="containsText" dxfId="38" stopIfTrue="1" text="TIL">
      <formula>NOT(ISERROR(SEARCH("TIL",X18)))</formula>
    </cfRule>
    <cfRule type="containsText" priority="2168" operator="containsText" dxfId="39" stopIfTrue="1" text="疫苗">
      <formula>NOT(ISERROR(SEARCH("疫苗",X18)))</formula>
    </cfRule>
    <cfRule type="containsText" priority="2169" operator="containsText" dxfId="0" stopIfTrue="1" text="勞假">
      <formula>NOT(ISERROR(SEARCH("勞假",X18)))</formula>
    </cfRule>
    <cfRule type="containsText" priority="2170" operator="containsText" dxfId="36" stopIfTrue="1" text="補假">
      <formula>NOT(ISERROR(SEARCH("補假",X18)))</formula>
    </cfRule>
    <cfRule type="containsText" priority="2171" operator="containsText" dxfId="35" stopIfTrue="1" text="例假">
      <formula>NOT(ISERROR(SEARCH("例假",X18)))</formula>
    </cfRule>
    <cfRule type="containsText" priority="2172" operator="containsText" dxfId="4" stopIfTrue="1" text="病假">
      <formula>NOT(ISERROR(SEARCH("病假",X18)))</formula>
    </cfRule>
    <cfRule type="containsText" priority="2173" operator="containsText" dxfId="34" stopIfTrue="1" text="大假">
      <formula>NOT(ISERROR(SEARCH("大假",X18)))</formula>
    </cfRule>
    <cfRule type="containsText" priority="2174" operator="containsText" dxfId="37" stopIfTrue="1" text="無薪">
      <formula>NOT(ISERROR(SEARCH("無薪",X18)))</formula>
    </cfRule>
    <cfRule type="containsText" priority="2175" operator="containsText" dxfId="38" stopIfTrue="1" text="TIL">
      <formula>NOT(ISERROR(SEARCH("TIL",X18)))</formula>
    </cfRule>
    <cfRule type="containsText" priority="2176" operator="containsText" dxfId="39" stopIfTrue="1" text="疫苗">
      <formula>NOT(ISERROR(SEARCH("疫苗",X18)))</formula>
    </cfRule>
    <cfRule type="containsText" priority="2177" operator="containsText" dxfId="0" stopIfTrue="1" text="勞假">
      <formula>NOT(ISERROR(SEARCH("勞假",X18)))</formula>
    </cfRule>
    <cfRule type="containsText" priority="2178" operator="containsText" dxfId="36" stopIfTrue="1" text="補假">
      <formula>NOT(ISERROR(SEARCH("補假",X18)))</formula>
    </cfRule>
    <cfRule type="containsText" priority="2179" operator="containsText" dxfId="35" stopIfTrue="1" text="例假">
      <formula>NOT(ISERROR(SEARCH("例假",X18)))</formula>
    </cfRule>
    <cfRule type="containsText" priority="2180" operator="containsText" dxfId="4" stopIfTrue="1" text="病假">
      <formula>NOT(ISERROR(SEARCH("病假",X18)))</formula>
    </cfRule>
    <cfRule type="containsText" priority="2181" operator="containsText" dxfId="34" stopIfTrue="1" text="大假">
      <formula>NOT(ISERROR(SEARCH("大假",X18)))</formula>
    </cfRule>
    <cfRule type="containsText" priority="2182" operator="containsText" dxfId="37" stopIfTrue="1" text="無薪">
      <formula>NOT(ISERROR(SEARCH("無薪",X18)))</formula>
    </cfRule>
    <cfRule type="containsText" priority="2183" operator="containsText" dxfId="39" stopIfTrue="1" text="疫苗">
      <formula>NOT(ISERROR(SEARCH("疫苗",X18)))</formula>
    </cfRule>
    <cfRule type="containsText" priority="2184" operator="containsText" dxfId="0" stopIfTrue="1" text="勞假">
      <formula>NOT(ISERROR(SEARCH("勞假",X18)))</formula>
    </cfRule>
    <cfRule type="containsText" priority="2185" operator="containsText" dxfId="36" stopIfTrue="1" text="補假">
      <formula>NOT(ISERROR(SEARCH("補假",X18)))</formula>
    </cfRule>
    <cfRule type="containsText" priority="2186" operator="containsText" dxfId="35" stopIfTrue="1" text="例假">
      <formula>NOT(ISERROR(SEARCH("例假",X18)))</formula>
    </cfRule>
    <cfRule type="containsText" priority="2187" operator="containsText" dxfId="4" stopIfTrue="1" text="病假">
      <formula>NOT(ISERROR(SEARCH("病假",X18)))</formula>
    </cfRule>
    <cfRule type="containsText" priority="2188" operator="containsText" dxfId="34" stopIfTrue="1" text="大假">
      <formula>NOT(ISERROR(SEARCH("大假",X18)))</formula>
    </cfRule>
    <cfRule type="containsText" priority="2189" operator="containsText" dxfId="37" stopIfTrue="1" text="無薪">
      <formula>NOT(ISERROR(SEARCH("無薪",X18)))</formula>
    </cfRule>
    <cfRule type="containsText" priority="2190" operator="containsText" dxfId="38" stopIfTrue="1" text="TIL">
      <formula>NOT(ISERROR(SEARCH("TIL",X18)))</formula>
    </cfRule>
    <cfRule type="containsText" priority="2191" operator="containsText" dxfId="39" stopIfTrue="1" text="疫苗">
      <formula>NOT(ISERROR(SEARCH("疫苗",X18)))</formula>
    </cfRule>
    <cfRule type="containsText" priority="2192" operator="containsText" dxfId="0" stopIfTrue="1" text="勞假">
      <formula>NOT(ISERROR(SEARCH("勞假",X18)))</formula>
    </cfRule>
    <cfRule type="containsText" priority="2193" operator="containsText" dxfId="36" stopIfTrue="1" text="補假">
      <formula>NOT(ISERROR(SEARCH("補假",X18)))</formula>
    </cfRule>
    <cfRule type="containsText" priority="2194" operator="containsText" dxfId="35" stopIfTrue="1" text="例假">
      <formula>NOT(ISERROR(SEARCH("例假",X18)))</formula>
    </cfRule>
    <cfRule type="containsText" priority="2195" operator="containsText" dxfId="4" stopIfTrue="1" text="病假">
      <formula>NOT(ISERROR(SEARCH("病假",X18)))</formula>
    </cfRule>
    <cfRule type="containsText" priority="2196" operator="containsText" dxfId="34" stopIfTrue="1" text="大假">
      <formula>NOT(ISERROR(SEARCH("大假",X18)))</formula>
    </cfRule>
    <cfRule type="containsText" priority="2197" operator="containsText" dxfId="37" stopIfTrue="1" text="無薪">
      <formula>NOT(ISERROR(SEARCH("無薪",X18)))</formula>
    </cfRule>
    <cfRule type="containsText" priority="2198" operator="containsText" dxfId="38" stopIfTrue="1" text="TIL">
      <formula>NOT(ISERROR(SEARCH("TIL",X18)))</formula>
    </cfRule>
    <cfRule type="containsText" priority="2199" operator="containsText" dxfId="39" stopIfTrue="1" text="疫苗">
      <formula>NOT(ISERROR(SEARCH("疫苗",X18)))</formula>
    </cfRule>
    <cfRule type="containsText" priority="2200" operator="containsText" dxfId="0" stopIfTrue="1" text="勞假">
      <formula>NOT(ISERROR(SEARCH("勞假",X18)))</formula>
    </cfRule>
    <cfRule type="containsText" priority="2201" operator="containsText" dxfId="36" stopIfTrue="1" text="補假">
      <formula>NOT(ISERROR(SEARCH("補假",X18)))</formula>
    </cfRule>
    <cfRule type="containsText" priority="2202" operator="containsText" dxfId="35" stopIfTrue="1" text="例假">
      <formula>NOT(ISERROR(SEARCH("例假",X18)))</formula>
    </cfRule>
    <cfRule type="containsText" priority="2203" operator="containsText" dxfId="4" stopIfTrue="1" text="病假">
      <formula>NOT(ISERROR(SEARCH("病假",X18)))</formula>
    </cfRule>
    <cfRule type="containsText" priority="2204" operator="containsText" dxfId="34" stopIfTrue="1" text="大假">
      <formula>NOT(ISERROR(SEARCH("大假",X18)))</formula>
    </cfRule>
    <cfRule type="containsText" priority="2205" operator="containsText" dxfId="38" stopIfTrue="1" text="TIL">
      <formula>NOT(ISERROR(SEARCH("TIL",X18)))</formula>
    </cfRule>
    <cfRule type="cellIs" priority="2206" operator="equal" dxfId="4" stopIfTrue="1">
      <formula>"NP"</formula>
    </cfRule>
    <cfRule type="cellIs" priority="2207" operator="equal" dxfId="25" stopIfTrue="1">
      <formula>"RD"</formula>
    </cfRule>
    <cfRule type="containsText" priority="2208" operator="containsText" dxfId="38" stopIfTrue="1" text="TIL">
      <formula>NOT(ISERROR(SEARCH("TIL",X18)))</formula>
    </cfRule>
    <cfRule type="containsText" priority="2209" operator="containsText" dxfId="39" stopIfTrue="1" text="疫苗">
      <formula>NOT(ISERROR(SEARCH("疫苗",X18)))</formula>
    </cfRule>
    <cfRule type="containsText" priority="2210" operator="containsText" dxfId="0" stopIfTrue="1" text="勞假">
      <formula>NOT(ISERROR(SEARCH("勞假",X18)))</formula>
    </cfRule>
    <cfRule type="containsText" priority="2211" operator="containsText" dxfId="36" stopIfTrue="1" text="補假">
      <formula>NOT(ISERROR(SEARCH("補假",X18)))</formula>
    </cfRule>
    <cfRule type="containsText" priority="2212" operator="containsText" dxfId="35" stopIfTrue="1" text="例假">
      <formula>NOT(ISERROR(SEARCH("例假",X18)))</formula>
    </cfRule>
    <cfRule type="containsText" priority="2213" operator="containsText" dxfId="4" stopIfTrue="1" text="病假">
      <formula>NOT(ISERROR(SEARCH("病假",X18)))</formula>
    </cfRule>
    <cfRule type="containsText" priority="2214" operator="containsText" dxfId="34" stopIfTrue="1" text="大假">
      <formula>NOT(ISERROR(SEARCH("大假",X18)))</formula>
    </cfRule>
    <cfRule type="containsText" priority="2215" operator="containsText" dxfId="38" stopIfTrue="1" text="TIL">
      <formula>NOT(ISERROR(SEARCH("TIL",X18)))</formula>
    </cfRule>
    <cfRule type="containsText" priority="2216" operator="containsText" dxfId="39" stopIfTrue="1" text="疫苗">
      <formula>NOT(ISERROR(SEARCH("疫苗",X18)))</formula>
    </cfRule>
    <cfRule type="containsText" priority="2217" operator="containsText" dxfId="0" stopIfTrue="1" text="勞假">
      <formula>NOT(ISERROR(SEARCH("勞假",X18)))</formula>
    </cfRule>
    <cfRule type="containsText" priority="2218" operator="containsText" dxfId="36" stopIfTrue="1" text="補假">
      <formula>NOT(ISERROR(SEARCH("補假",X18)))</formula>
    </cfRule>
    <cfRule type="containsText" priority="2219" operator="containsText" dxfId="35" stopIfTrue="1" text="例假">
      <formula>NOT(ISERROR(SEARCH("例假",X18)))</formula>
    </cfRule>
    <cfRule type="containsText" priority="2220" operator="containsText" dxfId="4" stopIfTrue="1" text="病假">
      <formula>NOT(ISERROR(SEARCH("病假",X18)))</formula>
    </cfRule>
    <cfRule type="containsText" priority="2221" operator="containsText" dxfId="34" stopIfTrue="1" text="大假">
      <formula>NOT(ISERROR(SEARCH("大假",X18)))</formula>
    </cfRule>
    <cfRule type="containsText" priority="2222" operator="containsText" dxfId="37" stopIfTrue="1" text="無薪">
      <formula>NOT(ISERROR(SEARCH("無薪",X18)))</formula>
    </cfRule>
    <cfRule type="containsText" priority="2223" operator="containsText" dxfId="39" stopIfTrue="1" text="疫苗">
      <formula>NOT(ISERROR(SEARCH("疫苗",X18)))</formula>
    </cfRule>
    <cfRule type="containsText" priority="2224" operator="containsText" dxfId="0" stopIfTrue="1" text="勞假">
      <formula>NOT(ISERROR(SEARCH("勞假",X18)))</formula>
    </cfRule>
    <cfRule type="containsText" priority="2225" operator="containsText" dxfId="36" stopIfTrue="1" text="補假">
      <formula>NOT(ISERROR(SEARCH("補假",X18)))</formula>
    </cfRule>
    <cfRule type="containsText" priority="2226" operator="containsText" dxfId="35" stopIfTrue="1" text="例假">
      <formula>NOT(ISERROR(SEARCH("例假",X18)))</formula>
    </cfRule>
    <cfRule type="containsText" priority="2227" operator="containsText" dxfId="4" stopIfTrue="1" text="病假">
      <formula>NOT(ISERROR(SEARCH("病假",X18)))</formula>
    </cfRule>
    <cfRule type="containsText" priority="2228" operator="containsText" dxfId="34" stopIfTrue="1" text="大假">
      <formula>NOT(ISERROR(SEARCH("大假",X18)))</formula>
    </cfRule>
    <cfRule type="containsText" priority="2229" operator="containsText" dxfId="37" stopIfTrue="1" text="無薪">
      <formula>NOT(ISERROR(SEARCH("無薪",X18)))</formula>
    </cfRule>
    <cfRule type="containsText" priority="2230" operator="containsText" dxfId="38" stopIfTrue="1" text="TIL">
      <formula>NOT(ISERROR(SEARCH("TIL",X18)))</formula>
    </cfRule>
    <cfRule type="containsText" priority="2231" operator="containsText" dxfId="39" stopIfTrue="1" text="疫苗">
      <formula>NOT(ISERROR(SEARCH("疫苗",X18)))</formula>
    </cfRule>
    <cfRule type="containsText" priority="2232" operator="containsText" dxfId="0" stopIfTrue="1" text="勞假">
      <formula>NOT(ISERROR(SEARCH("勞假",X18)))</formula>
    </cfRule>
    <cfRule type="containsText" priority="2233" operator="containsText" dxfId="36" stopIfTrue="1" text="補假">
      <formula>NOT(ISERROR(SEARCH("補假",X18)))</formula>
    </cfRule>
    <cfRule type="containsText" priority="2234" operator="containsText" dxfId="35" stopIfTrue="1" text="例假">
      <formula>NOT(ISERROR(SEARCH("例假",X18)))</formula>
    </cfRule>
    <cfRule type="containsText" priority="2235" operator="containsText" dxfId="4" stopIfTrue="1" text="病假">
      <formula>NOT(ISERROR(SEARCH("病假",X18)))</formula>
    </cfRule>
    <cfRule type="containsText" priority="2236" operator="containsText" dxfId="34" stopIfTrue="1" text="大假">
      <formula>NOT(ISERROR(SEARCH("大假",X18)))</formula>
    </cfRule>
    <cfRule type="containsText" priority="2237" operator="containsText" dxfId="37" stopIfTrue="1" text="無薪">
      <formula>NOT(ISERROR(SEARCH("無薪",X18)))</formula>
    </cfRule>
    <cfRule type="containsText" priority="2238" operator="containsText" dxfId="38" stopIfTrue="1" text="TIL">
      <formula>NOT(ISERROR(SEARCH("TIL",X18)))</formula>
    </cfRule>
    <cfRule type="containsText" priority="2239" operator="containsText" dxfId="39" stopIfTrue="1" text="疫苗">
      <formula>NOT(ISERROR(SEARCH("疫苗",X18)))</formula>
    </cfRule>
    <cfRule type="containsText" priority="2240" operator="containsText" dxfId="0" stopIfTrue="1" text="勞假">
      <formula>NOT(ISERROR(SEARCH("勞假",X18)))</formula>
    </cfRule>
    <cfRule type="containsText" priority="2241" operator="containsText" dxfId="36" stopIfTrue="1" text="補假">
      <formula>NOT(ISERROR(SEARCH("補假",X18)))</formula>
    </cfRule>
    <cfRule type="containsText" priority="2242" operator="containsText" dxfId="35" stopIfTrue="1" text="例假">
      <formula>NOT(ISERROR(SEARCH("例假",X18)))</formula>
    </cfRule>
    <cfRule type="containsText" priority="2243" operator="containsText" dxfId="4" stopIfTrue="1" text="病假">
      <formula>NOT(ISERROR(SEARCH("病假",X18)))</formula>
    </cfRule>
    <cfRule type="containsText" priority="2244" operator="containsText" dxfId="34" stopIfTrue="1" text="大假">
      <formula>NOT(ISERROR(SEARCH("大假",X18)))</formula>
    </cfRule>
    <cfRule type="containsText" priority="2245" operator="containsText" dxfId="37" stopIfTrue="1" text="無薪">
      <formula>NOT(ISERROR(SEARCH("無薪",X18)))</formula>
    </cfRule>
    <cfRule type="cellIs" priority="2246" operator="equal" dxfId="24">
      <formula>"NC"</formula>
    </cfRule>
    <cfRule type="cellIs" priority="2247" operator="equal" dxfId="24">
      <formula>"nd"</formula>
    </cfRule>
    <cfRule type="cellIs" priority="2248" operator="equal" dxfId="24">
      <formula>0</formula>
    </cfRule>
    <cfRule type="cellIs" priority="2249" operator="equal" dxfId="23">
      <formula>"R"</formula>
    </cfRule>
    <cfRule type="cellIs" priority="2250" operator="equal" dxfId="48">
      <formula>"NH12"</formula>
    </cfRule>
    <cfRule type="cellIs" priority="2251" operator="equal" dxfId="48">
      <formula>"Nh11"</formula>
    </cfRule>
    <cfRule type="containsText" priority="2252" operator="containsText" dxfId="38" stopIfTrue="1" text="TIL">
      <formula>NOT(ISERROR(SEARCH("TIL",X18)))</formula>
    </cfRule>
    <cfRule type="containsText" priority="2253" operator="containsText" dxfId="39" stopIfTrue="1" text="疫苗">
      <formula>NOT(ISERROR(SEARCH("疫苗",X18)))</formula>
    </cfRule>
    <cfRule type="containsText" priority="2254" operator="containsText" dxfId="0" stopIfTrue="1" text="勞假">
      <formula>NOT(ISERROR(SEARCH("勞假",X18)))</formula>
    </cfRule>
    <cfRule type="containsText" priority="2255" operator="containsText" dxfId="36" stopIfTrue="1" text="補假">
      <formula>NOT(ISERROR(SEARCH("補假",X18)))</formula>
    </cfRule>
    <cfRule type="containsText" priority="2256" operator="containsText" dxfId="35" stopIfTrue="1" text="例假">
      <formula>NOT(ISERROR(SEARCH("例假",X18)))</formula>
    </cfRule>
    <cfRule type="containsText" priority="2257" operator="containsText" dxfId="4" stopIfTrue="1" text="病假">
      <formula>NOT(ISERROR(SEARCH("病假",X18)))</formula>
    </cfRule>
    <cfRule type="containsText" priority="2258" operator="containsText" dxfId="34" stopIfTrue="1" text="大假">
      <formula>NOT(ISERROR(SEARCH("大假",X18)))</formula>
    </cfRule>
    <cfRule type="containsText" priority="2259" operator="containsText" dxfId="37" stopIfTrue="1" text="無薪">
      <formula>NOT(ISERROR(SEARCH("無薪",X18)))</formula>
    </cfRule>
    <cfRule type="containsText" priority="2260" operator="containsText" dxfId="38" stopIfTrue="1" text="TIL">
      <formula>NOT(ISERROR(SEARCH("TIL",X18)))</formula>
    </cfRule>
    <cfRule type="containsText" priority="2261" operator="containsText" dxfId="39" stopIfTrue="1" text="疫苗">
      <formula>NOT(ISERROR(SEARCH("疫苗",X18)))</formula>
    </cfRule>
    <cfRule type="containsText" priority="2262" operator="containsText" dxfId="0" stopIfTrue="1" text="勞假">
      <formula>NOT(ISERROR(SEARCH("勞假",X18)))</formula>
    </cfRule>
    <cfRule type="containsText" priority="2263" operator="containsText" dxfId="36" stopIfTrue="1" text="補假">
      <formula>NOT(ISERROR(SEARCH("補假",X18)))</formula>
    </cfRule>
    <cfRule type="containsText" priority="2264" operator="containsText" dxfId="35" stopIfTrue="1" text="例假">
      <formula>NOT(ISERROR(SEARCH("例假",X18)))</formula>
    </cfRule>
    <cfRule type="containsText" priority="2265" operator="containsText" dxfId="4" stopIfTrue="1" text="病假">
      <formula>NOT(ISERROR(SEARCH("病假",X18)))</formula>
    </cfRule>
    <cfRule type="containsText" priority="2266" operator="containsText" dxfId="34" stopIfTrue="1" text="大假">
      <formula>NOT(ISERROR(SEARCH("大假",X18)))</formula>
    </cfRule>
    <cfRule type="containsText" priority="2267" operator="containsText" dxfId="37" stopIfTrue="1" text="無薪">
      <formula>NOT(ISERROR(SEARCH("無薪",X18)))</formula>
    </cfRule>
    <cfRule type="containsText" priority="2268" operator="containsText" dxfId="39" stopIfTrue="1" text="疫苗">
      <formula>NOT(ISERROR(SEARCH("疫苗",X18)))</formula>
    </cfRule>
    <cfRule type="containsText" priority="2269" operator="containsText" dxfId="0" stopIfTrue="1" text="勞假">
      <formula>NOT(ISERROR(SEARCH("勞假",X18)))</formula>
    </cfRule>
    <cfRule type="containsText" priority="2270" operator="containsText" dxfId="36" stopIfTrue="1" text="補假">
      <formula>NOT(ISERROR(SEARCH("補假",X18)))</formula>
    </cfRule>
    <cfRule type="containsText" priority="2271" operator="containsText" dxfId="35" stopIfTrue="1" text="例假">
      <formula>NOT(ISERROR(SEARCH("例假",X18)))</formula>
    </cfRule>
    <cfRule type="containsText" priority="2272" operator="containsText" dxfId="4" stopIfTrue="1" text="病假">
      <formula>NOT(ISERROR(SEARCH("病假",X18)))</formula>
    </cfRule>
    <cfRule type="containsText" priority="2273" operator="containsText" dxfId="34" stopIfTrue="1" text="大假">
      <formula>NOT(ISERROR(SEARCH("大假",X18)))</formula>
    </cfRule>
    <cfRule type="containsText" priority="2274" operator="containsText" dxfId="37" stopIfTrue="1" text="無薪">
      <formula>NOT(ISERROR(SEARCH("無薪",X18)))</formula>
    </cfRule>
  </conditionalFormatting>
  <conditionalFormatting sqref="Y14:Y15">
    <cfRule type="cellIs" priority="1313" operator="equal" dxfId="4" stopIfTrue="1">
      <formula>"NP"</formula>
    </cfRule>
    <cfRule type="cellIs" priority="1314" operator="equal" dxfId="25" stopIfTrue="1">
      <formula>"RD"</formula>
    </cfRule>
    <cfRule type="cellIs" priority="1315" operator="equal" dxfId="21">
      <formula>"NC"</formula>
    </cfRule>
  </conditionalFormatting>
  <conditionalFormatting sqref="Y37:Y38">
    <cfRule type="cellIs" priority="1252" operator="equal" dxfId="4" stopIfTrue="1">
      <formula>"NP"</formula>
    </cfRule>
    <cfRule type="cellIs" priority="1253" operator="equal" dxfId="25" stopIfTrue="1">
      <formula>"RD"</formula>
    </cfRule>
    <cfRule type="cellIs" priority="1254" operator="equal" dxfId="21">
      <formula>"NC"</formula>
    </cfRule>
  </conditionalFormatting>
  <conditionalFormatting sqref="Y43">
    <cfRule type="cellIs" priority="1370" operator="equal" dxfId="405">
      <formula>"NSH"</formula>
    </cfRule>
    <cfRule type="cellIs" priority="1371" operator="equal" dxfId="61">
      <formula>"VO"</formula>
    </cfRule>
    <cfRule type="cellIs" priority="1372" operator="equal" dxfId="61">
      <formula>"CW"</formula>
    </cfRule>
    <cfRule type="cellIs" priority="1373" operator="equal" dxfId="61">
      <formula>"CF"</formula>
    </cfRule>
    <cfRule type="containsText" priority="1374" operator="containsText" dxfId="37" stopIfTrue="1" text="無薪">
      <formula>NOT(ISERROR(SEARCH("無薪",Y43)))</formula>
    </cfRule>
    <cfRule type="containsText" priority="1375" operator="containsText" dxfId="38" stopIfTrue="1" text="TIL">
      <formula>NOT(ISERROR(SEARCH("TIL",Y43)))</formula>
    </cfRule>
    <cfRule type="containsText" priority="1376" operator="containsText" dxfId="39" stopIfTrue="1" text="疫苗">
      <formula>NOT(ISERROR(SEARCH("疫苗",Y43)))</formula>
    </cfRule>
    <cfRule type="containsText" priority="1377" operator="containsText" dxfId="0" stopIfTrue="1" text="勞假">
      <formula>NOT(ISERROR(SEARCH("勞假",Y43)))</formula>
    </cfRule>
    <cfRule type="containsText" priority="1378" operator="containsText" dxfId="36" stopIfTrue="1" text="補假">
      <formula>NOT(ISERROR(SEARCH("補假",Y43)))</formula>
    </cfRule>
    <cfRule type="containsText" priority="1379" operator="containsText" dxfId="35" stopIfTrue="1" text="例假">
      <formula>NOT(ISERROR(SEARCH("例假",Y43)))</formula>
    </cfRule>
    <cfRule type="containsText" priority="1380" operator="containsText" dxfId="4" stopIfTrue="1" text="病假">
      <formula>NOT(ISERROR(SEARCH("病假",Y43)))</formula>
    </cfRule>
    <cfRule type="containsText" priority="1381" operator="containsText" dxfId="34" stopIfTrue="1" text="大假">
      <formula>NOT(ISERROR(SEARCH("大假",Y43)))</formula>
    </cfRule>
    <cfRule type="containsText" priority="1382" operator="containsText" dxfId="37" stopIfTrue="1" text="無薪">
      <formula>NOT(ISERROR(SEARCH("無薪",Y43)))</formula>
    </cfRule>
    <cfRule type="containsText" priority="1383" operator="containsText" dxfId="38" stopIfTrue="1" text="TIL">
      <formula>NOT(ISERROR(SEARCH("TIL",Y43)))</formula>
    </cfRule>
    <cfRule type="containsText" priority="1384" operator="containsText" dxfId="39" stopIfTrue="1" text="疫苗">
      <formula>NOT(ISERROR(SEARCH("疫苗",Y43)))</formula>
    </cfRule>
    <cfRule type="containsText" priority="1385" operator="containsText" dxfId="0" stopIfTrue="1" text="勞假">
      <formula>NOT(ISERROR(SEARCH("勞假",Y43)))</formula>
    </cfRule>
    <cfRule type="containsText" priority="1386" operator="containsText" dxfId="36" stopIfTrue="1" text="補假">
      <formula>NOT(ISERROR(SEARCH("補假",Y43)))</formula>
    </cfRule>
    <cfRule type="containsText" priority="1387" operator="containsText" dxfId="35" stopIfTrue="1" text="例假">
      <formula>NOT(ISERROR(SEARCH("例假",Y43)))</formula>
    </cfRule>
    <cfRule type="containsText" priority="1388" operator="containsText" dxfId="4" stopIfTrue="1" text="病假">
      <formula>NOT(ISERROR(SEARCH("病假",Y43)))</formula>
    </cfRule>
    <cfRule type="containsText" priority="1389" operator="containsText" dxfId="34" stopIfTrue="1" text="大假">
      <formula>NOT(ISERROR(SEARCH("大假",Y43)))</formula>
    </cfRule>
    <cfRule type="containsText" priority="1390" operator="containsText" dxfId="38" stopIfTrue="1" text="TIL">
      <formula>NOT(ISERROR(SEARCH("TIL",Y43)))</formula>
    </cfRule>
    <cfRule type="cellIs" priority="1391" operator="equal" dxfId="4" stopIfTrue="1">
      <formula>"NP"</formula>
    </cfRule>
    <cfRule type="cellIs" priority="1392" operator="equal" dxfId="25" stopIfTrue="1">
      <formula>"RD"</formula>
    </cfRule>
    <cfRule type="containsText" priority="1393" operator="containsText" dxfId="38" stopIfTrue="1" text="TIL">
      <formula>NOT(ISERROR(SEARCH("TIL",Y43)))</formula>
    </cfRule>
    <cfRule type="containsText" priority="1394" operator="containsText" dxfId="39" stopIfTrue="1" text="疫苗">
      <formula>NOT(ISERROR(SEARCH("疫苗",Y43)))</formula>
    </cfRule>
    <cfRule type="containsText" priority="1395" operator="containsText" dxfId="0" stopIfTrue="1" text="勞假">
      <formula>NOT(ISERROR(SEARCH("勞假",Y43)))</formula>
    </cfRule>
    <cfRule type="containsText" priority="1396" operator="containsText" dxfId="36" stopIfTrue="1" text="補假">
      <formula>NOT(ISERROR(SEARCH("補假",Y43)))</formula>
    </cfRule>
    <cfRule type="containsText" priority="1397" operator="containsText" dxfId="35" stopIfTrue="1" text="例假">
      <formula>NOT(ISERROR(SEARCH("例假",Y43)))</formula>
    </cfRule>
    <cfRule type="containsText" priority="1398" operator="containsText" dxfId="4" stopIfTrue="1" text="病假">
      <formula>NOT(ISERROR(SEARCH("病假",Y43)))</formula>
    </cfRule>
    <cfRule type="containsText" priority="1399" operator="containsText" dxfId="34" stopIfTrue="1" text="大假">
      <formula>NOT(ISERROR(SEARCH("大假",Y43)))</formula>
    </cfRule>
    <cfRule type="containsText" priority="1400" operator="containsText" dxfId="38" stopIfTrue="1" text="TIL">
      <formula>NOT(ISERROR(SEARCH("TIL",Y43)))</formula>
    </cfRule>
    <cfRule type="containsText" priority="1401" operator="containsText" dxfId="39" stopIfTrue="1" text="疫苗">
      <formula>NOT(ISERROR(SEARCH("疫苗",Y43)))</formula>
    </cfRule>
    <cfRule type="containsText" priority="1402" operator="containsText" dxfId="0" stopIfTrue="1" text="勞假">
      <formula>NOT(ISERROR(SEARCH("勞假",Y43)))</formula>
    </cfRule>
    <cfRule type="containsText" priority="1403" operator="containsText" dxfId="36" stopIfTrue="1" text="補假">
      <formula>NOT(ISERROR(SEARCH("補假",Y43)))</formula>
    </cfRule>
    <cfRule type="containsText" priority="1404" operator="containsText" dxfId="35" stopIfTrue="1" text="例假">
      <formula>NOT(ISERROR(SEARCH("例假",Y43)))</formula>
    </cfRule>
    <cfRule type="containsText" priority="1405" operator="containsText" dxfId="4" stopIfTrue="1" text="病假">
      <formula>NOT(ISERROR(SEARCH("病假",Y43)))</formula>
    </cfRule>
    <cfRule type="containsText" priority="1406" operator="containsText" dxfId="34" stopIfTrue="1" text="大假">
      <formula>NOT(ISERROR(SEARCH("大假",Y43)))</formula>
    </cfRule>
    <cfRule type="containsText" priority="1407" operator="containsText" dxfId="37" stopIfTrue="1" text="無薪">
      <formula>NOT(ISERROR(SEARCH("無薪",Y43)))</formula>
    </cfRule>
    <cfRule type="containsText" priority="1408" operator="containsText" dxfId="39" stopIfTrue="1" text="疫苗">
      <formula>NOT(ISERROR(SEARCH("疫苗",Y43)))</formula>
    </cfRule>
    <cfRule type="containsText" priority="1409" operator="containsText" dxfId="0" stopIfTrue="1" text="勞假">
      <formula>NOT(ISERROR(SEARCH("勞假",Y43)))</formula>
    </cfRule>
    <cfRule type="containsText" priority="1410" operator="containsText" dxfId="36" stopIfTrue="1" text="補假">
      <formula>NOT(ISERROR(SEARCH("補假",Y43)))</formula>
    </cfRule>
    <cfRule type="containsText" priority="1411" operator="containsText" dxfId="35" stopIfTrue="1" text="例假">
      <formula>NOT(ISERROR(SEARCH("例假",Y43)))</formula>
    </cfRule>
    <cfRule type="containsText" priority="1412" operator="containsText" dxfId="4" stopIfTrue="1" text="病假">
      <formula>NOT(ISERROR(SEARCH("病假",Y43)))</formula>
    </cfRule>
    <cfRule type="containsText" priority="1413" operator="containsText" dxfId="34" stopIfTrue="1" text="大假">
      <formula>NOT(ISERROR(SEARCH("大假",Y43)))</formula>
    </cfRule>
    <cfRule type="containsText" priority="1414" operator="containsText" dxfId="37" stopIfTrue="1" text="無薪">
      <formula>NOT(ISERROR(SEARCH("無薪",Y43)))</formula>
    </cfRule>
    <cfRule type="containsText" priority="1415" operator="containsText" dxfId="38" stopIfTrue="1" text="TIL">
      <formula>NOT(ISERROR(SEARCH("TIL",Y43)))</formula>
    </cfRule>
    <cfRule type="containsText" priority="1416" operator="containsText" dxfId="39" stopIfTrue="1" text="疫苗">
      <formula>NOT(ISERROR(SEARCH("疫苗",Y43)))</formula>
    </cfRule>
    <cfRule type="containsText" priority="1417" operator="containsText" dxfId="0" stopIfTrue="1" text="勞假">
      <formula>NOT(ISERROR(SEARCH("勞假",Y43)))</formula>
    </cfRule>
    <cfRule type="containsText" priority="1418" operator="containsText" dxfId="36" stopIfTrue="1" text="補假">
      <formula>NOT(ISERROR(SEARCH("補假",Y43)))</formula>
    </cfRule>
    <cfRule type="containsText" priority="1419" operator="containsText" dxfId="35" stopIfTrue="1" text="例假">
      <formula>NOT(ISERROR(SEARCH("例假",Y43)))</formula>
    </cfRule>
    <cfRule type="containsText" priority="1420" operator="containsText" dxfId="4" stopIfTrue="1" text="病假">
      <formula>NOT(ISERROR(SEARCH("病假",Y43)))</formula>
    </cfRule>
    <cfRule type="containsText" priority="1421" operator="containsText" dxfId="34" stopIfTrue="1" text="大假">
      <formula>NOT(ISERROR(SEARCH("大假",Y43)))</formula>
    </cfRule>
    <cfRule type="containsText" priority="1422" operator="containsText" dxfId="37" stopIfTrue="1" text="無薪">
      <formula>NOT(ISERROR(SEARCH("無薪",Y43)))</formula>
    </cfRule>
    <cfRule type="containsText" priority="1423" operator="containsText" dxfId="38" stopIfTrue="1" text="TIL">
      <formula>NOT(ISERROR(SEARCH("TIL",Y43)))</formula>
    </cfRule>
    <cfRule type="containsText" priority="1424" operator="containsText" dxfId="39" stopIfTrue="1" text="疫苗">
      <formula>NOT(ISERROR(SEARCH("疫苗",Y43)))</formula>
    </cfRule>
    <cfRule type="containsText" priority="1425" operator="containsText" dxfId="0" stopIfTrue="1" text="勞假">
      <formula>NOT(ISERROR(SEARCH("勞假",Y43)))</formula>
    </cfRule>
    <cfRule type="containsText" priority="1426" operator="containsText" dxfId="36" stopIfTrue="1" text="補假">
      <formula>NOT(ISERROR(SEARCH("補假",Y43)))</formula>
    </cfRule>
    <cfRule type="containsText" priority="1427" operator="containsText" dxfId="35" stopIfTrue="1" text="例假">
      <formula>NOT(ISERROR(SEARCH("例假",Y43)))</formula>
    </cfRule>
    <cfRule type="containsText" priority="1428" operator="containsText" dxfId="4" stopIfTrue="1" text="病假">
      <formula>NOT(ISERROR(SEARCH("病假",Y43)))</formula>
    </cfRule>
    <cfRule type="containsText" priority="1429" operator="containsText" dxfId="34" stopIfTrue="1" text="大假">
      <formula>NOT(ISERROR(SEARCH("大假",Y43)))</formula>
    </cfRule>
    <cfRule type="containsText" priority="1430" operator="containsText" dxfId="37" stopIfTrue="1" text="無薪">
      <formula>NOT(ISERROR(SEARCH("無薪",Y43)))</formula>
    </cfRule>
    <cfRule type="cellIs" priority="1431" operator="equal" dxfId="24">
      <formula>"NC"</formula>
    </cfRule>
    <cfRule type="cellIs" priority="1432" operator="equal" dxfId="24">
      <formula>"nd"</formula>
    </cfRule>
    <cfRule type="cellIs" priority="1433" operator="equal" dxfId="24">
      <formula>0</formula>
    </cfRule>
    <cfRule type="cellIs" priority="1434" operator="equal" dxfId="23">
      <formula>"R"</formula>
    </cfRule>
    <cfRule type="cellIs" priority="1435" operator="equal" dxfId="48">
      <formula>"NH12"</formula>
    </cfRule>
    <cfRule type="cellIs" priority="1436" operator="equal" dxfId="48">
      <formula>"Nh11"</formula>
    </cfRule>
    <cfRule type="containsText" priority="1437" operator="containsText" dxfId="38" stopIfTrue="1" text="TIL">
      <formula>NOT(ISERROR(SEARCH("TIL",Y43)))</formula>
    </cfRule>
    <cfRule type="containsText" priority="1438" operator="containsText" dxfId="39" stopIfTrue="1" text="疫苗">
      <formula>NOT(ISERROR(SEARCH("疫苗",Y43)))</formula>
    </cfRule>
    <cfRule type="containsText" priority="1439" operator="containsText" dxfId="0" stopIfTrue="1" text="勞假">
      <formula>NOT(ISERROR(SEARCH("勞假",Y43)))</formula>
    </cfRule>
    <cfRule type="containsText" priority="1440" operator="containsText" dxfId="36" stopIfTrue="1" text="補假">
      <formula>NOT(ISERROR(SEARCH("補假",Y43)))</formula>
    </cfRule>
    <cfRule type="containsText" priority="1441" operator="containsText" dxfId="35" stopIfTrue="1" text="例假">
      <formula>NOT(ISERROR(SEARCH("例假",Y43)))</formula>
    </cfRule>
    <cfRule type="containsText" priority="1442" operator="containsText" dxfId="4" stopIfTrue="1" text="病假">
      <formula>NOT(ISERROR(SEARCH("病假",Y43)))</formula>
    </cfRule>
    <cfRule type="containsText" priority="1443" operator="containsText" dxfId="34" stopIfTrue="1" text="大假">
      <formula>NOT(ISERROR(SEARCH("大假",Y43)))</formula>
    </cfRule>
    <cfRule type="containsText" priority="1444" operator="containsText" dxfId="37" stopIfTrue="1" text="無薪">
      <formula>NOT(ISERROR(SEARCH("無薪",Y43)))</formula>
    </cfRule>
    <cfRule type="containsText" priority="1445" operator="containsText" dxfId="38" stopIfTrue="1" text="TIL">
      <formula>NOT(ISERROR(SEARCH("TIL",Y43)))</formula>
    </cfRule>
    <cfRule type="containsText" priority="1446" operator="containsText" dxfId="39" stopIfTrue="1" text="疫苗">
      <formula>NOT(ISERROR(SEARCH("疫苗",Y43)))</formula>
    </cfRule>
    <cfRule type="containsText" priority="1447" operator="containsText" dxfId="0" stopIfTrue="1" text="勞假">
      <formula>NOT(ISERROR(SEARCH("勞假",Y43)))</formula>
    </cfRule>
    <cfRule type="containsText" priority="1448" operator="containsText" dxfId="36" stopIfTrue="1" text="補假">
      <formula>NOT(ISERROR(SEARCH("補假",Y43)))</formula>
    </cfRule>
    <cfRule type="containsText" priority="1449" operator="containsText" dxfId="35" stopIfTrue="1" text="例假">
      <formula>NOT(ISERROR(SEARCH("例假",Y43)))</formula>
    </cfRule>
    <cfRule type="containsText" priority="1450" operator="containsText" dxfId="4" stopIfTrue="1" text="病假">
      <formula>NOT(ISERROR(SEARCH("病假",Y43)))</formula>
    </cfRule>
    <cfRule type="containsText" priority="1451" operator="containsText" dxfId="34" stopIfTrue="1" text="大假">
      <formula>NOT(ISERROR(SEARCH("大假",Y43)))</formula>
    </cfRule>
    <cfRule type="containsText" priority="1452" operator="containsText" dxfId="37" stopIfTrue="1" text="無薪">
      <formula>NOT(ISERROR(SEARCH("無薪",Y43)))</formula>
    </cfRule>
    <cfRule type="containsText" priority="1453" operator="containsText" dxfId="39" stopIfTrue="1" text="疫苗">
      <formula>NOT(ISERROR(SEARCH("疫苗",Y43)))</formula>
    </cfRule>
    <cfRule type="containsText" priority="1454" operator="containsText" dxfId="0" stopIfTrue="1" text="勞假">
      <formula>NOT(ISERROR(SEARCH("勞假",Y43)))</formula>
    </cfRule>
    <cfRule type="containsText" priority="1455" operator="containsText" dxfId="36" stopIfTrue="1" text="補假">
      <formula>NOT(ISERROR(SEARCH("補假",Y43)))</formula>
    </cfRule>
    <cfRule type="containsText" priority="1456" operator="containsText" dxfId="35" stopIfTrue="1" text="例假">
      <formula>NOT(ISERROR(SEARCH("例假",Y43)))</formula>
    </cfRule>
    <cfRule type="containsText" priority="1457" operator="containsText" dxfId="4" stopIfTrue="1" text="病假">
      <formula>NOT(ISERROR(SEARCH("病假",Y43)))</formula>
    </cfRule>
    <cfRule type="containsText" priority="1458" operator="containsText" dxfId="34" stopIfTrue="1" text="大假">
      <formula>NOT(ISERROR(SEARCH("大假",Y43)))</formula>
    </cfRule>
    <cfRule type="containsText" priority="1459" operator="containsText" dxfId="37" stopIfTrue="1" text="無薪">
      <formula>NOT(ISERROR(SEARCH("無薪",Y43)))</formula>
    </cfRule>
    <cfRule type="containsText" priority="1460" operator="containsText" dxfId="38" stopIfTrue="1" text="TIL">
      <formula>NOT(ISERROR(SEARCH("TIL",Y43)))</formula>
    </cfRule>
    <cfRule type="containsText" priority="1461" operator="containsText" dxfId="39" stopIfTrue="1" text="疫苗">
      <formula>NOT(ISERROR(SEARCH("疫苗",Y43)))</formula>
    </cfRule>
    <cfRule type="containsText" priority="1462" operator="containsText" dxfId="0" stopIfTrue="1" text="勞假">
      <formula>NOT(ISERROR(SEARCH("勞假",Y43)))</formula>
    </cfRule>
    <cfRule type="containsText" priority="1463" operator="containsText" dxfId="36" stopIfTrue="1" text="補假">
      <formula>NOT(ISERROR(SEARCH("補假",Y43)))</formula>
    </cfRule>
    <cfRule type="containsText" priority="1464" operator="containsText" dxfId="35" stopIfTrue="1" text="例假">
      <formula>NOT(ISERROR(SEARCH("例假",Y43)))</formula>
    </cfRule>
    <cfRule type="containsText" priority="1465" operator="containsText" dxfId="4" stopIfTrue="1" text="病假">
      <formula>NOT(ISERROR(SEARCH("病假",Y43)))</formula>
    </cfRule>
    <cfRule type="containsText" priority="1466" operator="containsText" dxfId="34" stopIfTrue="1" text="大假">
      <formula>NOT(ISERROR(SEARCH("大假",Y43)))</formula>
    </cfRule>
    <cfRule type="containsText" priority="1467" operator="containsText" dxfId="37" stopIfTrue="1" text="無薪">
      <formula>NOT(ISERROR(SEARCH("無薪",Y43)))</formula>
    </cfRule>
    <cfRule type="containsText" priority="1468" operator="containsText" dxfId="38" stopIfTrue="1" text="TIL">
      <formula>NOT(ISERROR(SEARCH("TIL",Y43)))</formula>
    </cfRule>
    <cfRule type="containsText" priority="1469" operator="containsText" dxfId="39" stopIfTrue="1" text="疫苗">
      <formula>NOT(ISERROR(SEARCH("疫苗",Y43)))</formula>
    </cfRule>
    <cfRule type="containsText" priority="1470" operator="containsText" dxfId="0" stopIfTrue="1" text="勞假">
      <formula>NOT(ISERROR(SEARCH("勞假",Y43)))</formula>
    </cfRule>
    <cfRule type="containsText" priority="1471" operator="containsText" dxfId="36" stopIfTrue="1" text="補假">
      <formula>NOT(ISERROR(SEARCH("補假",Y43)))</formula>
    </cfRule>
    <cfRule type="containsText" priority="1472" operator="containsText" dxfId="35" stopIfTrue="1" text="例假">
      <formula>NOT(ISERROR(SEARCH("例假",Y43)))</formula>
    </cfRule>
    <cfRule type="containsText" priority="1473" operator="containsText" dxfId="4" stopIfTrue="1" text="病假">
      <formula>NOT(ISERROR(SEARCH("病假",Y43)))</formula>
    </cfRule>
    <cfRule type="containsText" priority="1474" operator="containsText" dxfId="34" stopIfTrue="1" text="大假">
      <formula>NOT(ISERROR(SEARCH("大假",Y43)))</formula>
    </cfRule>
    <cfRule type="containsText" priority="1475" operator="containsText" dxfId="38" stopIfTrue="1" text="TIL">
      <formula>NOT(ISERROR(SEARCH("TIL",Y43)))</formula>
    </cfRule>
    <cfRule type="cellIs" priority="1476" operator="equal" dxfId="4" stopIfTrue="1">
      <formula>"NP"</formula>
    </cfRule>
    <cfRule type="cellIs" priority="1477" operator="equal" dxfId="25" stopIfTrue="1">
      <formula>"RD"</formula>
    </cfRule>
    <cfRule type="containsText" priority="1478" operator="containsText" dxfId="38" stopIfTrue="1" text="TIL">
      <formula>NOT(ISERROR(SEARCH("TIL",Y43)))</formula>
    </cfRule>
    <cfRule type="containsText" priority="1479" operator="containsText" dxfId="39" stopIfTrue="1" text="疫苗">
      <formula>NOT(ISERROR(SEARCH("疫苗",Y43)))</formula>
    </cfRule>
    <cfRule type="containsText" priority="1480" operator="containsText" dxfId="0" stopIfTrue="1" text="勞假">
      <formula>NOT(ISERROR(SEARCH("勞假",Y43)))</formula>
    </cfRule>
    <cfRule type="containsText" priority="1481" operator="containsText" dxfId="36" stopIfTrue="1" text="補假">
      <formula>NOT(ISERROR(SEARCH("補假",Y43)))</formula>
    </cfRule>
    <cfRule type="containsText" priority="1482" operator="containsText" dxfId="35" stopIfTrue="1" text="例假">
      <formula>NOT(ISERROR(SEARCH("例假",Y43)))</formula>
    </cfRule>
    <cfRule type="containsText" priority="1483" operator="containsText" dxfId="4" stopIfTrue="1" text="病假">
      <formula>NOT(ISERROR(SEARCH("病假",Y43)))</formula>
    </cfRule>
    <cfRule type="containsText" priority="1484" operator="containsText" dxfId="34" stopIfTrue="1" text="大假">
      <formula>NOT(ISERROR(SEARCH("大假",Y43)))</formula>
    </cfRule>
    <cfRule type="containsText" priority="1485" operator="containsText" dxfId="38" stopIfTrue="1" text="TIL">
      <formula>NOT(ISERROR(SEARCH("TIL",Y43)))</formula>
    </cfRule>
    <cfRule type="containsText" priority="1486" operator="containsText" dxfId="39" stopIfTrue="1" text="疫苗">
      <formula>NOT(ISERROR(SEARCH("疫苗",Y43)))</formula>
    </cfRule>
    <cfRule type="containsText" priority="1487" operator="containsText" dxfId="0" stopIfTrue="1" text="勞假">
      <formula>NOT(ISERROR(SEARCH("勞假",Y43)))</formula>
    </cfRule>
    <cfRule type="containsText" priority="1488" operator="containsText" dxfId="36" stopIfTrue="1" text="補假">
      <formula>NOT(ISERROR(SEARCH("補假",Y43)))</formula>
    </cfRule>
    <cfRule type="containsText" priority="1489" operator="containsText" dxfId="35" stopIfTrue="1" text="例假">
      <formula>NOT(ISERROR(SEARCH("例假",Y43)))</formula>
    </cfRule>
    <cfRule type="containsText" priority="1490" operator="containsText" dxfId="4" stopIfTrue="1" text="病假">
      <formula>NOT(ISERROR(SEARCH("病假",Y43)))</formula>
    </cfRule>
    <cfRule type="containsText" priority="1491" operator="containsText" dxfId="34" stopIfTrue="1" text="大假">
      <formula>NOT(ISERROR(SEARCH("大假",Y43)))</formula>
    </cfRule>
    <cfRule type="containsText" priority="1492" operator="containsText" dxfId="37" stopIfTrue="1" text="無薪">
      <formula>NOT(ISERROR(SEARCH("無薪",Y43)))</formula>
    </cfRule>
    <cfRule type="containsText" priority="1493" operator="containsText" dxfId="39" stopIfTrue="1" text="疫苗">
      <formula>NOT(ISERROR(SEARCH("疫苗",Y43)))</formula>
    </cfRule>
    <cfRule type="containsText" priority="1494" operator="containsText" dxfId="0" stopIfTrue="1" text="勞假">
      <formula>NOT(ISERROR(SEARCH("勞假",Y43)))</formula>
    </cfRule>
    <cfRule type="containsText" priority="1495" operator="containsText" dxfId="36" stopIfTrue="1" text="補假">
      <formula>NOT(ISERROR(SEARCH("補假",Y43)))</formula>
    </cfRule>
    <cfRule type="containsText" priority="1496" operator="containsText" dxfId="35" stopIfTrue="1" text="例假">
      <formula>NOT(ISERROR(SEARCH("例假",Y43)))</formula>
    </cfRule>
    <cfRule type="containsText" priority="1497" operator="containsText" dxfId="4" stopIfTrue="1" text="病假">
      <formula>NOT(ISERROR(SEARCH("病假",Y43)))</formula>
    </cfRule>
    <cfRule type="containsText" priority="1498" operator="containsText" dxfId="34" stopIfTrue="1" text="大假">
      <formula>NOT(ISERROR(SEARCH("大假",Y43)))</formula>
    </cfRule>
    <cfRule type="containsText" priority="1499" operator="containsText" dxfId="37" stopIfTrue="1" text="無薪">
      <formula>NOT(ISERROR(SEARCH("無薪",Y43)))</formula>
    </cfRule>
    <cfRule type="containsText" priority="1500" operator="containsText" dxfId="38" stopIfTrue="1" text="TIL">
      <formula>NOT(ISERROR(SEARCH("TIL",Y43)))</formula>
    </cfRule>
    <cfRule type="containsText" priority="1501" operator="containsText" dxfId="39" stopIfTrue="1" text="疫苗">
      <formula>NOT(ISERROR(SEARCH("疫苗",Y43)))</formula>
    </cfRule>
    <cfRule type="containsText" priority="1502" operator="containsText" dxfId="0" stopIfTrue="1" text="勞假">
      <formula>NOT(ISERROR(SEARCH("勞假",Y43)))</formula>
    </cfRule>
    <cfRule type="containsText" priority="1503" operator="containsText" dxfId="36" stopIfTrue="1" text="補假">
      <formula>NOT(ISERROR(SEARCH("補假",Y43)))</formula>
    </cfRule>
    <cfRule type="containsText" priority="1504" operator="containsText" dxfId="35" stopIfTrue="1" text="例假">
      <formula>NOT(ISERROR(SEARCH("例假",Y43)))</formula>
    </cfRule>
    <cfRule type="containsText" priority="1505" operator="containsText" dxfId="4" stopIfTrue="1" text="病假">
      <formula>NOT(ISERROR(SEARCH("病假",Y43)))</formula>
    </cfRule>
    <cfRule type="containsText" priority="1506" operator="containsText" dxfId="34" stopIfTrue="1" text="大假">
      <formula>NOT(ISERROR(SEARCH("大假",Y43)))</formula>
    </cfRule>
    <cfRule type="containsText" priority="1507" operator="containsText" dxfId="37" stopIfTrue="1" text="無薪">
      <formula>NOT(ISERROR(SEARCH("無薪",Y43)))</formula>
    </cfRule>
    <cfRule type="containsText" priority="1508" operator="containsText" dxfId="38" stopIfTrue="1" text="TIL">
      <formula>NOT(ISERROR(SEARCH("TIL",Y43)))</formula>
    </cfRule>
    <cfRule type="containsText" priority="1509" operator="containsText" dxfId="39" stopIfTrue="1" text="疫苗">
      <formula>NOT(ISERROR(SEARCH("疫苗",Y43)))</formula>
    </cfRule>
    <cfRule type="containsText" priority="1510" operator="containsText" dxfId="0" stopIfTrue="1" text="勞假">
      <formula>NOT(ISERROR(SEARCH("勞假",Y43)))</formula>
    </cfRule>
    <cfRule type="containsText" priority="1511" operator="containsText" dxfId="36" stopIfTrue="1" text="補假">
      <formula>NOT(ISERROR(SEARCH("補假",Y43)))</formula>
    </cfRule>
    <cfRule type="containsText" priority="1512" operator="containsText" dxfId="35" stopIfTrue="1" text="例假">
      <formula>NOT(ISERROR(SEARCH("例假",Y43)))</formula>
    </cfRule>
    <cfRule type="containsText" priority="1513" operator="containsText" dxfId="4" stopIfTrue="1" text="病假">
      <formula>NOT(ISERROR(SEARCH("病假",Y43)))</formula>
    </cfRule>
    <cfRule type="containsText" priority="1514" operator="containsText" dxfId="34" stopIfTrue="1" text="大假">
      <formula>NOT(ISERROR(SEARCH("大假",Y43)))</formula>
    </cfRule>
    <cfRule type="containsText" priority="1515" operator="containsText" dxfId="37" stopIfTrue="1" text="無薪">
      <formula>NOT(ISERROR(SEARCH("無薪",Y43)))</formula>
    </cfRule>
    <cfRule type="cellIs" priority="1516" operator="equal" dxfId="24">
      <formula>"NC"</formula>
    </cfRule>
    <cfRule type="cellIs" priority="1517" operator="equal" dxfId="24">
      <formula>"nd"</formula>
    </cfRule>
    <cfRule type="cellIs" priority="1518" operator="equal" dxfId="24">
      <formula>0</formula>
    </cfRule>
    <cfRule type="cellIs" priority="1519" operator="equal" dxfId="23">
      <formula>"R"</formula>
    </cfRule>
    <cfRule type="cellIs" priority="1520" operator="equal" dxfId="48">
      <formula>"NH12"</formula>
    </cfRule>
    <cfRule type="cellIs" priority="1521" operator="equal" dxfId="48">
      <formula>"Nh11"</formula>
    </cfRule>
    <cfRule type="containsText" priority="1522" operator="containsText" dxfId="38" stopIfTrue="1" text="TIL">
      <formula>NOT(ISERROR(SEARCH("TIL",Y43)))</formula>
    </cfRule>
    <cfRule type="containsText" priority="1523" operator="containsText" dxfId="39" stopIfTrue="1" text="疫苗">
      <formula>NOT(ISERROR(SEARCH("疫苗",Y43)))</formula>
    </cfRule>
    <cfRule type="containsText" priority="1524" operator="containsText" dxfId="0" stopIfTrue="1" text="勞假">
      <formula>NOT(ISERROR(SEARCH("勞假",Y43)))</formula>
    </cfRule>
    <cfRule type="containsText" priority="1525" operator="containsText" dxfId="36" stopIfTrue="1" text="補假">
      <formula>NOT(ISERROR(SEARCH("補假",Y43)))</formula>
    </cfRule>
    <cfRule type="containsText" priority="1526" operator="containsText" dxfId="35" stopIfTrue="1" text="例假">
      <formula>NOT(ISERROR(SEARCH("例假",Y43)))</formula>
    </cfRule>
    <cfRule type="containsText" priority="1527" operator="containsText" dxfId="4" stopIfTrue="1" text="病假">
      <formula>NOT(ISERROR(SEARCH("病假",Y43)))</formula>
    </cfRule>
    <cfRule type="containsText" priority="1528" operator="containsText" dxfId="34" stopIfTrue="1" text="大假">
      <formula>NOT(ISERROR(SEARCH("大假",Y43)))</formula>
    </cfRule>
    <cfRule type="containsText" priority="1529" operator="containsText" dxfId="37" stopIfTrue="1" text="無薪">
      <formula>NOT(ISERROR(SEARCH("無薪",Y43)))</formula>
    </cfRule>
    <cfRule type="containsText" priority="1530" operator="containsText" dxfId="38" stopIfTrue="1" text="TIL">
      <formula>NOT(ISERROR(SEARCH("TIL",Y43)))</formula>
    </cfRule>
    <cfRule type="containsText" priority="1531" operator="containsText" dxfId="39" stopIfTrue="1" text="疫苗">
      <formula>NOT(ISERROR(SEARCH("疫苗",Y43)))</formula>
    </cfRule>
    <cfRule type="containsText" priority="1532" operator="containsText" dxfId="0" stopIfTrue="1" text="勞假">
      <formula>NOT(ISERROR(SEARCH("勞假",Y43)))</formula>
    </cfRule>
    <cfRule type="containsText" priority="1533" operator="containsText" dxfId="36" stopIfTrue="1" text="補假">
      <formula>NOT(ISERROR(SEARCH("補假",Y43)))</formula>
    </cfRule>
    <cfRule type="containsText" priority="1534" operator="containsText" dxfId="35" stopIfTrue="1" text="例假">
      <formula>NOT(ISERROR(SEARCH("例假",Y43)))</formula>
    </cfRule>
    <cfRule type="containsText" priority="1535" operator="containsText" dxfId="4" stopIfTrue="1" text="病假">
      <formula>NOT(ISERROR(SEARCH("病假",Y43)))</formula>
    </cfRule>
    <cfRule type="containsText" priority="1536" operator="containsText" dxfId="34" stopIfTrue="1" text="大假">
      <formula>NOT(ISERROR(SEARCH("大假",Y43)))</formula>
    </cfRule>
    <cfRule type="containsText" priority="1537" operator="containsText" dxfId="37" stopIfTrue="1" text="無薪">
      <formula>NOT(ISERROR(SEARCH("無薪",Y43)))</formula>
    </cfRule>
    <cfRule type="containsText" priority="1538" operator="containsText" dxfId="39" stopIfTrue="1" text="疫苗">
      <formula>NOT(ISERROR(SEARCH("疫苗",Y43)))</formula>
    </cfRule>
    <cfRule type="containsText" priority="1539" operator="containsText" dxfId="0" stopIfTrue="1" text="勞假">
      <formula>NOT(ISERROR(SEARCH("勞假",Y43)))</formula>
    </cfRule>
    <cfRule type="containsText" priority="1540" operator="containsText" dxfId="36" stopIfTrue="1" text="補假">
      <formula>NOT(ISERROR(SEARCH("補假",Y43)))</formula>
    </cfRule>
    <cfRule type="containsText" priority="1541" operator="containsText" dxfId="35" stopIfTrue="1" text="例假">
      <formula>NOT(ISERROR(SEARCH("例假",Y43)))</formula>
    </cfRule>
    <cfRule type="containsText" priority="1542" operator="containsText" dxfId="4" stopIfTrue="1" text="病假">
      <formula>NOT(ISERROR(SEARCH("病假",Y43)))</formula>
    </cfRule>
    <cfRule type="containsText" priority="1543" operator="containsText" dxfId="34" stopIfTrue="1" text="大假">
      <formula>NOT(ISERROR(SEARCH("大假",Y43)))</formula>
    </cfRule>
    <cfRule type="containsText" priority="1544" operator="containsText" dxfId="4" text="RD">
      <formula>NOT(ISERROR(SEARCH("RD",Y43)))</formula>
    </cfRule>
    <cfRule type="containsText" priority="1545" operator="containsText" dxfId="405" text="NP">
      <formula>NOT(ISERROR(SEARCH("NP",Y43)))</formula>
    </cfRule>
  </conditionalFormatting>
  <conditionalFormatting sqref="Y46">
    <cfRule type="cellIs" priority="1168" operator="equal" dxfId="4" stopIfTrue="1">
      <formula>"NP"</formula>
    </cfRule>
    <cfRule type="cellIs" priority="1169" operator="equal" dxfId="25" stopIfTrue="1">
      <formula>"RD"</formula>
    </cfRule>
    <cfRule type="cellIs" priority="1170" operator="equal" dxfId="21">
      <formula>"NC"</formula>
    </cfRule>
  </conditionalFormatting>
  <conditionalFormatting sqref="Z19:AE19">
    <cfRule type="containsText" priority="2278" operator="containsText" dxfId="37" stopIfTrue="1" text="無薪">
      <formula>NOT(ISERROR(SEARCH("無薪",Z19)))</formula>
    </cfRule>
    <cfRule type="containsText" priority="2279" operator="containsText" dxfId="38" stopIfTrue="1" text="TIL">
      <formula>NOT(ISERROR(SEARCH("TIL",Z19)))</formula>
    </cfRule>
    <cfRule type="containsText" priority="2280" operator="containsText" dxfId="39" stopIfTrue="1" text="疫苗">
      <formula>NOT(ISERROR(SEARCH("疫苗",Z19)))</formula>
    </cfRule>
    <cfRule type="containsText" priority="2281" operator="containsText" dxfId="0" stopIfTrue="1" text="勞假">
      <formula>NOT(ISERROR(SEARCH("勞假",Z19)))</formula>
    </cfRule>
    <cfRule type="containsText" priority="2282" operator="containsText" dxfId="36" stopIfTrue="1" text="補假">
      <formula>NOT(ISERROR(SEARCH("補假",Z19)))</formula>
    </cfRule>
    <cfRule type="containsText" priority="2283" operator="containsText" dxfId="35" stopIfTrue="1" text="例假">
      <formula>NOT(ISERROR(SEARCH("例假",Z19)))</formula>
    </cfRule>
    <cfRule type="containsText" priority="2284" operator="containsText" dxfId="4" stopIfTrue="1" text="病假">
      <formula>NOT(ISERROR(SEARCH("病假",Z19)))</formula>
    </cfRule>
    <cfRule type="containsText" priority="2285" operator="containsText" dxfId="34" stopIfTrue="1" text="大假">
      <formula>NOT(ISERROR(SEARCH("大假",Z19)))</formula>
    </cfRule>
    <cfRule type="containsText" priority="2286" operator="containsText" dxfId="37" stopIfTrue="1" text="無薪">
      <formula>NOT(ISERROR(SEARCH("無薪",Z19)))</formula>
    </cfRule>
    <cfRule type="containsText" priority="2287" operator="containsText" dxfId="38" stopIfTrue="1" text="TIL">
      <formula>NOT(ISERROR(SEARCH("TIL",Z19)))</formula>
    </cfRule>
    <cfRule type="containsText" priority="2288" operator="containsText" dxfId="39" stopIfTrue="1" text="疫苗">
      <formula>NOT(ISERROR(SEARCH("疫苗",Z19)))</formula>
    </cfRule>
    <cfRule type="containsText" priority="2289" operator="containsText" dxfId="0" stopIfTrue="1" text="勞假">
      <formula>NOT(ISERROR(SEARCH("勞假",Z19)))</formula>
    </cfRule>
    <cfRule type="containsText" priority="2290" operator="containsText" dxfId="36" stopIfTrue="1" text="補假">
      <formula>NOT(ISERROR(SEARCH("補假",Z19)))</formula>
    </cfRule>
    <cfRule type="containsText" priority="2291" operator="containsText" dxfId="35" stopIfTrue="1" text="例假">
      <formula>NOT(ISERROR(SEARCH("例假",Z19)))</formula>
    </cfRule>
    <cfRule type="containsText" priority="2292" operator="containsText" dxfId="4" stopIfTrue="1" text="病假">
      <formula>NOT(ISERROR(SEARCH("病假",Z19)))</formula>
    </cfRule>
    <cfRule type="containsText" priority="2293" operator="containsText" dxfId="34" stopIfTrue="1" text="大假">
      <formula>NOT(ISERROR(SEARCH("大假",Z19)))</formula>
    </cfRule>
    <cfRule type="containsText" priority="2294" operator="containsText" dxfId="38" stopIfTrue="1" text="TIL">
      <formula>NOT(ISERROR(SEARCH("TIL",Z19)))</formula>
    </cfRule>
    <cfRule type="cellIs" priority="2295" operator="equal" dxfId="4" stopIfTrue="1">
      <formula>"NP"</formula>
    </cfRule>
    <cfRule type="cellIs" priority="2296" operator="equal" dxfId="25" stopIfTrue="1">
      <formula>"RD"</formula>
    </cfRule>
    <cfRule type="containsText" priority="2297" operator="containsText" dxfId="38" stopIfTrue="1" text="TIL">
      <formula>NOT(ISERROR(SEARCH("TIL",Z19)))</formula>
    </cfRule>
    <cfRule type="containsText" priority="2298" operator="containsText" dxfId="39" stopIfTrue="1" text="疫苗">
      <formula>NOT(ISERROR(SEARCH("疫苗",Z19)))</formula>
    </cfRule>
    <cfRule type="containsText" priority="2299" operator="containsText" dxfId="0" stopIfTrue="1" text="勞假">
      <formula>NOT(ISERROR(SEARCH("勞假",Z19)))</formula>
    </cfRule>
    <cfRule type="containsText" priority="2300" operator="containsText" dxfId="36" stopIfTrue="1" text="補假">
      <formula>NOT(ISERROR(SEARCH("補假",Z19)))</formula>
    </cfRule>
    <cfRule type="containsText" priority="2301" operator="containsText" dxfId="35" stopIfTrue="1" text="例假">
      <formula>NOT(ISERROR(SEARCH("例假",Z19)))</formula>
    </cfRule>
    <cfRule type="containsText" priority="2302" operator="containsText" dxfId="4" stopIfTrue="1" text="病假">
      <formula>NOT(ISERROR(SEARCH("病假",Z19)))</formula>
    </cfRule>
    <cfRule type="containsText" priority="2303" operator="containsText" dxfId="34" stopIfTrue="1" text="大假">
      <formula>NOT(ISERROR(SEARCH("大假",Z19)))</formula>
    </cfRule>
    <cfRule type="containsText" priority="2304" operator="containsText" dxfId="38" stopIfTrue="1" text="TIL">
      <formula>NOT(ISERROR(SEARCH("TIL",Z19)))</formula>
    </cfRule>
    <cfRule type="containsText" priority="2305" operator="containsText" dxfId="39" stopIfTrue="1" text="疫苗">
      <formula>NOT(ISERROR(SEARCH("疫苗",Z19)))</formula>
    </cfRule>
    <cfRule type="containsText" priority="2306" operator="containsText" dxfId="0" stopIfTrue="1" text="勞假">
      <formula>NOT(ISERROR(SEARCH("勞假",Z19)))</formula>
    </cfRule>
    <cfRule type="containsText" priority="2307" operator="containsText" dxfId="36" stopIfTrue="1" text="補假">
      <formula>NOT(ISERROR(SEARCH("補假",Z19)))</formula>
    </cfRule>
    <cfRule type="containsText" priority="2308" operator="containsText" dxfId="35" stopIfTrue="1" text="例假">
      <formula>NOT(ISERROR(SEARCH("例假",Z19)))</formula>
    </cfRule>
    <cfRule type="containsText" priority="2309" operator="containsText" dxfId="4" stopIfTrue="1" text="病假">
      <formula>NOT(ISERROR(SEARCH("病假",Z19)))</formula>
    </cfRule>
    <cfRule type="containsText" priority="2310" operator="containsText" dxfId="34" stopIfTrue="1" text="大假">
      <formula>NOT(ISERROR(SEARCH("大假",Z19)))</formula>
    </cfRule>
    <cfRule type="containsText" priority="2311" operator="containsText" dxfId="37" stopIfTrue="1" text="無薪">
      <formula>NOT(ISERROR(SEARCH("無薪",Z19)))</formula>
    </cfRule>
    <cfRule type="containsText" priority="2312" operator="containsText" dxfId="39" stopIfTrue="1" text="疫苗">
      <formula>NOT(ISERROR(SEARCH("疫苗",Z19)))</formula>
    </cfRule>
    <cfRule type="containsText" priority="2313" operator="containsText" dxfId="0" stopIfTrue="1" text="勞假">
      <formula>NOT(ISERROR(SEARCH("勞假",Z19)))</formula>
    </cfRule>
    <cfRule type="containsText" priority="2314" operator="containsText" dxfId="36" stopIfTrue="1" text="補假">
      <formula>NOT(ISERROR(SEARCH("補假",Z19)))</formula>
    </cfRule>
    <cfRule type="containsText" priority="2315" operator="containsText" dxfId="35" stopIfTrue="1" text="例假">
      <formula>NOT(ISERROR(SEARCH("例假",Z19)))</formula>
    </cfRule>
    <cfRule type="containsText" priority="2316" operator="containsText" dxfId="4" stopIfTrue="1" text="病假">
      <formula>NOT(ISERROR(SEARCH("病假",Z19)))</formula>
    </cfRule>
    <cfRule type="containsText" priority="2317" operator="containsText" dxfId="34" stopIfTrue="1" text="大假">
      <formula>NOT(ISERROR(SEARCH("大假",Z19)))</formula>
    </cfRule>
    <cfRule type="containsText" priority="2318" operator="containsText" dxfId="37" stopIfTrue="1" text="無薪">
      <formula>NOT(ISERROR(SEARCH("無薪",Z19)))</formula>
    </cfRule>
    <cfRule type="containsText" priority="2319" operator="containsText" dxfId="38" stopIfTrue="1" text="TIL">
      <formula>NOT(ISERROR(SEARCH("TIL",Z19)))</formula>
    </cfRule>
    <cfRule type="containsText" priority="2320" operator="containsText" dxfId="39" stopIfTrue="1" text="疫苗">
      <formula>NOT(ISERROR(SEARCH("疫苗",Z19)))</formula>
    </cfRule>
    <cfRule type="containsText" priority="2321" operator="containsText" dxfId="0" stopIfTrue="1" text="勞假">
      <formula>NOT(ISERROR(SEARCH("勞假",Z19)))</formula>
    </cfRule>
    <cfRule type="containsText" priority="2322" operator="containsText" dxfId="36" stopIfTrue="1" text="補假">
      <formula>NOT(ISERROR(SEARCH("補假",Z19)))</formula>
    </cfRule>
    <cfRule type="containsText" priority="2323" operator="containsText" dxfId="35" stopIfTrue="1" text="例假">
      <formula>NOT(ISERROR(SEARCH("例假",Z19)))</formula>
    </cfRule>
    <cfRule type="containsText" priority="2324" operator="containsText" dxfId="4" stopIfTrue="1" text="病假">
      <formula>NOT(ISERROR(SEARCH("病假",Z19)))</formula>
    </cfRule>
    <cfRule type="containsText" priority="2325" operator="containsText" dxfId="34" stopIfTrue="1" text="大假">
      <formula>NOT(ISERROR(SEARCH("大假",Z19)))</formula>
    </cfRule>
    <cfRule type="containsText" priority="2326" operator="containsText" dxfId="37" stopIfTrue="1" text="無薪">
      <formula>NOT(ISERROR(SEARCH("無薪",Z19)))</formula>
    </cfRule>
    <cfRule type="containsText" priority="2327" operator="containsText" dxfId="38" stopIfTrue="1" text="TIL">
      <formula>NOT(ISERROR(SEARCH("TIL",Z19)))</formula>
    </cfRule>
    <cfRule type="containsText" priority="2328" operator="containsText" dxfId="39" stopIfTrue="1" text="疫苗">
      <formula>NOT(ISERROR(SEARCH("疫苗",Z19)))</formula>
    </cfRule>
    <cfRule type="containsText" priority="2329" operator="containsText" dxfId="0" stopIfTrue="1" text="勞假">
      <formula>NOT(ISERROR(SEARCH("勞假",Z19)))</formula>
    </cfRule>
    <cfRule type="containsText" priority="2330" operator="containsText" dxfId="36" stopIfTrue="1" text="補假">
      <formula>NOT(ISERROR(SEARCH("補假",Z19)))</formula>
    </cfRule>
    <cfRule type="containsText" priority="2331" operator="containsText" dxfId="35" stopIfTrue="1" text="例假">
      <formula>NOT(ISERROR(SEARCH("例假",Z19)))</formula>
    </cfRule>
    <cfRule type="containsText" priority="2332" operator="containsText" dxfId="4" stopIfTrue="1" text="病假">
      <formula>NOT(ISERROR(SEARCH("病假",Z19)))</formula>
    </cfRule>
    <cfRule type="containsText" priority="2333" operator="containsText" dxfId="34" stopIfTrue="1" text="大假">
      <formula>NOT(ISERROR(SEARCH("大假",Z19)))</formula>
    </cfRule>
    <cfRule type="containsText" priority="2334" operator="containsText" dxfId="37" stopIfTrue="1" text="無薪">
      <formula>NOT(ISERROR(SEARCH("無薪",Z19)))</formula>
    </cfRule>
    <cfRule type="cellIs" priority="2335" operator="equal" dxfId="24">
      <formula>"NC"</formula>
    </cfRule>
    <cfRule type="cellIs" priority="2336" operator="equal" dxfId="24">
      <formula>"nd"</formula>
    </cfRule>
    <cfRule type="cellIs" priority="2337" operator="equal" dxfId="24">
      <formula>0</formula>
    </cfRule>
    <cfRule type="cellIs" priority="2338" operator="equal" dxfId="23">
      <formula>"R"</formula>
    </cfRule>
    <cfRule type="cellIs" priority="2339" operator="equal" dxfId="48">
      <formula>"NH12"</formula>
    </cfRule>
    <cfRule type="cellIs" priority="2340" operator="equal" dxfId="48">
      <formula>"Nh11"</formula>
    </cfRule>
    <cfRule type="containsText" priority="2341" operator="containsText" dxfId="38" stopIfTrue="1" text="TIL">
      <formula>NOT(ISERROR(SEARCH("TIL",Z19)))</formula>
    </cfRule>
    <cfRule type="containsText" priority="2342" operator="containsText" dxfId="39" stopIfTrue="1" text="疫苗">
      <formula>NOT(ISERROR(SEARCH("疫苗",Z19)))</formula>
    </cfRule>
    <cfRule type="containsText" priority="2343" operator="containsText" dxfId="0" stopIfTrue="1" text="勞假">
      <formula>NOT(ISERROR(SEARCH("勞假",Z19)))</formula>
    </cfRule>
    <cfRule type="containsText" priority="2344" operator="containsText" dxfId="36" stopIfTrue="1" text="補假">
      <formula>NOT(ISERROR(SEARCH("補假",Z19)))</formula>
    </cfRule>
    <cfRule type="containsText" priority="2345" operator="containsText" dxfId="35" stopIfTrue="1" text="例假">
      <formula>NOT(ISERROR(SEARCH("例假",Z19)))</formula>
    </cfRule>
    <cfRule type="containsText" priority="2346" operator="containsText" dxfId="4" stopIfTrue="1" text="病假">
      <formula>NOT(ISERROR(SEARCH("病假",Z19)))</formula>
    </cfRule>
    <cfRule type="containsText" priority="2347" operator="containsText" dxfId="34" stopIfTrue="1" text="大假">
      <formula>NOT(ISERROR(SEARCH("大假",Z19)))</formula>
    </cfRule>
    <cfRule type="containsText" priority="2348" operator="containsText" dxfId="37" stopIfTrue="1" text="無薪">
      <formula>NOT(ISERROR(SEARCH("無薪",Z19)))</formula>
    </cfRule>
    <cfRule type="containsText" priority="2349" operator="containsText" dxfId="38" stopIfTrue="1" text="TIL">
      <formula>NOT(ISERROR(SEARCH("TIL",Z19)))</formula>
    </cfRule>
    <cfRule type="containsText" priority="2350" operator="containsText" dxfId="39" stopIfTrue="1" text="疫苗">
      <formula>NOT(ISERROR(SEARCH("疫苗",Z19)))</formula>
    </cfRule>
    <cfRule type="containsText" priority="2351" operator="containsText" dxfId="0" stopIfTrue="1" text="勞假">
      <formula>NOT(ISERROR(SEARCH("勞假",Z19)))</formula>
    </cfRule>
    <cfRule type="containsText" priority="2352" operator="containsText" dxfId="36" stopIfTrue="1" text="補假">
      <formula>NOT(ISERROR(SEARCH("補假",Z19)))</formula>
    </cfRule>
    <cfRule type="containsText" priority="2353" operator="containsText" dxfId="35" stopIfTrue="1" text="例假">
      <formula>NOT(ISERROR(SEARCH("例假",Z19)))</formula>
    </cfRule>
    <cfRule type="containsText" priority="2354" operator="containsText" dxfId="4" stopIfTrue="1" text="病假">
      <formula>NOT(ISERROR(SEARCH("病假",Z19)))</formula>
    </cfRule>
    <cfRule type="containsText" priority="2355" operator="containsText" dxfId="34" stopIfTrue="1" text="大假">
      <formula>NOT(ISERROR(SEARCH("大假",Z19)))</formula>
    </cfRule>
    <cfRule type="containsText" priority="2356" operator="containsText" dxfId="37" stopIfTrue="1" text="無薪">
      <formula>NOT(ISERROR(SEARCH("無薪",Z19)))</formula>
    </cfRule>
    <cfRule type="containsText" priority="2357" operator="containsText" dxfId="39" stopIfTrue="1" text="疫苗">
      <formula>NOT(ISERROR(SEARCH("疫苗",Z19)))</formula>
    </cfRule>
    <cfRule type="containsText" priority="2358" operator="containsText" dxfId="0" stopIfTrue="1" text="勞假">
      <formula>NOT(ISERROR(SEARCH("勞假",Z19)))</formula>
    </cfRule>
    <cfRule type="containsText" priority="2359" operator="containsText" dxfId="36" stopIfTrue="1" text="補假">
      <formula>NOT(ISERROR(SEARCH("補假",Z19)))</formula>
    </cfRule>
    <cfRule type="containsText" priority="2360" operator="containsText" dxfId="35" stopIfTrue="1" text="例假">
      <formula>NOT(ISERROR(SEARCH("例假",Z19)))</formula>
    </cfRule>
    <cfRule type="containsText" priority="2361" operator="containsText" dxfId="4" stopIfTrue="1" text="病假">
      <formula>NOT(ISERROR(SEARCH("病假",Z19)))</formula>
    </cfRule>
    <cfRule type="containsText" priority="2362" operator="containsText" dxfId="34" stopIfTrue="1" text="大假">
      <formula>NOT(ISERROR(SEARCH("大假",Z19)))</formula>
    </cfRule>
    <cfRule type="containsText" priority="2363" operator="containsText" dxfId="37" stopIfTrue="1" text="無薪">
      <formula>NOT(ISERROR(SEARCH("無薪",Z19)))</formula>
    </cfRule>
    <cfRule type="containsText" priority="2364" operator="containsText" dxfId="38" stopIfTrue="1" text="TIL">
      <formula>NOT(ISERROR(SEARCH("TIL",Z19)))</formula>
    </cfRule>
    <cfRule type="containsText" priority="2365" operator="containsText" dxfId="39" stopIfTrue="1" text="疫苗">
      <formula>NOT(ISERROR(SEARCH("疫苗",Z19)))</formula>
    </cfRule>
    <cfRule type="containsText" priority="2366" operator="containsText" dxfId="0" stopIfTrue="1" text="勞假">
      <formula>NOT(ISERROR(SEARCH("勞假",Z19)))</formula>
    </cfRule>
    <cfRule type="containsText" priority="2367" operator="containsText" dxfId="36" stopIfTrue="1" text="補假">
      <formula>NOT(ISERROR(SEARCH("補假",Z19)))</formula>
    </cfRule>
    <cfRule type="containsText" priority="2368" operator="containsText" dxfId="35" stopIfTrue="1" text="例假">
      <formula>NOT(ISERROR(SEARCH("例假",Z19)))</formula>
    </cfRule>
    <cfRule type="containsText" priority="2369" operator="containsText" dxfId="4" stopIfTrue="1" text="病假">
      <formula>NOT(ISERROR(SEARCH("病假",Z19)))</formula>
    </cfRule>
    <cfRule type="containsText" priority="2370" operator="containsText" dxfId="34" stopIfTrue="1" text="大假">
      <formula>NOT(ISERROR(SEARCH("大假",Z19)))</formula>
    </cfRule>
    <cfRule type="containsText" priority="2371" operator="containsText" dxfId="37" stopIfTrue="1" text="無薪">
      <formula>NOT(ISERROR(SEARCH("無薪",Z19)))</formula>
    </cfRule>
    <cfRule type="containsText" priority="2372" operator="containsText" dxfId="38" stopIfTrue="1" text="TIL">
      <formula>NOT(ISERROR(SEARCH("TIL",Z19)))</formula>
    </cfRule>
    <cfRule type="containsText" priority="2373" operator="containsText" dxfId="39" stopIfTrue="1" text="疫苗">
      <formula>NOT(ISERROR(SEARCH("疫苗",Z19)))</formula>
    </cfRule>
    <cfRule type="containsText" priority="2374" operator="containsText" dxfId="0" stopIfTrue="1" text="勞假">
      <formula>NOT(ISERROR(SEARCH("勞假",Z19)))</formula>
    </cfRule>
    <cfRule type="containsText" priority="2375" operator="containsText" dxfId="36" stopIfTrue="1" text="補假">
      <formula>NOT(ISERROR(SEARCH("補假",Z19)))</formula>
    </cfRule>
    <cfRule type="containsText" priority="2376" operator="containsText" dxfId="35" stopIfTrue="1" text="例假">
      <formula>NOT(ISERROR(SEARCH("例假",Z19)))</formula>
    </cfRule>
    <cfRule type="containsText" priority="2377" operator="containsText" dxfId="4" stopIfTrue="1" text="病假">
      <formula>NOT(ISERROR(SEARCH("病假",Z19)))</formula>
    </cfRule>
    <cfRule type="containsText" priority="2378" operator="containsText" dxfId="34" stopIfTrue="1" text="大假">
      <formula>NOT(ISERROR(SEARCH("大假",Z19)))</formula>
    </cfRule>
    <cfRule type="containsText" priority="2379" operator="containsText" dxfId="38" stopIfTrue="1" text="TIL">
      <formula>NOT(ISERROR(SEARCH("TIL",Z19)))</formula>
    </cfRule>
    <cfRule type="cellIs" priority="2380" operator="equal" dxfId="4" stopIfTrue="1">
      <formula>"NP"</formula>
    </cfRule>
    <cfRule type="cellIs" priority="2381" operator="equal" dxfId="25" stopIfTrue="1">
      <formula>"RD"</formula>
    </cfRule>
    <cfRule type="containsText" priority="2382" operator="containsText" dxfId="38" stopIfTrue="1" text="TIL">
      <formula>NOT(ISERROR(SEARCH("TIL",Z19)))</formula>
    </cfRule>
    <cfRule type="containsText" priority="2383" operator="containsText" dxfId="39" stopIfTrue="1" text="疫苗">
      <formula>NOT(ISERROR(SEARCH("疫苗",Z19)))</formula>
    </cfRule>
    <cfRule type="containsText" priority="2384" operator="containsText" dxfId="0" stopIfTrue="1" text="勞假">
      <formula>NOT(ISERROR(SEARCH("勞假",Z19)))</formula>
    </cfRule>
    <cfRule type="containsText" priority="2385" operator="containsText" dxfId="36" stopIfTrue="1" text="補假">
      <formula>NOT(ISERROR(SEARCH("補假",Z19)))</formula>
    </cfRule>
    <cfRule type="containsText" priority="2386" operator="containsText" dxfId="35" stopIfTrue="1" text="例假">
      <formula>NOT(ISERROR(SEARCH("例假",Z19)))</formula>
    </cfRule>
    <cfRule type="containsText" priority="2387" operator="containsText" dxfId="4" stopIfTrue="1" text="病假">
      <formula>NOT(ISERROR(SEARCH("病假",Z19)))</formula>
    </cfRule>
    <cfRule type="containsText" priority="2388" operator="containsText" dxfId="34" stopIfTrue="1" text="大假">
      <formula>NOT(ISERROR(SEARCH("大假",Z19)))</formula>
    </cfRule>
    <cfRule type="containsText" priority="2389" operator="containsText" dxfId="38" stopIfTrue="1" text="TIL">
      <formula>NOT(ISERROR(SEARCH("TIL",Z19)))</formula>
    </cfRule>
    <cfRule type="containsText" priority="2390" operator="containsText" dxfId="39" stopIfTrue="1" text="疫苗">
      <formula>NOT(ISERROR(SEARCH("疫苗",Z19)))</formula>
    </cfRule>
    <cfRule type="containsText" priority="2391" operator="containsText" dxfId="0" stopIfTrue="1" text="勞假">
      <formula>NOT(ISERROR(SEARCH("勞假",Z19)))</formula>
    </cfRule>
    <cfRule type="containsText" priority="2392" operator="containsText" dxfId="36" stopIfTrue="1" text="補假">
      <formula>NOT(ISERROR(SEARCH("補假",Z19)))</formula>
    </cfRule>
    <cfRule type="containsText" priority="2393" operator="containsText" dxfId="35" stopIfTrue="1" text="例假">
      <formula>NOT(ISERROR(SEARCH("例假",Z19)))</formula>
    </cfRule>
    <cfRule type="containsText" priority="2394" operator="containsText" dxfId="4" stopIfTrue="1" text="病假">
      <formula>NOT(ISERROR(SEARCH("病假",Z19)))</formula>
    </cfRule>
    <cfRule type="containsText" priority="2395" operator="containsText" dxfId="34" stopIfTrue="1" text="大假">
      <formula>NOT(ISERROR(SEARCH("大假",Z19)))</formula>
    </cfRule>
    <cfRule type="containsText" priority="2396" operator="containsText" dxfId="37" stopIfTrue="1" text="無薪">
      <formula>NOT(ISERROR(SEARCH("無薪",Z19)))</formula>
    </cfRule>
    <cfRule type="containsText" priority="2397" operator="containsText" dxfId="39" stopIfTrue="1" text="疫苗">
      <formula>NOT(ISERROR(SEARCH("疫苗",Z19)))</formula>
    </cfRule>
    <cfRule type="containsText" priority="2398" operator="containsText" dxfId="0" stopIfTrue="1" text="勞假">
      <formula>NOT(ISERROR(SEARCH("勞假",Z19)))</formula>
    </cfRule>
    <cfRule type="containsText" priority="2399" operator="containsText" dxfId="36" stopIfTrue="1" text="補假">
      <formula>NOT(ISERROR(SEARCH("補假",Z19)))</formula>
    </cfRule>
    <cfRule type="containsText" priority="2400" operator="containsText" dxfId="35" stopIfTrue="1" text="例假">
      <formula>NOT(ISERROR(SEARCH("例假",Z19)))</formula>
    </cfRule>
    <cfRule type="containsText" priority="2401" operator="containsText" dxfId="4" stopIfTrue="1" text="病假">
      <formula>NOT(ISERROR(SEARCH("病假",Z19)))</formula>
    </cfRule>
    <cfRule type="containsText" priority="2402" operator="containsText" dxfId="34" stopIfTrue="1" text="大假">
      <formula>NOT(ISERROR(SEARCH("大假",Z19)))</formula>
    </cfRule>
    <cfRule type="containsText" priority="2403" operator="containsText" dxfId="37" stopIfTrue="1" text="無薪">
      <formula>NOT(ISERROR(SEARCH("無薪",Z19)))</formula>
    </cfRule>
    <cfRule type="containsText" priority="2404" operator="containsText" dxfId="38" stopIfTrue="1" text="TIL">
      <formula>NOT(ISERROR(SEARCH("TIL",Z19)))</formula>
    </cfRule>
    <cfRule type="containsText" priority="2405" operator="containsText" dxfId="39" stopIfTrue="1" text="疫苗">
      <formula>NOT(ISERROR(SEARCH("疫苗",Z19)))</formula>
    </cfRule>
    <cfRule type="containsText" priority="2406" operator="containsText" dxfId="0" stopIfTrue="1" text="勞假">
      <formula>NOT(ISERROR(SEARCH("勞假",Z19)))</formula>
    </cfRule>
    <cfRule type="containsText" priority="2407" operator="containsText" dxfId="36" stopIfTrue="1" text="補假">
      <formula>NOT(ISERROR(SEARCH("補假",Z19)))</formula>
    </cfRule>
    <cfRule type="containsText" priority="2408" operator="containsText" dxfId="35" stopIfTrue="1" text="例假">
      <formula>NOT(ISERROR(SEARCH("例假",Z19)))</formula>
    </cfRule>
    <cfRule type="containsText" priority="2409" operator="containsText" dxfId="4" stopIfTrue="1" text="病假">
      <formula>NOT(ISERROR(SEARCH("病假",Z19)))</formula>
    </cfRule>
    <cfRule type="containsText" priority="2410" operator="containsText" dxfId="34" stopIfTrue="1" text="大假">
      <formula>NOT(ISERROR(SEARCH("大假",Z19)))</formula>
    </cfRule>
    <cfRule type="containsText" priority="2411" operator="containsText" dxfId="37" stopIfTrue="1" text="無薪">
      <formula>NOT(ISERROR(SEARCH("無薪",Z19)))</formula>
    </cfRule>
    <cfRule type="containsText" priority="2412" operator="containsText" dxfId="38" stopIfTrue="1" text="TIL">
      <formula>NOT(ISERROR(SEARCH("TIL",Z19)))</formula>
    </cfRule>
    <cfRule type="containsText" priority="2413" operator="containsText" dxfId="39" stopIfTrue="1" text="疫苗">
      <formula>NOT(ISERROR(SEARCH("疫苗",Z19)))</formula>
    </cfRule>
    <cfRule type="containsText" priority="2414" operator="containsText" dxfId="0" stopIfTrue="1" text="勞假">
      <formula>NOT(ISERROR(SEARCH("勞假",Z19)))</formula>
    </cfRule>
    <cfRule type="containsText" priority="2415" operator="containsText" dxfId="36" stopIfTrue="1" text="補假">
      <formula>NOT(ISERROR(SEARCH("補假",Z19)))</formula>
    </cfRule>
    <cfRule type="containsText" priority="2416" operator="containsText" dxfId="35" stopIfTrue="1" text="例假">
      <formula>NOT(ISERROR(SEARCH("例假",Z19)))</formula>
    </cfRule>
    <cfRule type="containsText" priority="2417" operator="containsText" dxfId="4" stopIfTrue="1" text="病假">
      <formula>NOT(ISERROR(SEARCH("病假",Z19)))</formula>
    </cfRule>
    <cfRule type="containsText" priority="2418" operator="containsText" dxfId="34" stopIfTrue="1" text="大假">
      <formula>NOT(ISERROR(SEARCH("大假",Z19)))</formula>
    </cfRule>
    <cfRule type="containsText" priority="2419" operator="containsText" dxfId="37" stopIfTrue="1" text="無薪">
      <formula>NOT(ISERROR(SEARCH("無薪",Z19)))</formula>
    </cfRule>
    <cfRule type="cellIs" priority="2420" operator="equal" dxfId="24">
      <formula>"NC"</formula>
    </cfRule>
    <cfRule type="cellIs" priority="2421" operator="equal" dxfId="24">
      <formula>"nd"</formula>
    </cfRule>
    <cfRule type="cellIs" priority="2422" operator="equal" dxfId="24">
      <formula>0</formula>
    </cfRule>
    <cfRule type="cellIs" priority="2423" operator="equal" dxfId="23">
      <formula>"R"</formula>
    </cfRule>
    <cfRule type="cellIs" priority="2424" operator="equal" dxfId="48">
      <formula>"NH12"</formula>
    </cfRule>
    <cfRule type="cellIs" priority="2425" operator="equal" dxfId="48">
      <formula>"Nh11"</formula>
    </cfRule>
    <cfRule type="containsText" priority="2426" operator="containsText" dxfId="38" stopIfTrue="1" text="TIL">
      <formula>NOT(ISERROR(SEARCH("TIL",Z19)))</formula>
    </cfRule>
    <cfRule type="containsText" priority="2427" operator="containsText" dxfId="39" stopIfTrue="1" text="疫苗">
      <formula>NOT(ISERROR(SEARCH("疫苗",Z19)))</formula>
    </cfRule>
    <cfRule type="containsText" priority="2428" operator="containsText" dxfId="0" stopIfTrue="1" text="勞假">
      <formula>NOT(ISERROR(SEARCH("勞假",Z19)))</formula>
    </cfRule>
    <cfRule type="containsText" priority="2429" operator="containsText" dxfId="36" stopIfTrue="1" text="補假">
      <formula>NOT(ISERROR(SEARCH("補假",Z19)))</formula>
    </cfRule>
    <cfRule type="containsText" priority="2430" operator="containsText" dxfId="35" stopIfTrue="1" text="例假">
      <formula>NOT(ISERROR(SEARCH("例假",Z19)))</formula>
    </cfRule>
    <cfRule type="containsText" priority="2431" operator="containsText" dxfId="4" stopIfTrue="1" text="病假">
      <formula>NOT(ISERROR(SEARCH("病假",Z19)))</formula>
    </cfRule>
    <cfRule type="containsText" priority="2432" operator="containsText" dxfId="34" stopIfTrue="1" text="大假">
      <formula>NOT(ISERROR(SEARCH("大假",Z19)))</formula>
    </cfRule>
    <cfRule type="containsText" priority="2433" operator="containsText" dxfId="37" stopIfTrue="1" text="無薪">
      <formula>NOT(ISERROR(SEARCH("無薪",Z19)))</formula>
    </cfRule>
    <cfRule type="containsText" priority="2434" operator="containsText" dxfId="38" stopIfTrue="1" text="TIL">
      <formula>NOT(ISERROR(SEARCH("TIL",Z19)))</formula>
    </cfRule>
    <cfRule type="containsText" priority="2435" operator="containsText" dxfId="39" stopIfTrue="1" text="疫苗">
      <formula>NOT(ISERROR(SEARCH("疫苗",Z19)))</formula>
    </cfRule>
    <cfRule type="containsText" priority="2436" operator="containsText" dxfId="0" stopIfTrue="1" text="勞假">
      <formula>NOT(ISERROR(SEARCH("勞假",Z19)))</formula>
    </cfRule>
    <cfRule type="containsText" priority="2437" operator="containsText" dxfId="36" stopIfTrue="1" text="補假">
      <formula>NOT(ISERROR(SEARCH("補假",Z19)))</formula>
    </cfRule>
    <cfRule type="containsText" priority="2438" operator="containsText" dxfId="35" stopIfTrue="1" text="例假">
      <formula>NOT(ISERROR(SEARCH("例假",Z19)))</formula>
    </cfRule>
    <cfRule type="containsText" priority="2439" operator="containsText" dxfId="4" stopIfTrue="1" text="病假">
      <formula>NOT(ISERROR(SEARCH("病假",Z19)))</formula>
    </cfRule>
    <cfRule type="containsText" priority="2440" operator="containsText" dxfId="34" stopIfTrue="1" text="大假">
      <formula>NOT(ISERROR(SEARCH("大假",Z19)))</formula>
    </cfRule>
    <cfRule type="containsText" priority="2441" operator="containsText" dxfId="37" stopIfTrue="1" text="無薪">
      <formula>NOT(ISERROR(SEARCH("無薪",Z19)))</formula>
    </cfRule>
    <cfRule type="containsText" priority="2442" operator="containsText" dxfId="39" stopIfTrue="1" text="疫苗">
      <formula>NOT(ISERROR(SEARCH("疫苗",Z19)))</formula>
    </cfRule>
    <cfRule type="containsText" priority="2443" operator="containsText" dxfId="0" stopIfTrue="1" text="勞假">
      <formula>NOT(ISERROR(SEARCH("勞假",Z19)))</formula>
    </cfRule>
    <cfRule type="containsText" priority="2444" operator="containsText" dxfId="36" stopIfTrue="1" text="補假">
      <formula>NOT(ISERROR(SEARCH("補假",Z19)))</formula>
    </cfRule>
    <cfRule type="containsText" priority="2445" operator="containsText" dxfId="35" stopIfTrue="1" text="例假">
      <formula>NOT(ISERROR(SEARCH("例假",Z19)))</formula>
    </cfRule>
    <cfRule type="containsText" priority="2446" operator="containsText" dxfId="4" stopIfTrue="1" text="病假">
      <formula>NOT(ISERROR(SEARCH("病假",Z19)))</formula>
    </cfRule>
    <cfRule type="containsText" priority="2447" operator="containsText" dxfId="34" stopIfTrue="1" text="大假">
      <formula>NOT(ISERROR(SEARCH("大假",Z19)))</formula>
    </cfRule>
  </conditionalFormatting>
  <conditionalFormatting sqref="AA11:AB11">
    <cfRule type="cellIs" priority="2790" operator="equal" dxfId="405">
      <formula>"NSH"</formula>
    </cfRule>
    <cfRule type="cellIs" priority="2791" operator="equal" dxfId="61">
      <formula>"VO"</formula>
    </cfRule>
    <cfRule type="cellIs" priority="2792" operator="equal" dxfId="61">
      <formula>"CW"</formula>
    </cfRule>
    <cfRule type="cellIs" priority="2793" operator="equal" dxfId="61">
      <formula>"CF"</formula>
    </cfRule>
  </conditionalFormatting>
  <conditionalFormatting sqref="AB11">
    <cfRule type="cellIs" priority="1637" operator="equal" dxfId="61">
      <formula>"VO"</formula>
    </cfRule>
    <cfRule type="cellIs" priority="1638" operator="equal" dxfId="61">
      <formula>"CW"</formula>
    </cfRule>
    <cfRule type="cellIs" priority="1639" operator="equal" dxfId="61">
      <formula>"CF"</formula>
    </cfRule>
    <cfRule type="containsText" priority="1640" operator="containsText" dxfId="37" stopIfTrue="1" text="無薪">
      <formula>NOT(ISERROR(SEARCH("無薪",AB11)))</formula>
    </cfRule>
    <cfRule type="containsText" priority="1641" operator="containsText" dxfId="38" stopIfTrue="1" text="TIL">
      <formula>NOT(ISERROR(SEARCH("TIL",AB11)))</formula>
    </cfRule>
    <cfRule type="containsText" priority="1642" operator="containsText" dxfId="39" stopIfTrue="1" text="疫苗">
      <formula>NOT(ISERROR(SEARCH("疫苗",AB11)))</formula>
    </cfRule>
    <cfRule type="containsText" priority="1643" operator="containsText" dxfId="0" stopIfTrue="1" text="勞假">
      <formula>NOT(ISERROR(SEARCH("勞假",AB11)))</formula>
    </cfRule>
    <cfRule type="containsText" priority="1644" operator="containsText" dxfId="36" stopIfTrue="1" text="補假">
      <formula>NOT(ISERROR(SEARCH("補假",AB11)))</formula>
    </cfRule>
    <cfRule type="containsText" priority="1645" operator="containsText" dxfId="35" stopIfTrue="1" text="例假">
      <formula>NOT(ISERROR(SEARCH("例假",AB11)))</formula>
    </cfRule>
    <cfRule type="containsText" priority="1646" operator="containsText" dxfId="4" stopIfTrue="1" text="病假">
      <formula>NOT(ISERROR(SEARCH("病假",AB11)))</formula>
    </cfRule>
    <cfRule type="containsText" priority="1647" operator="containsText" dxfId="34" stopIfTrue="1" text="大假">
      <formula>NOT(ISERROR(SEARCH("大假",AB11)))</formula>
    </cfRule>
    <cfRule type="containsText" priority="1648" operator="containsText" dxfId="37" stopIfTrue="1" text="無薪">
      <formula>NOT(ISERROR(SEARCH("無薪",AB11)))</formula>
    </cfRule>
    <cfRule type="containsText" priority="1649" operator="containsText" dxfId="38" stopIfTrue="1" text="TIL">
      <formula>NOT(ISERROR(SEARCH("TIL",AB11)))</formula>
    </cfRule>
    <cfRule type="containsText" priority="1650" operator="containsText" dxfId="39" stopIfTrue="1" text="疫苗">
      <formula>NOT(ISERROR(SEARCH("疫苗",AB11)))</formula>
    </cfRule>
    <cfRule type="containsText" priority="1651" operator="containsText" dxfId="0" stopIfTrue="1" text="勞假">
      <formula>NOT(ISERROR(SEARCH("勞假",AB11)))</formula>
    </cfRule>
    <cfRule type="containsText" priority="1652" operator="containsText" dxfId="36" stopIfTrue="1" text="補假">
      <formula>NOT(ISERROR(SEARCH("補假",AB11)))</formula>
    </cfRule>
    <cfRule type="containsText" priority="1653" operator="containsText" dxfId="35" stopIfTrue="1" text="例假">
      <formula>NOT(ISERROR(SEARCH("例假",AB11)))</formula>
    </cfRule>
    <cfRule type="containsText" priority="1654" operator="containsText" dxfId="4" stopIfTrue="1" text="病假">
      <formula>NOT(ISERROR(SEARCH("病假",AB11)))</formula>
    </cfRule>
    <cfRule type="containsText" priority="1655" operator="containsText" dxfId="34" stopIfTrue="1" text="大假">
      <formula>NOT(ISERROR(SEARCH("大假",AB11)))</formula>
    </cfRule>
    <cfRule type="containsText" priority="1656" operator="containsText" dxfId="38" stopIfTrue="1" text="TIL">
      <formula>NOT(ISERROR(SEARCH("TIL",AB11)))</formula>
    </cfRule>
    <cfRule type="cellIs" priority="1657" operator="equal" dxfId="4" stopIfTrue="1">
      <formula>"NP"</formula>
    </cfRule>
    <cfRule type="cellIs" priority="1658" operator="equal" dxfId="25" stopIfTrue="1">
      <formula>"RD"</formula>
    </cfRule>
    <cfRule type="containsText" priority="1659" operator="containsText" dxfId="38" stopIfTrue="1" text="TIL">
      <formula>NOT(ISERROR(SEARCH("TIL",AB11)))</formula>
    </cfRule>
    <cfRule type="containsText" priority="1660" operator="containsText" dxfId="39" stopIfTrue="1" text="疫苗">
      <formula>NOT(ISERROR(SEARCH("疫苗",AB11)))</formula>
    </cfRule>
    <cfRule type="containsText" priority="1661" operator="containsText" dxfId="0" stopIfTrue="1" text="勞假">
      <formula>NOT(ISERROR(SEARCH("勞假",AB11)))</formula>
    </cfRule>
    <cfRule type="containsText" priority="1662" operator="containsText" dxfId="36" stopIfTrue="1" text="補假">
      <formula>NOT(ISERROR(SEARCH("補假",AB11)))</formula>
    </cfRule>
    <cfRule type="containsText" priority="1663" operator="containsText" dxfId="35" stopIfTrue="1" text="例假">
      <formula>NOT(ISERROR(SEARCH("例假",AB11)))</formula>
    </cfRule>
    <cfRule type="containsText" priority="1664" operator="containsText" dxfId="4" stopIfTrue="1" text="病假">
      <formula>NOT(ISERROR(SEARCH("病假",AB11)))</formula>
    </cfRule>
    <cfRule type="containsText" priority="1665" operator="containsText" dxfId="34" stopIfTrue="1" text="大假">
      <formula>NOT(ISERROR(SEARCH("大假",AB11)))</formula>
    </cfRule>
    <cfRule type="containsText" priority="1666" operator="containsText" dxfId="38" stopIfTrue="1" text="TIL">
      <formula>NOT(ISERROR(SEARCH("TIL",AB11)))</formula>
    </cfRule>
    <cfRule type="containsText" priority="1667" operator="containsText" dxfId="39" stopIfTrue="1" text="疫苗">
      <formula>NOT(ISERROR(SEARCH("疫苗",AB11)))</formula>
    </cfRule>
    <cfRule type="containsText" priority="1668" operator="containsText" dxfId="0" stopIfTrue="1" text="勞假">
      <formula>NOT(ISERROR(SEARCH("勞假",AB11)))</formula>
    </cfRule>
    <cfRule type="containsText" priority="1669" operator="containsText" dxfId="36" stopIfTrue="1" text="補假">
      <formula>NOT(ISERROR(SEARCH("補假",AB11)))</formula>
    </cfRule>
    <cfRule type="containsText" priority="1670" operator="containsText" dxfId="35" stopIfTrue="1" text="例假">
      <formula>NOT(ISERROR(SEARCH("例假",AB11)))</formula>
    </cfRule>
    <cfRule type="containsText" priority="1671" operator="containsText" dxfId="4" stopIfTrue="1" text="病假">
      <formula>NOT(ISERROR(SEARCH("病假",AB11)))</formula>
    </cfRule>
    <cfRule type="containsText" priority="1672" operator="containsText" dxfId="34" stopIfTrue="1" text="大假">
      <formula>NOT(ISERROR(SEARCH("大假",AB11)))</formula>
    </cfRule>
    <cfRule type="containsText" priority="1673" operator="containsText" dxfId="37" stopIfTrue="1" text="無薪">
      <formula>NOT(ISERROR(SEARCH("無薪",AB11)))</formula>
    </cfRule>
    <cfRule type="containsText" priority="1674" operator="containsText" dxfId="39" stopIfTrue="1" text="疫苗">
      <formula>NOT(ISERROR(SEARCH("疫苗",AB11)))</formula>
    </cfRule>
    <cfRule type="containsText" priority="1675" operator="containsText" dxfId="0" stopIfTrue="1" text="勞假">
      <formula>NOT(ISERROR(SEARCH("勞假",AB11)))</formula>
    </cfRule>
    <cfRule type="containsText" priority="1676" operator="containsText" dxfId="36" stopIfTrue="1" text="補假">
      <formula>NOT(ISERROR(SEARCH("補假",AB11)))</formula>
    </cfRule>
    <cfRule type="containsText" priority="1677" operator="containsText" dxfId="35" stopIfTrue="1" text="例假">
      <formula>NOT(ISERROR(SEARCH("例假",AB11)))</formula>
    </cfRule>
    <cfRule type="containsText" priority="1678" operator="containsText" dxfId="4" stopIfTrue="1" text="病假">
      <formula>NOT(ISERROR(SEARCH("病假",AB11)))</formula>
    </cfRule>
    <cfRule type="containsText" priority="1679" operator="containsText" dxfId="34" stopIfTrue="1" text="大假">
      <formula>NOT(ISERROR(SEARCH("大假",AB11)))</formula>
    </cfRule>
    <cfRule type="containsText" priority="1680" operator="containsText" dxfId="37" stopIfTrue="1" text="無薪">
      <formula>NOT(ISERROR(SEARCH("無薪",AB11)))</formula>
    </cfRule>
    <cfRule type="containsText" priority="1681" operator="containsText" dxfId="38" stopIfTrue="1" text="TIL">
      <formula>NOT(ISERROR(SEARCH("TIL",AB11)))</formula>
    </cfRule>
    <cfRule type="containsText" priority="1682" operator="containsText" dxfId="39" stopIfTrue="1" text="疫苗">
      <formula>NOT(ISERROR(SEARCH("疫苗",AB11)))</formula>
    </cfRule>
    <cfRule type="containsText" priority="1683" operator="containsText" dxfId="0" stopIfTrue="1" text="勞假">
      <formula>NOT(ISERROR(SEARCH("勞假",AB11)))</formula>
    </cfRule>
    <cfRule type="containsText" priority="1684" operator="containsText" dxfId="36" stopIfTrue="1" text="補假">
      <formula>NOT(ISERROR(SEARCH("補假",AB11)))</formula>
    </cfRule>
    <cfRule type="containsText" priority="1685" operator="containsText" dxfId="35" stopIfTrue="1" text="例假">
      <formula>NOT(ISERROR(SEARCH("例假",AB11)))</formula>
    </cfRule>
    <cfRule type="containsText" priority="1686" operator="containsText" dxfId="4" stopIfTrue="1" text="病假">
      <formula>NOT(ISERROR(SEARCH("病假",AB11)))</formula>
    </cfRule>
    <cfRule type="containsText" priority="1687" operator="containsText" dxfId="34" stopIfTrue="1" text="大假">
      <formula>NOT(ISERROR(SEARCH("大假",AB11)))</formula>
    </cfRule>
    <cfRule type="containsText" priority="1688" operator="containsText" dxfId="37" stopIfTrue="1" text="無薪">
      <formula>NOT(ISERROR(SEARCH("無薪",AB11)))</formula>
    </cfRule>
    <cfRule type="containsText" priority="1689" operator="containsText" dxfId="38" stopIfTrue="1" text="TIL">
      <formula>NOT(ISERROR(SEARCH("TIL",AB11)))</formula>
    </cfRule>
    <cfRule type="containsText" priority="1690" operator="containsText" dxfId="39" stopIfTrue="1" text="疫苗">
      <formula>NOT(ISERROR(SEARCH("疫苗",AB11)))</formula>
    </cfRule>
    <cfRule type="containsText" priority="1691" operator="containsText" dxfId="0" stopIfTrue="1" text="勞假">
      <formula>NOT(ISERROR(SEARCH("勞假",AB11)))</formula>
    </cfRule>
    <cfRule type="containsText" priority="1692" operator="containsText" dxfId="36" stopIfTrue="1" text="補假">
      <formula>NOT(ISERROR(SEARCH("補假",AB11)))</formula>
    </cfRule>
    <cfRule type="containsText" priority="1693" operator="containsText" dxfId="35" stopIfTrue="1" text="例假">
      <formula>NOT(ISERROR(SEARCH("例假",AB11)))</formula>
    </cfRule>
    <cfRule type="containsText" priority="1694" operator="containsText" dxfId="4" stopIfTrue="1" text="病假">
      <formula>NOT(ISERROR(SEARCH("病假",AB11)))</formula>
    </cfRule>
    <cfRule type="containsText" priority="1695" operator="containsText" dxfId="34" stopIfTrue="1" text="大假">
      <formula>NOT(ISERROR(SEARCH("大假",AB11)))</formula>
    </cfRule>
    <cfRule type="containsText" priority="1696" operator="containsText" dxfId="37" stopIfTrue="1" text="無薪">
      <formula>NOT(ISERROR(SEARCH("無薪",AB11)))</formula>
    </cfRule>
    <cfRule type="cellIs" priority="1697" operator="equal" dxfId="24">
      <formula>"NC"</formula>
    </cfRule>
    <cfRule type="cellIs" priority="1698" operator="equal" dxfId="24">
      <formula>"nd"</formula>
    </cfRule>
    <cfRule type="cellIs" priority="1699" operator="equal" dxfId="24">
      <formula>0</formula>
    </cfRule>
    <cfRule type="cellIs" priority="1700" operator="equal" dxfId="23">
      <formula>"R"</formula>
    </cfRule>
    <cfRule type="cellIs" priority="1701" operator="equal" dxfId="48">
      <formula>"NH12"</formula>
    </cfRule>
    <cfRule type="cellIs" priority="1702" operator="equal" dxfId="48">
      <formula>"Nh11"</formula>
    </cfRule>
    <cfRule type="containsText" priority="1703" operator="containsText" dxfId="38" stopIfTrue="1" text="TIL">
      <formula>NOT(ISERROR(SEARCH("TIL",AB11)))</formula>
    </cfRule>
    <cfRule type="containsText" priority="1704" operator="containsText" dxfId="39" stopIfTrue="1" text="疫苗">
      <formula>NOT(ISERROR(SEARCH("疫苗",AB11)))</formula>
    </cfRule>
    <cfRule type="containsText" priority="1705" operator="containsText" dxfId="0" stopIfTrue="1" text="勞假">
      <formula>NOT(ISERROR(SEARCH("勞假",AB11)))</formula>
    </cfRule>
    <cfRule type="containsText" priority="1706" operator="containsText" dxfId="36" stopIfTrue="1" text="補假">
      <formula>NOT(ISERROR(SEARCH("補假",AB11)))</formula>
    </cfRule>
    <cfRule type="containsText" priority="1707" operator="containsText" dxfId="35" stopIfTrue="1" text="例假">
      <formula>NOT(ISERROR(SEARCH("例假",AB11)))</formula>
    </cfRule>
    <cfRule type="containsText" priority="1708" operator="containsText" dxfId="4" stopIfTrue="1" text="病假">
      <formula>NOT(ISERROR(SEARCH("病假",AB11)))</formula>
    </cfRule>
    <cfRule type="containsText" priority="1709" operator="containsText" dxfId="34" stopIfTrue="1" text="大假">
      <formula>NOT(ISERROR(SEARCH("大假",AB11)))</formula>
    </cfRule>
    <cfRule type="containsText" priority="1710" operator="containsText" dxfId="37" stopIfTrue="1" text="無薪">
      <formula>NOT(ISERROR(SEARCH("無薪",AB11)))</formula>
    </cfRule>
    <cfRule type="containsText" priority="1711" operator="containsText" dxfId="38" stopIfTrue="1" text="TIL">
      <formula>NOT(ISERROR(SEARCH("TIL",AB11)))</formula>
    </cfRule>
    <cfRule type="containsText" priority="1712" operator="containsText" dxfId="39" stopIfTrue="1" text="疫苗">
      <formula>NOT(ISERROR(SEARCH("疫苗",AB11)))</formula>
    </cfRule>
    <cfRule type="containsText" priority="1713" operator="containsText" dxfId="0" stopIfTrue="1" text="勞假">
      <formula>NOT(ISERROR(SEARCH("勞假",AB11)))</formula>
    </cfRule>
    <cfRule type="containsText" priority="1714" operator="containsText" dxfId="36" stopIfTrue="1" text="補假">
      <formula>NOT(ISERROR(SEARCH("補假",AB11)))</formula>
    </cfRule>
    <cfRule type="containsText" priority="1715" operator="containsText" dxfId="35" stopIfTrue="1" text="例假">
      <formula>NOT(ISERROR(SEARCH("例假",AB11)))</formula>
    </cfRule>
    <cfRule type="containsText" priority="1716" operator="containsText" dxfId="4" stopIfTrue="1" text="病假">
      <formula>NOT(ISERROR(SEARCH("病假",AB11)))</formula>
    </cfRule>
    <cfRule type="containsText" priority="1717" operator="containsText" dxfId="34" stopIfTrue="1" text="大假">
      <formula>NOT(ISERROR(SEARCH("大假",AB11)))</formula>
    </cfRule>
    <cfRule type="containsText" priority="1718" operator="containsText" dxfId="37" stopIfTrue="1" text="無薪">
      <formula>NOT(ISERROR(SEARCH("無薪",AB11)))</formula>
    </cfRule>
    <cfRule type="containsText" priority="1719" operator="containsText" dxfId="39" stopIfTrue="1" text="疫苗">
      <formula>NOT(ISERROR(SEARCH("疫苗",AB11)))</formula>
    </cfRule>
    <cfRule type="containsText" priority="1720" operator="containsText" dxfId="0" stopIfTrue="1" text="勞假">
      <formula>NOT(ISERROR(SEARCH("勞假",AB11)))</formula>
    </cfRule>
    <cfRule type="containsText" priority="1721" operator="containsText" dxfId="36" stopIfTrue="1" text="補假">
      <formula>NOT(ISERROR(SEARCH("補假",AB11)))</formula>
    </cfRule>
    <cfRule type="containsText" priority="1722" operator="containsText" dxfId="35" stopIfTrue="1" text="例假">
      <formula>NOT(ISERROR(SEARCH("例假",AB11)))</formula>
    </cfRule>
    <cfRule type="containsText" priority="1723" operator="containsText" dxfId="4" stopIfTrue="1" text="病假">
      <formula>NOT(ISERROR(SEARCH("病假",AB11)))</formula>
    </cfRule>
    <cfRule type="containsText" priority="1724" operator="containsText" dxfId="34" stopIfTrue="1" text="大假">
      <formula>NOT(ISERROR(SEARCH("大假",AB11)))</formula>
    </cfRule>
  </conditionalFormatting>
  <conditionalFormatting sqref="G52:AC52 AC53">
    <cfRule type="cellIs" priority="5362" operator="equal" dxfId="21">
      <formula>"NC"</formula>
    </cfRule>
  </conditionalFormatting>
  <conditionalFormatting sqref="D10:AE10 AC11:AE11">
    <cfRule type="cellIs" priority="3998" operator="equal" dxfId="61">
      <formula>"VO"</formula>
    </cfRule>
    <cfRule type="cellIs" priority="3999" operator="equal" dxfId="61">
      <formula>"CW"</formula>
    </cfRule>
    <cfRule type="cellIs" priority="4000" operator="equal" dxfId="61">
      <formula>"CF"</formula>
    </cfRule>
  </conditionalFormatting>
  <conditionalFormatting sqref="V49">
    <cfRule type="cellIs" priority="6525" operator="equal" dxfId="48">
      <formula>"NH12"</formula>
    </cfRule>
  </conditionalFormatting>
  <conditionalFormatting sqref="AI36:AI37">
    <cfRule type="cellIs" priority="1276" operator="equal" dxfId="4" stopIfTrue="1">
      <formula>"NP"</formula>
    </cfRule>
    <cfRule type="cellIs" priority="1277" operator="equal" dxfId="25" stopIfTrue="1">
      <formula>"RD"</formula>
    </cfRule>
  </conditionalFormatting>
  <conditionalFormatting sqref="AI36:AI38">
    <cfRule type="cellIs" priority="1297" operator="equal" dxfId="24">
      <formula>"NC"</formula>
    </cfRule>
    <cfRule type="cellIs" priority="1298" operator="equal" dxfId="48">
      <formula>"NH11"</formula>
    </cfRule>
    <cfRule type="cellIs" priority="1301" operator="equal" dxfId="23">
      <formula>"R"</formula>
    </cfRule>
  </conditionalFormatting>
  <conditionalFormatting sqref="AI38">
    <cfRule type="cellIs" priority="1310" operator="equal" dxfId="4" stopIfTrue="1">
      <formula>"NP"</formula>
    </cfRule>
    <cfRule type="cellIs" priority="1311" operator="equal" dxfId="25" stopIfTrue="1">
      <formula>"RD"</formula>
    </cfRule>
  </conditionalFormatting>
  <conditionalFormatting sqref="AI45:AI46">
    <cfRule type="cellIs" priority="1192" operator="equal" dxfId="4" stopIfTrue="1">
      <formula>"NP"</formula>
    </cfRule>
    <cfRule type="cellIs" priority="1193" operator="equal" dxfId="25" stopIfTrue="1">
      <formula>"RD"</formula>
    </cfRule>
  </conditionalFormatting>
  <conditionalFormatting sqref="AI45:AI47">
    <cfRule type="cellIs" priority="1204" operator="equal" dxfId="24">
      <formula>"NC"</formula>
    </cfRule>
    <cfRule type="cellIs" priority="1205" operator="equal" dxfId="48">
      <formula>"NH11"</formula>
    </cfRule>
    <cfRule type="cellIs" priority="1208" operator="equal" dxfId="23">
      <formula>"R"</formula>
    </cfRule>
  </conditionalFormatting>
  <conditionalFormatting sqref="AI47">
    <cfRule type="cellIs" priority="1217" operator="equal" dxfId="4" stopIfTrue="1">
      <formula>"NP"</formula>
    </cfRule>
    <cfRule type="cellIs" priority="1218" operator="equal" dxfId="25" stopIfTrue="1">
      <formula>"RD"</formula>
    </cfRule>
  </conditionalFormatting>
  <conditionalFormatting sqref="AI12:AJ12 AI13:AI15 AL12:AM12">
    <cfRule type="cellIs" priority="8533" operator="equal" dxfId="4" stopIfTrue="1">
      <formula>"NP"</formula>
    </cfRule>
    <cfRule type="cellIs" priority="8534" operator="equal" dxfId="25" stopIfTrue="1">
      <formula>"RD"</formula>
    </cfRule>
  </conditionalFormatting>
  <conditionalFormatting sqref="D18:E34 D18:Q18 E19:H19 AI18:AJ34 AL18:AM34">
    <cfRule type="containsText" priority="8071" operator="containsText" dxfId="37" stopIfTrue="1" text="無薪">
      <formula>NOT(ISERROR(SEARCH("無薪",D18)))</formula>
    </cfRule>
  </conditionalFormatting>
  <conditionalFormatting sqref="AI18:AJ34 AL18:AM34">
    <cfRule type="containsText" priority="6172" operator="containsText" dxfId="39" stopIfTrue="1" text="疫苗">
      <formula>NOT(ISERROR(SEARCH("疫苗",AI18)))</formula>
    </cfRule>
    <cfRule type="containsText" priority="6186" operator="containsText" dxfId="38" stopIfTrue="1" text="TIL">
      <formula>NOT(ISERROR(SEARCH("TIL",AI18)))</formula>
    </cfRule>
    <cfRule type="containsText" priority="8712" operator="containsText" dxfId="36" stopIfTrue="1" text="補假">
      <formula>NOT(ISERROR(SEARCH("補假",AI18)))</formula>
    </cfRule>
    <cfRule type="containsText" priority="8713" operator="containsText" dxfId="35" stopIfTrue="1" text="例假">
      <formula>NOT(ISERROR(SEARCH("例假",AI18)))</formula>
    </cfRule>
    <cfRule type="containsText" priority="8715" operator="containsText" dxfId="34" stopIfTrue="1" text="大假">
      <formula>NOT(ISERROR(SEARCH("大假",AI18)))</formula>
    </cfRule>
  </conditionalFormatting>
  <conditionalFormatting sqref="AI41:AJ41 AL41:AM41">
    <cfRule type="containsText" priority="2773" operator="containsText" dxfId="39" stopIfTrue="1" text="疫苗">
      <formula>NOT(ISERROR(SEARCH("疫苗",AI41)))</formula>
    </cfRule>
    <cfRule type="containsText" priority="2774" operator="containsText" dxfId="38" stopIfTrue="1" text="TIL">
      <formula>NOT(ISERROR(SEARCH("TIL",AI41)))</formula>
    </cfRule>
    <cfRule type="containsText" priority="2776" operator="containsText" dxfId="37" stopIfTrue="1" text="無薪">
      <formula>NOT(ISERROR(SEARCH("無薪",AI41)))</formula>
    </cfRule>
    <cfRule type="containsText" priority="2778" operator="containsText" dxfId="36" stopIfTrue="1" text="補假">
      <formula>NOT(ISERROR(SEARCH("補假",AI41)))</formula>
    </cfRule>
    <cfRule type="containsText" priority="2779" operator="containsText" dxfId="35" stopIfTrue="1" text="例假">
      <formula>NOT(ISERROR(SEARCH("例假",AI41)))</formula>
    </cfRule>
    <cfRule type="containsText" priority="2780" operator="containsText" dxfId="34" stopIfTrue="1" text="大假">
      <formula>NOT(ISERROR(SEARCH("大假",AI41)))</formula>
    </cfRule>
  </conditionalFormatting>
  <conditionalFormatting sqref="AI10:AJ11 AL10:AN11 AO40:AR40 AO44:AR45">
    <cfRule type="cellIs" priority="3070" operator="equal" dxfId="25" stopIfTrue="1">
      <formula>"RD"</formula>
    </cfRule>
  </conditionalFormatting>
  <conditionalFormatting sqref="AI10:AJ11 AL10:AN11">
    <cfRule type="cellIs" priority="3069" operator="equal" dxfId="4" stopIfTrue="1">
      <formula>"NP"</formula>
    </cfRule>
    <cfRule type="cellIs" priority="4834" operator="equal" dxfId="21">
      <formula>"NC"</formula>
    </cfRule>
    <cfRule type="cellIs" priority="4835" operator="equal" dxfId="24">
      <formula>"NC"</formula>
    </cfRule>
    <cfRule type="cellIs" priority="4836" operator="equal" dxfId="23">
      <formula>"R"</formula>
    </cfRule>
  </conditionalFormatting>
  <conditionalFormatting sqref="B1:B2 B6:AE6 B12 B16:AE17 B39:AE40 B48:AE48 B53:AE55 D12:AE12 G5:AE5 J51:AE51 L50:AE50 AE52 AI5:AJ8 AI12:AJ12 AI13:AI15 AI16:AJ35 AI39:AJ44 AI48:AJ48 AI50:AJ55 AL5:AN6 AL12:AN12 AL16:AN35 AL39:AN44 AL48:AN48 AL50:AN55 AM7:AN8 AN13:AN15 AO1:XFD6 AO11:XFD17 AO44:XFD45 AO48:XFD55 BA7:XFD10 BA18:XFD34">
    <cfRule type="cellIs" priority="6569" operator="equal" dxfId="23">
      <formula>"R"</formula>
    </cfRule>
  </conditionalFormatting>
  <conditionalFormatting sqref="G52:I52 J51:AE51 K13 K36 L50:AE50 R13 R36 Y13 Y36 AC49 AE52:AE55">
    <cfRule type="cellIs" priority="8744" operator="equal" dxfId="25" stopIfTrue="1">
      <formula>"RD"</formula>
    </cfRule>
  </conditionalFormatting>
  <conditionalFormatting sqref="AC49 AE52:AE55">
    <cfRule type="cellIs" priority="8743" operator="equal" dxfId="4" stopIfTrue="1">
      <formula>"NP"</formula>
    </cfRule>
  </conditionalFormatting>
  <conditionalFormatting sqref="B41 AN41">
    <cfRule type="cellIs" priority="2775" operator="equal" dxfId="25" stopIfTrue="1">
      <formula>"RD"</formula>
    </cfRule>
  </conditionalFormatting>
  <conditionalFormatting sqref="AN41">
    <cfRule type="cellIs" priority="2770" operator="equal" dxfId="4" stopIfTrue="1">
      <formula>"NP"</formula>
    </cfRule>
    <cfRule type="cellIs" priority="2772" operator="equal" dxfId="21">
      <formula>"NC"</formula>
    </cfRule>
  </conditionalFormatting>
  <conditionalFormatting sqref="AO7:AP8">
    <cfRule type="cellIs" priority="1365" operator="equal" dxfId="25" stopIfTrue="1">
      <formula>"RD"</formula>
    </cfRule>
    <cfRule type="cellIs" priority="1366" operator="equal" dxfId="23">
      <formula>"R"</formula>
    </cfRule>
  </conditionalFormatting>
  <conditionalFormatting sqref="B1:B3 B16:AE17 B18:B34 B40:AE40 AI5:AJ8 AI16:AJ17 AI35:AJ35 AI40:AJ40 AI42:AJ44 AL5:AN6 AL16:AM17 AL35:AN35 AL40:AN40 AL42:AN44 AM7:AN8 AN12:AN34 AO1:AR6 AO11:AR17 AO35:HQ40">
    <cfRule type="cellIs" priority="3388" operator="equal" dxfId="4" stopIfTrue="1">
      <formula>"NP"</formula>
    </cfRule>
  </conditionalFormatting>
  <conditionalFormatting sqref="AO44:HQ47">
    <cfRule type="cellIs" priority="1221" operator="equal" dxfId="4" stopIfTrue="1">
      <formula>"NP"</formula>
    </cfRule>
  </conditionalFormatting>
  <conditionalFormatting sqref="B3 B4:C4 B5:D5 B6:AE6 B7:C11 B12:B15 B16:AE17 B36:B38 B39:AE40 B44:B47 B48:AE48 B53:AE1048576 D12:AE12 D13:D15 D36:D38 D45:D47 G5:AE5 J51:AE51 K47 L50:AE50 R47 Y47 AC49 AE52 AI5:AJ8 AI12:AJ12 AI13:AI15 AI16:AJ35 AI36:AI38 AI39:AJ44 AI45:AI47 AI48:AJ48 AI50:AJ1048576 AL5:AN6 AL12:AN12 AL16:AN35 AL39:AN44 AL48:AN48 AL50:AN1048576 AM7:AN8 AN13:AN15 AN36:AN38 AN45:AN47 AO1:XFD6 AO11:XFD17 AO44:XFD45 AO48:XFD1048576 BA7:XFD10 BA18:XFD34 BA41:XFD43">
    <cfRule type="cellIs" priority="7359" operator="equal" dxfId="21">
      <formula>"NC"</formula>
    </cfRule>
  </conditionalFormatting>
  <conditionalFormatting sqref="AO46:XFD47">
    <cfRule type="cellIs" priority="1225" operator="equal" dxfId="21">
      <formula>"NC"</formula>
    </cfRule>
  </conditionalFormatting>
  <conditionalFormatting sqref="AO46:XFD1048576">
    <cfRule type="cellIs" priority="1229" operator="equal" dxfId="24">
      <formula>"NC"</formula>
    </cfRule>
  </conditionalFormatting>
  <conditionalFormatting sqref="AQ10:AQ11">
    <cfRule type="cellIs" priority="1348" operator="equal" dxfId="23">
      <formula>"R"</formula>
    </cfRule>
    <cfRule type="cellIs" priority="1349" operator="equal" dxfId="48">
      <formula>"NH12"</formula>
    </cfRule>
    <cfRule type="cellIs" priority="1351" operator="equal" dxfId="48">
      <formula>"Nh11"</formula>
    </cfRule>
  </conditionalFormatting>
  <conditionalFormatting sqref="AQ18:AQ34">
    <cfRule type="cellIs" priority="1340" operator="equal" dxfId="23">
      <formula>"R"</formula>
    </cfRule>
    <cfRule type="cellIs" priority="1341" operator="equal" dxfId="48">
      <formula>"NH12"</formula>
    </cfRule>
    <cfRule type="cellIs" priority="1343" operator="equal" dxfId="48">
      <formula>"Nh11"</formula>
    </cfRule>
  </conditionalFormatting>
  <conditionalFormatting sqref="AQ41:AQ43">
    <cfRule type="cellIs" priority="1332" operator="equal" dxfId="23">
      <formula>"R"</formula>
    </cfRule>
    <cfRule type="cellIs" priority="1333" operator="equal" dxfId="48">
      <formula>"NH12"</formula>
    </cfRule>
    <cfRule type="cellIs" priority="1335" operator="equal" dxfId="48">
      <formula>"Nh11"</formula>
    </cfRule>
  </conditionalFormatting>
  <conditionalFormatting sqref="AQ10:AZ11">
    <cfRule type="cellIs" priority="1350" operator="equal" dxfId="4" stopIfTrue="1">
      <formula>"NP"</formula>
    </cfRule>
    <cfRule type="cellIs" priority="1352" operator="equal" dxfId="25" stopIfTrue="1">
      <formula>"RD"</formula>
    </cfRule>
  </conditionalFormatting>
  <conditionalFormatting sqref="AQ18:AZ34">
    <cfRule type="cellIs" priority="1342" operator="equal" dxfId="4" stopIfTrue="1">
      <formula>"NP"</formula>
    </cfRule>
    <cfRule type="cellIs" priority="1344" operator="equal" dxfId="25" stopIfTrue="1">
      <formula>"RD"</formula>
    </cfRule>
  </conditionalFormatting>
  <conditionalFormatting sqref="AQ41:AZ43">
    <cfRule type="cellIs" priority="1336" operator="equal" dxfId="25" stopIfTrue="1">
      <formula>"RD"</formula>
    </cfRule>
  </conditionalFormatting>
  <conditionalFormatting sqref="AQ41:HQ43">
    <cfRule type="cellIs" priority="1334" operator="equal" dxfId="4" stopIfTrue="1">
      <formula>"NP"</formula>
    </cfRule>
  </conditionalFormatting>
  <conditionalFormatting sqref="AR7:AU8 AR9:AS9 AU9">
    <cfRule type="cellIs" priority="1360" operator="equal" dxfId="21">
      <formula>"NC"</formula>
    </cfRule>
  </conditionalFormatting>
  <conditionalFormatting sqref="AR9:AS9 AU9:AZ9">
    <cfRule type="cellIs" priority="1356" operator="equal" dxfId="24">
      <formula>"NC"</formula>
    </cfRule>
  </conditionalFormatting>
  <conditionalFormatting sqref="AR7:AW8">
    <cfRule type="cellIs" priority="1363" operator="equal" dxfId="4" stopIfTrue="1">
      <formula>"NP"</formula>
    </cfRule>
    <cfRule type="cellIs" priority="1364" operator="equal" dxfId="25" stopIfTrue="1">
      <formula>"RD"</formula>
    </cfRule>
  </conditionalFormatting>
  <conditionalFormatting sqref="AR7:AZ8">
    <cfRule type="cellIs" priority="1361" operator="equal" dxfId="24">
      <formula>"NC"</formula>
    </cfRule>
  </conditionalFormatting>
  <conditionalFormatting sqref="AR10:AZ11">
    <cfRule type="cellIs" priority="1353" operator="equal" dxfId="21">
      <formula>"NC"</formula>
    </cfRule>
    <cfRule type="cellIs" priority="1354" operator="equal" dxfId="24">
      <formula>"NC"</formula>
    </cfRule>
    <cfRule type="cellIs" priority="1355" operator="equal" dxfId="23">
      <formula>"R"</formula>
    </cfRule>
  </conditionalFormatting>
  <conditionalFormatting sqref="AR18:AZ34">
    <cfRule type="cellIs" priority="1345" operator="equal" dxfId="21">
      <formula>"NC"</formula>
    </cfRule>
    <cfRule type="cellIs" priority="1347" operator="equal" dxfId="23">
      <formula>"R"</formula>
    </cfRule>
  </conditionalFormatting>
  <conditionalFormatting sqref="AR41:AZ43">
    <cfRule type="cellIs" priority="1337" operator="equal" dxfId="21">
      <formula>"NC"</formula>
    </cfRule>
  </conditionalFormatting>
  <conditionalFormatting sqref="AR18:XFD34">
    <cfRule type="cellIs" priority="1346" operator="equal" dxfId="24">
      <formula>"NC"</formula>
    </cfRule>
  </conditionalFormatting>
  <conditionalFormatting sqref="AR41:XFD43">
    <cfRule type="cellIs" priority="1338" operator="equal" dxfId="24">
      <formula>"NC"</formula>
    </cfRule>
    <cfRule type="cellIs" priority="1339" operator="equal" dxfId="23">
      <formula>"R"</formula>
    </cfRule>
  </conditionalFormatting>
  <conditionalFormatting sqref="AS1:HQ6 AS11:HQ17 BA7:HQ10 BA18:HQ20">
    <cfRule type="cellIs" priority="5107" operator="equal" dxfId="4" stopIfTrue="1">
      <formula>"NP"</formula>
    </cfRule>
  </conditionalFormatting>
  <conditionalFormatting sqref="AR7:AU8 AR9:AS9 AU9 AV7:AZ9">
    <cfRule type="cellIs" priority="1362" operator="equal" dxfId="23">
      <formula>"R"</formula>
    </cfRule>
  </conditionalFormatting>
  <conditionalFormatting sqref="AV7:AZ9">
    <cfRule type="cellIs" priority="1357" operator="equal" dxfId="21">
      <formula>"NC"</formula>
    </cfRule>
  </conditionalFormatting>
  <conditionalFormatting sqref="AR9:AS9 AU9:AW9 AX7:AZ9">
    <cfRule type="cellIs" priority="1359" operator="equal" dxfId="25" stopIfTrue="1">
      <formula>"RD"</formula>
    </cfRule>
    <cfRule type="cellIs" priority="1358" operator="equal" dxfId="4" stopIfTrue="1">
      <formula>"NP"</formula>
    </cfRule>
  </conditionalFormatting>
  <conditionalFormatting sqref="BA21:HQ21">
    <cfRule type="cellIs" priority="8531" operator="equal" dxfId="4" stopIfTrue="1">
      <formula>"NP"</formula>
    </cfRule>
    <cfRule type="cellIs" priority="8532" operator="equal" dxfId="25" stopIfTrue="1">
      <formula>"RD"</formula>
    </cfRule>
  </conditionalFormatting>
  <conditionalFormatting sqref="AF39:AH40 AF52:AF53 AH52">
    <cfRule type="cellIs" priority="1134" operator="equal" dxfId="48">
      <formula>"NP"</formula>
    </cfRule>
  </conditionalFormatting>
  <conditionalFormatting sqref="AF16:AH17 AF40:AH40">
    <cfRule type="cellIs" priority="1136" operator="equal" dxfId="25" stopIfTrue="1">
      <formula>"RD"</formula>
    </cfRule>
    <cfRule type="cellIs" priority="936" operator="equal" dxfId="4" stopIfTrue="1">
      <formula>"NP"</formula>
    </cfRule>
  </conditionalFormatting>
  <conditionalFormatting sqref="AF6:AH6 AF12:AH12 AF39:AH39 AF48:AH48">
    <cfRule type="cellIs" priority="1143" operator="equal" dxfId="25" stopIfTrue="1">
      <formula>"RD"</formula>
    </cfRule>
  </conditionalFormatting>
  <conditionalFormatting sqref="AF5:AH6 AF12:AH12 AF16:AH17 AF39:AH40 AF48:AH48 AF50:AH51 AF53:AH1048576 AH52">
    <cfRule type="cellIs" priority="1120" operator="equal" dxfId="24">
      <formula>"NC"</formula>
    </cfRule>
    <cfRule type="cellIs" priority="1147" operator="equal" dxfId="21">
      <formula>"NC"</formula>
    </cfRule>
  </conditionalFormatting>
  <conditionalFormatting sqref="AF56:AH1048576">
    <cfRule type="cellIs" priority="1128" operator="equal" dxfId="23">
      <formula>"R"</formula>
    </cfRule>
    <cfRule type="cellIs" priority="1129" operator="equal" dxfId="48">
      <formula>"NH11"</formula>
    </cfRule>
  </conditionalFormatting>
  <conditionalFormatting sqref="AF52">
    <cfRule type="cellIs" priority="1160" operator="equal" dxfId="48">
      <formula>"NH11"</formula>
    </cfRule>
    <cfRule type="cellIs" priority="1159" operator="equal" dxfId="23">
      <formula>"R"</formula>
    </cfRule>
  </conditionalFormatting>
  <conditionalFormatting sqref="AF20:AH20">
    <cfRule type="containsText" priority="1023" operator="containsText" dxfId="38" stopIfTrue="1" text="TIL">
      <formula>NOT(ISERROR(SEARCH("TIL",AF20)))</formula>
    </cfRule>
    <cfRule type="cellIs" priority="1082" operator="equal" dxfId="23">
      <formula>"R"</formula>
    </cfRule>
    <cfRule type="containsText" priority="1024" operator="containsText" dxfId="39" stopIfTrue="1" text="疫苗">
      <formula>NOT(ISERROR(SEARCH("疫苗",AF20)))</formula>
    </cfRule>
    <cfRule type="containsText" priority="1025" operator="containsText" dxfId="0" stopIfTrue="1" text="勞假">
      <formula>NOT(ISERROR(SEARCH("勞假",AF20)))</formula>
    </cfRule>
    <cfRule type="containsText" priority="1026" operator="containsText" dxfId="36" stopIfTrue="1" text="補假">
      <formula>NOT(ISERROR(SEARCH("補假",AF20)))</formula>
    </cfRule>
    <cfRule type="containsText" priority="1027" operator="containsText" dxfId="35" stopIfTrue="1" text="例假">
      <formula>NOT(ISERROR(SEARCH("例假",AF20)))</formula>
    </cfRule>
    <cfRule type="containsText" priority="1028" operator="containsText" dxfId="4" stopIfTrue="1" text="病假">
      <formula>NOT(ISERROR(SEARCH("病假",AF20)))</formula>
    </cfRule>
    <cfRule type="containsText" priority="1029" operator="containsText" dxfId="34" stopIfTrue="1" text="大假">
      <formula>NOT(ISERROR(SEARCH("大假",AF20)))</formula>
    </cfRule>
    <cfRule type="containsText" priority="1030" operator="containsText" dxfId="37" stopIfTrue="1" text="無薪">
      <formula>NOT(ISERROR(SEARCH("無薪",AF20)))</formula>
    </cfRule>
    <cfRule type="containsText" priority="1031" operator="containsText" dxfId="38" stopIfTrue="1" text="TIL">
      <formula>NOT(ISERROR(SEARCH("TIL",AF20)))</formula>
    </cfRule>
    <cfRule type="containsText" priority="1032" operator="containsText" dxfId="39" stopIfTrue="1" text="疫苗">
      <formula>NOT(ISERROR(SEARCH("疫苗",AF20)))</formula>
    </cfRule>
    <cfRule type="containsText" priority="1033" operator="containsText" dxfId="0" stopIfTrue="1" text="勞假">
      <formula>NOT(ISERROR(SEARCH("勞假",AF20)))</formula>
    </cfRule>
    <cfRule type="containsText" priority="1034" operator="containsText" dxfId="36" stopIfTrue="1" text="補假">
      <formula>NOT(ISERROR(SEARCH("補假",AF20)))</formula>
    </cfRule>
    <cfRule type="containsText" priority="1035" operator="containsText" dxfId="35" stopIfTrue="1" text="例假">
      <formula>NOT(ISERROR(SEARCH("例假",AF20)))</formula>
    </cfRule>
    <cfRule type="containsText" priority="1036" operator="containsText" dxfId="4" stopIfTrue="1" text="病假">
      <formula>NOT(ISERROR(SEARCH("病假",AF20)))</formula>
    </cfRule>
    <cfRule type="containsText" priority="1037" operator="containsText" dxfId="34" stopIfTrue="1" text="大假">
      <formula>NOT(ISERROR(SEARCH("大假",AF20)))</formula>
    </cfRule>
    <cfRule type="cellIs" priority="1039" operator="equal" dxfId="4" stopIfTrue="1">
      <formula>"NP"</formula>
    </cfRule>
    <cfRule type="cellIs" priority="1040" operator="equal" dxfId="25" stopIfTrue="1">
      <formula>"RD"</formula>
    </cfRule>
    <cfRule type="containsText" priority="1041" operator="containsText" dxfId="38" stopIfTrue="1" text="TIL">
      <formula>NOT(ISERROR(SEARCH("TIL",AF20)))</formula>
    </cfRule>
    <cfRule type="containsText" priority="1042" operator="containsText" dxfId="39" stopIfTrue="1" text="疫苗">
      <formula>NOT(ISERROR(SEARCH("疫苗",AF20)))</formula>
    </cfRule>
    <cfRule type="containsText" priority="1043" operator="containsText" dxfId="0" stopIfTrue="1" text="勞假">
      <formula>NOT(ISERROR(SEARCH("勞假",AF20)))</formula>
    </cfRule>
    <cfRule type="containsText" priority="1044" operator="containsText" dxfId="36" stopIfTrue="1" text="補假">
      <formula>NOT(ISERROR(SEARCH("補假",AF20)))</formula>
    </cfRule>
    <cfRule type="containsText" priority="1045" operator="containsText" dxfId="35" stopIfTrue="1" text="例假">
      <formula>NOT(ISERROR(SEARCH("例假",AF20)))</formula>
    </cfRule>
    <cfRule type="containsText" priority="1046" operator="containsText" dxfId="4" stopIfTrue="1" text="病假">
      <formula>NOT(ISERROR(SEARCH("病假",AF20)))</formula>
    </cfRule>
    <cfRule type="containsText" priority="1047" operator="containsText" dxfId="34" stopIfTrue="1" text="大假">
      <formula>NOT(ISERROR(SEARCH("大假",AF20)))</formula>
    </cfRule>
    <cfRule type="containsText" priority="1049" operator="containsText" dxfId="39" stopIfTrue="1" text="疫苗">
      <formula>NOT(ISERROR(SEARCH("疫苗",AF20)))</formula>
    </cfRule>
    <cfRule type="containsText" priority="1050" operator="containsText" dxfId="0" stopIfTrue="1" text="勞假">
      <formula>NOT(ISERROR(SEARCH("勞假",AF20)))</formula>
    </cfRule>
    <cfRule type="containsText" priority="1051" operator="containsText" dxfId="36" stopIfTrue="1" text="補假">
      <formula>NOT(ISERROR(SEARCH("補假",AF20)))</formula>
    </cfRule>
    <cfRule type="containsText" priority="1052" operator="containsText" dxfId="35" stopIfTrue="1" text="例假">
      <formula>NOT(ISERROR(SEARCH("例假",AF20)))</formula>
    </cfRule>
    <cfRule type="containsText" priority="1053" operator="containsText" dxfId="4" stopIfTrue="1" text="病假">
      <formula>NOT(ISERROR(SEARCH("病假",AF20)))</formula>
    </cfRule>
    <cfRule type="containsText" priority="1054" operator="containsText" dxfId="34" stopIfTrue="1" text="大假">
      <formula>NOT(ISERROR(SEARCH("大假",AF20)))</formula>
    </cfRule>
    <cfRule type="containsText" priority="1055" operator="containsText" dxfId="37" stopIfTrue="1" text="無薪">
      <formula>NOT(ISERROR(SEARCH("無薪",AF20)))</formula>
    </cfRule>
    <cfRule type="containsText" priority="1056" operator="containsText" dxfId="39" stopIfTrue="1" text="疫苗">
      <formula>NOT(ISERROR(SEARCH("疫苗",AF20)))</formula>
    </cfRule>
    <cfRule type="containsText" priority="1057" operator="containsText" dxfId="0" stopIfTrue="1" text="勞假">
      <formula>NOT(ISERROR(SEARCH("勞假",AF20)))</formula>
    </cfRule>
    <cfRule type="containsText" priority="1058" operator="containsText" dxfId="36" stopIfTrue="1" text="補假">
      <formula>NOT(ISERROR(SEARCH("補假",AF20)))</formula>
    </cfRule>
    <cfRule type="containsText" priority="1059" operator="containsText" dxfId="35" stopIfTrue="1" text="例假">
      <formula>NOT(ISERROR(SEARCH("例假",AF20)))</formula>
    </cfRule>
    <cfRule type="containsText" priority="1060" operator="containsText" dxfId="4" stopIfTrue="1" text="病假">
      <formula>NOT(ISERROR(SEARCH("病假",AF20)))</formula>
    </cfRule>
    <cfRule type="containsText" priority="1061" operator="containsText" dxfId="34" stopIfTrue="1" text="大假">
      <formula>NOT(ISERROR(SEARCH("大假",AF20)))</formula>
    </cfRule>
    <cfRule type="containsText" priority="1062" operator="containsText" dxfId="37" stopIfTrue="1" text="無薪">
      <formula>NOT(ISERROR(SEARCH("無薪",AF20)))</formula>
    </cfRule>
    <cfRule type="containsText" priority="1063" operator="containsText" dxfId="38" stopIfTrue="1" text="TIL">
      <formula>NOT(ISERROR(SEARCH("TIL",AF20)))</formula>
    </cfRule>
    <cfRule type="containsText" priority="1064" operator="containsText" dxfId="39" stopIfTrue="1" text="疫苗">
      <formula>NOT(ISERROR(SEARCH("疫苗",AF20)))</formula>
    </cfRule>
    <cfRule type="containsText" priority="1065" operator="containsText" dxfId="0" stopIfTrue="1" text="勞假">
      <formula>NOT(ISERROR(SEARCH("勞假",AF20)))</formula>
    </cfRule>
    <cfRule type="containsText" priority="1066" operator="containsText" dxfId="36" stopIfTrue="1" text="補假">
      <formula>NOT(ISERROR(SEARCH("補假",AF20)))</formula>
    </cfRule>
    <cfRule type="containsText" priority="1067" operator="containsText" dxfId="35" stopIfTrue="1" text="例假">
      <formula>NOT(ISERROR(SEARCH("例假",AF20)))</formula>
    </cfRule>
    <cfRule type="containsText" priority="1068" operator="containsText" dxfId="4" stopIfTrue="1" text="病假">
      <formula>NOT(ISERROR(SEARCH("病假",AF20)))</formula>
    </cfRule>
    <cfRule type="containsText" priority="1069" operator="containsText" dxfId="34" stopIfTrue="1" text="大假">
      <formula>NOT(ISERROR(SEARCH("大假",AF20)))</formula>
    </cfRule>
    <cfRule type="containsText" priority="1070" operator="containsText" dxfId="37" stopIfTrue="1" text="無薪">
      <formula>NOT(ISERROR(SEARCH("無薪",AF20)))</formula>
    </cfRule>
    <cfRule type="containsText" priority="1071" operator="containsText" dxfId="38" stopIfTrue="1" text="TIL">
      <formula>NOT(ISERROR(SEARCH("TIL",AF20)))</formula>
    </cfRule>
    <cfRule type="containsText" priority="1072" operator="containsText" dxfId="39" stopIfTrue="1" text="疫苗">
      <formula>NOT(ISERROR(SEARCH("疫苗",AF20)))</formula>
    </cfRule>
    <cfRule type="containsText" priority="1073" operator="containsText" dxfId="0" stopIfTrue="1" text="勞假">
      <formula>NOT(ISERROR(SEARCH("勞假",AF20)))</formula>
    </cfRule>
    <cfRule type="containsText" priority="1074" operator="containsText" dxfId="36" stopIfTrue="1" text="補假">
      <formula>NOT(ISERROR(SEARCH("補假",AF20)))</formula>
    </cfRule>
    <cfRule type="containsText" priority="1075" operator="containsText" dxfId="35" stopIfTrue="1" text="例假">
      <formula>NOT(ISERROR(SEARCH("例假",AF20)))</formula>
    </cfRule>
    <cfRule type="containsText" priority="1076" operator="containsText" dxfId="4" stopIfTrue="1" text="病假">
      <formula>NOT(ISERROR(SEARCH("病假",AF20)))</formula>
    </cfRule>
    <cfRule type="containsText" priority="1077" operator="containsText" dxfId="34" stopIfTrue="1" text="大假">
      <formula>NOT(ISERROR(SEARCH("大假",AF20)))</formula>
    </cfRule>
    <cfRule type="containsText" priority="1093" operator="containsText" dxfId="38" stopIfTrue="1" text="TIL">
      <formula>NOT(ISERROR(SEARCH("TIL",AF20)))</formula>
    </cfRule>
    <cfRule type="containsText" priority="1094" operator="containsText" dxfId="39" stopIfTrue="1" text="疫苗">
      <formula>NOT(ISERROR(SEARCH("疫苗",AF20)))</formula>
    </cfRule>
    <cfRule type="containsText" priority="1095" operator="containsText" dxfId="0" stopIfTrue="1" text="勞假">
      <formula>NOT(ISERROR(SEARCH("勞假",AF20)))</formula>
    </cfRule>
    <cfRule type="containsText" priority="1096" operator="containsText" dxfId="36" stopIfTrue="1" text="補假">
      <formula>NOT(ISERROR(SEARCH("補假",AF20)))</formula>
    </cfRule>
    <cfRule type="containsText" priority="1097" operator="containsText" dxfId="35" stopIfTrue="1" text="例假">
      <formula>NOT(ISERROR(SEARCH("例假",AF20)))</formula>
    </cfRule>
    <cfRule type="containsText" priority="1098" operator="containsText" dxfId="4" stopIfTrue="1" text="病假">
      <formula>NOT(ISERROR(SEARCH("病假",AF20)))</formula>
    </cfRule>
    <cfRule type="containsText" priority="1099" operator="containsText" dxfId="34" stopIfTrue="1" text="大假">
      <formula>NOT(ISERROR(SEARCH("大假",AF20)))</formula>
    </cfRule>
    <cfRule type="containsText" priority="1100" operator="containsText" dxfId="37" stopIfTrue="1" text="無薪">
      <formula>NOT(ISERROR(SEARCH("無薪",AF20)))</formula>
    </cfRule>
    <cfRule type="containsText" priority="1038" operator="containsText" dxfId="38" stopIfTrue="1" text="TIL">
      <formula>NOT(ISERROR(SEARCH("TIL",AF20)))</formula>
    </cfRule>
    <cfRule type="containsText" priority="1048" operator="containsText" dxfId="38" stopIfTrue="1" text="TIL">
      <formula>NOT(ISERROR(SEARCH("TIL",AF20)))</formula>
    </cfRule>
    <cfRule type="containsText" priority="1078" operator="containsText" dxfId="37" stopIfTrue="1" text="無薪">
      <formula>NOT(ISERROR(SEARCH("無薪",AF20)))</formula>
    </cfRule>
    <cfRule type="cellIs" priority="1079" operator="equal" dxfId="24">
      <formula>"NC"</formula>
    </cfRule>
    <cfRule type="cellIs" priority="1080" operator="equal" dxfId="24">
      <formula>"nd"</formula>
    </cfRule>
    <cfRule type="cellIs" priority="1081" operator="equal" dxfId="24">
      <formula>0</formula>
    </cfRule>
    <cfRule type="cellIs" priority="1083" operator="equal" dxfId="48">
      <formula>"NH12"</formula>
    </cfRule>
    <cfRule type="cellIs" priority="1084" operator="equal" dxfId="48">
      <formula>"Nh11"</formula>
    </cfRule>
    <cfRule type="containsText" priority="1085" operator="containsText" dxfId="38" stopIfTrue="1" text="TIL">
      <formula>NOT(ISERROR(SEARCH("TIL",AF20)))</formula>
    </cfRule>
    <cfRule type="containsText" priority="1086" operator="containsText" dxfId="39" stopIfTrue="1" text="疫苗">
      <formula>NOT(ISERROR(SEARCH("疫苗",AF20)))</formula>
    </cfRule>
    <cfRule type="containsText" priority="1087" operator="containsText" dxfId="0" stopIfTrue="1" text="勞假">
      <formula>NOT(ISERROR(SEARCH("勞假",AF20)))</formula>
    </cfRule>
    <cfRule type="containsText" priority="1088" operator="containsText" dxfId="36" stopIfTrue="1" text="補假">
      <formula>NOT(ISERROR(SEARCH("補假",AF20)))</formula>
    </cfRule>
    <cfRule type="containsText" priority="1089" operator="containsText" dxfId="35" stopIfTrue="1" text="例假">
      <formula>NOT(ISERROR(SEARCH("例假",AF20)))</formula>
    </cfRule>
    <cfRule type="containsText" priority="1090" operator="containsText" dxfId="4" stopIfTrue="1" text="病假">
      <formula>NOT(ISERROR(SEARCH("病假",AF20)))</formula>
    </cfRule>
    <cfRule type="containsText" priority="1091" operator="containsText" dxfId="34" stopIfTrue="1" text="大假">
      <formula>NOT(ISERROR(SEARCH("大假",AF20)))</formula>
    </cfRule>
    <cfRule type="containsText" priority="1092" operator="containsText" dxfId="37" stopIfTrue="1" text="無薪">
      <formula>NOT(ISERROR(SEARCH("無薪",AF20)))</formula>
    </cfRule>
    <cfRule type="containsText" priority="1101" operator="containsText" dxfId="39" stopIfTrue="1" text="疫苗">
      <formula>NOT(ISERROR(SEARCH("疫苗",AF20)))</formula>
    </cfRule>
    <cfRule type="containsText" priority="1102" operator="containsText" dxfId="0" stopIfTrue="1" text="勞假">
      <formula>NOT(ISERROR(SEARCH("勞假",AF20)))</formula>
    </cfRule>
    <cfRule type="containsText" priority="1103" operator="containsText" dxfId="36" stopIfTrue="1" text="補假">
      <formula>NOT(ISERROR(SEARCH("補假",AF20)))</formula>
    </cfRule>
    <cfRule type="containsText" priority="1104" operator="containsText" dxfId="35" stopIfTrue="1" text="例假">
      <formula>NOT(ISERROR(SEARCH("例假",AF20)))</formula>
    </cfRule>
    <cfRule type="containsText" priority="1105" operator="containsText" dxfId="4" stopIfTrue="1" text="病假">
      <formula>NOT(ISERROR(SEARCH("病假",AF20)))</formula>
    </cfRule>
    <cfRule type="containsText" priority="1106" operator="containsText" dxfId="34" stopIfTrue="1" text="大假">
      <formula>NOT(ISERROR(SEARCH("大假",AF20)))</formula>
    </cfRule>
    <cfRule type="containsText" priority="1022" operator="containsText" dxfId="37" stopIfTrue="1" text="無薪">
      <formula>NOT(ISERROR(SEARCH("無薪",AF20)))</formula>
    </cfRule>
  </conditionalFormatting>
  <conditionalFormatting sqref="AF11:AH11 AF18:AH34">
    <cfRule type="containsText" priority="1118" operator="containsText" dxfId="4" text="RD">
      <formula>NOT(ISERROR(SEARCH("RD",AF11)))</formula>
    </cfRule>
    <cfRule type="containsText" priority="1119" operator="containsText" dxfId="405" text="NP">
      <formula>NOT(ISERROR(SEARCH("NP",AF11)))</formula>
    </cfRule>
  </conditionalFormatting>
  <conditionalFormatting sqref="AF18:AH34">
    <cfRule type="cellIs" priority="672" operator="equal" dxfId="61">
      <formula>"VO"</formula>
    </cfRule>
    <cfRule type="cellIs" priority="673" operator="equal" dxfId="61">
      <formula>"CW"</formula>
    </cfRule>
    <cfRule type="cellIs" priority="674" operator="equal" dxfId="61">
      <formula>"CF"</formula>
    </cfRule>
  </conditionalFormatting>
  <conditionalFormatting sqref="AF7:AH9">
    <cfRule type="expression" priority="53" dxfId="852">
      <formula>LEFT(AF$8,1)="H"</formula>
    </cfRule>
    <cfRule type="expression" priority="54" dxfId="852">
      <formula>WEEKDAY(AF$7,2)&gt;6</formula>
    </cfRule>
    <cfRule type="expression" priority="55" dxfId="852">
      <formula>AF8="H"</formula>
    </cfRule>
  </conditionalFormatting>
  <conditionalFormatting sqref="AF10:AH11 AF18:AH34">
    <cfRule type="cellIs" priority="671" operator="equal" dxfId="405">
      <formula>"NSH"</formula>
    </cfRule>
  </conditionalFormatting>
  <conditionalFormatting sqref="AF12:AH12 AF39:AH39 AF48:AH48">
    <cfRule type="cellIs" priority="1142" operator="equal" dxfId="4" stopIfTrue="1">
      <formula>"NP"</formula>
    </cfRule>
  </conditionalFormatting>
  <conditionalFormatting sqref="AF12:AH12 AF16:AH17 AF35:AH35">
    <cfRule type="containsText" priority="1164" operator="containsText" dxfId="4" stopIfTrue="1" text="病假">
      <formula>NOT(ISERROR(SEARCH("病假",AF12)))</formula>
    </cfRule>
  </conditionalFormatting>
  <conditionalFormatting sqref="AF12:AH12 AF16:AH17">
    <cfRule type="cellIs" priority="1149" operator="equal" dxfId="1063">
      <formula>"CW"</formula>
    </cfRule>
    <cfRule type="cellIs" priority="1150" operator="equal" dxfId="24">
      <formula>"VO"</formula>
    </cfRule>
  </conditionalFormatting>
  <conditionalFormatting sqref="AF12:AH12">
    <cfRule type="cellIs" priority="1151" operator="equal" dxfId="48">
      <formula>"NP"</formula>
    </cfRule>
    <cfRule type="cellIs" priority="1152" operator="equal" dxfId="24">
      <formula>"MOU"</formula>
    </cfRule>
    <cfRule type="cellIs" priority="1153" operator="equal" dxfId="24">
      <formula>"VO, MOU, CW, CF"</formula>
    </cfRule>
  </conditionalFormatting>
  <conditionalFormatting sqref="AF12:AH12 AF16:AH17 AF35:AH35 AF39:AH40">
    <cfRule type="cellIs" priority="1138" operator="equal" dxfId="1058">
      <formula>"AL"</formula>
    </cfRule>
  </conditionalFormatting>
  <conditionalFormatting sqref="AF12:AH12 AF13 AF16:AH17 AF35:AH35 AF36 AF39:AH40">
    <cfRule type="cellIs" priority="1125" operator="equal" dxfId="863">
      <formula>"CF"</formula>
    </cfRule>
    <cfRule type="cellIs" priority="1126" operator="equal" dxfId="862">
      <formula>"CW"</formula>
    </cfRule>
  </conditionalFormatting>
  <conditionalFormatting sqref="AF12:AH12 AF13 AF16:AH17">
    <cfRule type="cellIs" priority="1122" operator="equal" dxfId="859">
      <formula>"SR"</formula>
    </cfRule>
  </conditionalFormatting>
  <conditionalFormatting sqref="AF12:AH12 AF13 AF16:AH17 AF35:AH35 AF36">
    <cfRule type="cellIs" priority="1133" operator="equal" dxfId="861">
      <formula>"CL"</formula>
    </cfRule>
    <cfRule type="cellIs" priority="1137" operator="equal" dxfId="860">
      <formula>"E"</formula>
    </cfRule>
  </conditionalFormatting>
  <conditionalFormatting sqref="AF16:AH17">
    <cfRule type="cellIs" priority="1144" operator="equal" dxfId="48">
      <formula>"NP"</formula>
    </cfRule>
    <cfRule type="cellIs" priority="1145" operator="equal" dxfId="24">
      <formula>"MOU"</formula>
    </cfRule>
    <cfRule type="cellIs" priority="1146" operator="equal" dxfId="24">
      <formula>"VO, MOU, CW, CF"</formula>
    </cfRule>
  </conditionalFormatting>
  <conditionalFormatting sqref="AF36">
    <cfRule type="cellIs" priority="51" operator="equal" dxfId="859">
      <formula>"SR"</formula>
    </cfRule>
  </conditionalFormatting>
  <conditionalFormatting sqref="AF39:AH40">
    <cfRule type="cellIs" priority="1123" operator="equal" dxfId="861">
      <formula>"CL"</formula>
    </cfRule>
    <cfRule type="cellIs" priority="1124" operator="equal" dxfId="860">
      <formula>"E"</formula>
    </cfRule>
    <cfRule type="cellIs" priority="1155" operator="equal" dxfId="24">
      <formula>"MOU"</formula>
    </cfRule>
    <cfRule type="cellIs" priority="1156" operator="equal" dxfId="24">
      <formula>"CW"</formula>
    </cfRule>
    <cfRule type="cellIs" priority="1157" operator="equal" dxfId="24">
      <formula>"VO"</formula>
    </cfRule>
    <cfRule type="cellIs" priority="1158" operator="equal" dxfId="24">
      <formula>"VO, MOU, CW, CF"</formula>
    </cfRule>
  </conditionalFormatting>
  <conditionalFormatting sqref="AF41:AH41">
    <cfRule type="cellIs" priority="663" operator="equal" dxfId="61">
      <formula>"VO"</formula>
    </cfRule>
    <cfRule type="cellIs" priority="664" operator="equal" dxfId="61">
      <formula>"CW"</formula>
    </cfRule>
    <cfRule type="cellIs" priority="665" operator="equal" dxfId="61">
      <formula>"CF"</formula>
    </cfRule>
    <cfRule type="cellIs" priority="662" operator="equal" dxfId="405">
      <formula>"NSH"</formula>
    </cfRule>
    <cfRule type="containsText" priority="666" operator="containsText" dxfId="4" text="RD">
      <formula>NOT(ISERROR(SEARCH("RD",AF41)))</formula>
    </cfRule>
    <cfRule type="containsText" priority="667" operator="containsText" dxfId="405" text="NP">
      <formula>NOT(ISERROR(SEARCH("NP",AF41)))</formula>
    </cfRule>
  </conditionalFormatting>
  <conditionalFormatting sqref="AF42:AH42">
    <cfRule type="cellIs" priority="142" operator="equal" dxfId="61">
      <formula>"VO"</formula>
    </cfRule>
    <cfRule type="cellIs" priority="143" operator="equal" dxfId="61">
      <formula>"CW"</formula>
    </cfRule>
    <cfRule type="cellIs" priority="144" operator="equal" dxfId="61">
      <formula>"CF"</formula>
    </cfRule>
    <cfRule type="containsText" priority="147" operator="containsText" dxfId="37" stopIfTrue="1" text="無薪">
      <formula>NOT(ISERROR(SEARCH("無薪",AF42)))</formula>
    </cfRule>
    <cfRule type="containsText" priority="148" operator="containsText" dxfId="38" stopIfTrue="1" text="TIL">
      <formula>NOT(ISERROR(SEARCH("TIL",AF42)))</formula>
    </cfRule>
    <cfRule type="containsText" priority="149" operator="containsText" dxfId="39" stopIfTrue="1" text="疫苗">
      <formula>NOT(ISERROR(SEARCH("疫苗",AF42)))</formula>
    </cfRule>
    <cfRule type="containsText" priority="150" operator="containsText" dxfId="0" stopIfTrue="1" text="勞假">
      <formula>NOT(ISERROR(SEARCH("勞假",AF42)))</formula>
    </cfRule>
    <cfRule type="containsText" priority="151" operator="containsText" dxfId="36" stopIfTrue="1" text="補假">
      <formula>NOT(ISERROR(SEARCH("補假",AF42)))</formula>
    </cfRule>
    <cfRule type="containsText" priority="152" operator="containsText" dxfId="35" stopIfTrue="1" text="例假">
      <formula>NOT(ISERROR(SEARCH("例假",AF42)))</formula>
    </cfRule>
    <cfRule type="containsText" priority="153" operator="containsText" dxfId="4" stopIfTrue="1" text="病假">
      <formula>NOT(ISERROR(SEARCH("病假",AF42)))</formula>
    </cfRule>
    <cfRule type="containsText" priority="154" operator="containsText" dxfId="34" stopIfTrue="1" text="大假">
      <formula>NOT(ISERROR(SEARCH("大假",AF42)))</formula>
    </cfRule>
    <cfRule type="containsText" priority="155" operator="containsText" dxfId="37" stopIfTrue="1" text="無薪">
      <formula>NOT(ISERROR(SEARCH("無薪",AF42)))</formula>
    </cfRule>
    <cfRule type="containsText" priority="156" operator="containsText" dxfId="38" stopIfTrue="1" text="TIL">
      <formula>NOT(ISERROR(SEARCH("TIL",AF42)))</formula>
    </cfRule>
    <cfRule type="containsText" priority="157" operator="containsText" dxfId="39" stopIfTrue="1" text="疫苗">
      <formula>NOT(ISERROR(SEARCH("疫苗",AF42)))</formula>
    </cfRule>
    <cfRule type="containsText" priority="158" operator="containsText" dxfId="0" stopIfTrue="1" text="勞假">
      <formula>NOT(ISERROR(SEARCH("勞假",AF42)))</formula>
    </cfRule>
    <cfRule type="containsText" priority="159" operator="containsText" dxfId="36" stopIfTrue="1" text="補假">
      <formula>NOT(ISERROR(SEARCH("補假",AF42)))</formula>
    </cfRule>
    <cfRule type="containsText" priority="160" operator="containsText" dxfId="35" stopIfTrue="1" text="例假">
      <formula>NOT(ISERROR(SEARCH("例假",AF42)))</formula>
    </cfRule>
    <cfRule type="containsText" priority="161" operator="containsText" dxfId="4" stopIfTrue="1" text="病假">
      <formula>NOT(ISERROR(SEARCH("病假",AF42)))</formula>
    </cfRule>
    <cfRule type="containsText" priority="162" operator="containsText" dxfId="34" stopIfTrue="1" text="大假">
      <formula>NOT(ISERROR(SEARCH("大假",AF42)))</formula>
    </cfRule>
    <cfRule type="containsText" priority="163" operator="containsText" dxfId="38" stopIfTrue="1" text="TIL">
      <formula>NOT(ISERROR(SEARCH("TIL",AF42)))</formula>
    </cfRule>
    <cfRule type="cellIs" priority="164" operator="equal" dxfId="4" stopIfTrue="1">
      <formula>"NP"</formula>
    </cfRule>
    <cfRule type="cellIs" priority="165" operator="equal" dxfId="25" stopIfTrue="1">
      <formula>"RD"</formula>
    </cfRule>
    <cfRule type="containsText" priority="166" operator="containsText" dxfId="38" stopIfTrue="1" text="TIL">
      <formula>NOT(ISERROR(SEARCH("TIL",AF42)))</formula>
    </cfRule>
    <cfRule type="containsText" priority="167" operator="containsText" dxfId="39" stopIfTrue="1" text="疫苗">
      <formula>NOT(ISERROR(SEARCH("疫苗",AF42)))</formula>
    </cfRule>
    <cfRule type="containsText" priority="168" operator="containsText" dxfId="0" stopIfTrue="1" text="勞假">
      <formula>NOT(ISERROR(SEARCH("勞假",AF42)))</formula>
    </cfRule>
    <cfRule type="containsText" priority="169" operator="containsText" dxfId="36" stopIfTrue="1" text="補假">
      <formula>NOT(ISERROR(SEARCH("補假",AF42)))</formula>
    </cfRule>
    <cfRule type="containsText" priority="170" operator="containsText" dxfId="35" stopIfTrue="1" text="例假">
      <formula>NOT(ISERROR(SEARCH("例假",AF42)))</formula>
    </cfRule>
    <cfRule type="containsText" priority="171" operator="containsText" dxfId="4" stopIfTrue="1" text="病假">
      <formula>NOT(ISERROR(SEARCH("病假",AF42)))</formula>
    </cfRule>
    <cfRule type="containsText" priority="172" operator="containsText" dxfId="34" stopIfTrue="1" text="大假">
      <formula>NOT(ISERROR(SEARCH("大假",AF42)))</formula>
    </cfRule>
    <cfRule type="containsText" priority="173" operator="containsText" dxfId="38" stopIfTrue="1" text="TIL">
      <formula>NOT(ISERROR(SEARCH("TIL",AF42)))</formula>
    </cfRule>
    <cfRule type="containsText" priority="174" operator="containsText" dxfId="39" stopIfTrue="1" text="疫苗">
      <formula>NOT(ISERROR(SEARCH("疫苗",AF42)))</formula>
    </cfRule>
    <cfRule type="containsText" priority="175" operator="containsText" dxfId="0" stopIfTrue="1" text="勞假">
      <formula>NOT(ISERROR(SEARCH("勞假",AF42)))</formula>
    </cfRule>
    <cfRule type="containsText" priority="176" operator="containsText" dxfId="36" stopIfTrue="1" text="補假">
      <formula>NOT(ISERROR(SEARCH("補假",AF42)))</formula>
    </cfRule>
    <cfRule type="containsText" priority="177" operator="containsText" dxfId="35" stopIfTrue="1" text="例假">
      <formula>NOT(ISERROR(SEARCH("例假",AF42)))</formula>
    </cfRule>
    <cfRule type="containsText" priority="178" operator="containsText" dxfId="4" stopIfTrue="1" text="病假">
      <formula>NOT(ISERROR(SEARCH("病假",AF42)))</formula>
    </cfRule>
    <cfRule type="containsText" priority="179" operator="containsText" dxfId="34" stopIfTrue="1" text="大假">
      <formula>NOT(ISERROR(SEARCH("大假",AF42)))</formula>
    </cfRule>
    <cfRule type="containsText" priority="180" operator="containsText" dxfId="37" stopIfTrue="1" text="無薪">
      <formula>NOT(ISERROR(SEARCH("無薪",AF42)))</formula>
    </cfRule>
    <cfRule type="containsText" priority="181" operator="containsText" dxfId="39" stopIfTrue="1" text="疫苗">
      <formula>NOT(ISERROR(SEARCH("疫苗",AF42)))</formula>
    </cfRule>
    <cfRule type="containsText" priority="182" operator="containsText" dxfId="0" stopIfTrue="1" text="勞假">
      <formula>NOT(ISERROR(SEARCH("勞假",AF42)))</formula>
    </cfRule>
    <cfRule type="containsText" priority="183" operator="containsText" dxfId="36" stopIfTrue="1" text="補假">
      <formula>NOT(ISERROR(SEARCH("補假",AF42)))</formula>
    </cfRule>
    <cfRule type="containsText" priority="184" operator="containsText" dxfId="35" stopIfTrue="1" text="例假">
      <formula>NOT(ISERROR(SEARCH("例假",AF42)))</formula>
    </cfRule>
    <cfRule type="containsText" priority="185" operator="containsText" dxfId="4" stopIfTrue="1" text="病假">
      <formula>NOT(ISERROR(SEARCH("病假",AF42)))</formula>
    </cfRule>
    <cfRule type="containsText" priority="186" operator="containsText" dxfId="34" stopIfTrue="1" text="大假">
      <formula>NOT(ISERROR(SEARCH("大假",AF42)))</formula>
    </cfRule>
    <cfRule type="containsText" priority="187" operator="containsText" dxfId="37" stopIfTrue="1" text="無薪">
      <formula>NOT(ISERROR(SEARCH("無薪",AF42)))</formula>
    </cfRule>
    <cfRule type="containsText" priority="188" operator="containsText" dxfId="38" stopIfTrue="1" text="TIL">
      <formula>NOT(ISERROR(SEARCH("TIL",AF42)))</formula>
    </cfRule>
    <cfRule type="containsText" priority="189" operator="containsText" dxfId="39" stopIfTrue="1" text="疫苗">
      <formula>NOT(ISERROR(SEARCH("疫苗",AF42)))</formula>
    </cfRule>
    <cfRule type="containsText" priority="190" operator="containsText" dxfId="0" stopIfTrue="1" text="勞假">
      <formula>NOT(ISERROR(SEARCH("勞假",AF42)))</formula>
    </cfRule>
    <cfRule type="containsText" priority="191" operator="containsText" dxfId="36" stopIfTrue="1" text="補假">
      <formula>NOT(ISERROR(SEARCH("補假",AF42)))</formula>
    </cfRule>
    <cfRule type="containsText" priority="192" operator="containsText" dxfId="35" stopIfTrue="1" text="例假">
      <formula>NOT(ISERROR(SEARCH("例假",AF42)))</formula>
    </cfRule>
    <cfRule type="containsText" priority="193" operator="containsText" dxfId="4" stopIfTrue="1" text="病假">
      <formula>NOT(ISERROR(SEARCH("病假",AF42)))</formula>
    </cfRule>
    <cfRule type="containsText" priority="194" operator="containsText" dxfId="34" stopIfTrue="1" text="大假">
      <formula>NOT(ISERROR(SEARCH("大假",AF42)))</formula>
    </cfRule>
    <cfRule type="containsText" priority="195" operator="containsText" dxfId="37" stopIfTrue="1" text="無薪">
      <formula>NOT(ISERROR(SEARCH("無薪",AF42)))</formula>
    </cfRule>
    <cfRule type="containsText" priority="196" operator="containsText" dxfId="38" stopIfTrue="1" text="TIL">
      <formula>NOT(ISERROR(SEARCH("TIL",AF42)))</formula>
    </cfRule>
    <cfRule type="containsText" priority="197" operator="containsText" dxfId="39" stopIfTrue="1" text="疫苗">
      <formula>NOT(ISERROR(SEARCH("疫苗",AF42)))</formula>
    </cfRule>
    <cfRule type="containsText" priority="198" operator="containsText" dxfId="0" stopIfTrue="1" text="勞假">
      <formula>NOT(ISERROR(SEARCH("勞假",AF42)))</formula>
    </cfRule>
    <cfRule type="containsText" priority="199" operator="containsText" dxfId="36" stopIfTrue="1" text="補假">
      <formula>NOT(ISERROR(SEARCH("補假",AF42)))</formula>
    </cfRule>
    <cfRule type="containsText" priority="200" operator="containsText" dxfId="35" stopIfTrue="1" text="例假">
      <formula>NOT(ISERROR(SEARCH("例假",AF42)))</formula>
    </cfRule>
    <cfRule type="containsText" priority="201" operator="containsText" dxfId="4" stopIfTrue="1" text="病假">
      <formula>NOT(ISERROR(SEARCH("病假",AF42)))</formula>
    </cfRule>
    <cfRule type="containsText" priority="202" operator="containsText" dxfId="34" stopIfTrue="1" text="大假">
      <formula>NOT(ISERROR(SEARCH("大假",AF42)))</formula>
    </cfRule>
    <cfRule type="containsText" priority="203" operator="containsText" dxfId="37" stopIfTrue="1" text="無薪">
      <formula>NOT(ISERROR(SEARCH("無薪",AF42)))</formula>
    </cfRule>
    <cfRule type="cellIs" priority="204" operator="equal" dxfId="24">
      <formula>"NC"</formula>
    </cfRule>
    <cfRule type="cellIs" priority="205" operator="equal" dxfId="24">
      <formula>"nd"</formula>
    </cfRule>
    <cfRule type="cellIs" priority="206" operator="equal" dxfId="24">
      <formula>0</formula>
    </cfRule>
    <cfRule type="cellIs" priority="207" operator="equal" dxfId="23">
      <formula>"R"</formula>
    </cfRule>
    <cfRule type="cellIs" priority="208" operator="equal" dxfId="48">
      <formula>"NH12"</formula>
    </cfRule>
    <cfRule type="cellIs" priority="209" operator="equal" dxfId="48">
      <formula>"Nh11"</formula>
    </cfRule>
    <cfRule type="containsText" priority="210" operator="containsText" dxfId="38" stopIfTrue="1" text="TIL">
      <formula>NOT(ISERROR(SEARCH("TIL",AF42)))</formula>
    </cfRule>
    <cfRule type="containsText" priority="211" operator="containsText" dxfId="39" stopIfTrue="1" text="疫苗">
      <formula>NOT(ISERROR(SEARCH("疫苗",AF42)))</formula>
    </cfRule>
    <cfRule type="containsText" priority="212" operator="containsText" dxfId="0" stopIfTrue="1" text="勞假">
      <formula>NOT(ISERROR(SEARCH("勞假",AF42)))</formula>
    </cfRule>
    <cfRule type="containsText" priority="213" operator="containsText" dxfId="36" stopIfTrue="1" text="補假">
      <formula>NOT(ISERROR(SEARCH("補假",AF42)))</formula>
    </cfRule>
    <cfRule type="containsText" priority="214" operator="containsText" dxfId="35" stopIfTrue="1" text="例假">
      <formula>NOT(ISERROR(SEARCH("例假",AF42)))</formula>
    </cfRule>
    <cfRule type="containsText" priority="215" operator="containsText" dxfId="4" stopIfTrue="1" text="病假">
      <formula>NOT(ISERROR(SEARCH("病假",AF42)))</formula>
    </cfRule>
    <cfRule type="containsText" priority="216" operator="containsText" dxfId="34" stopIfTrue="1" text="大假">
      <formula>NOT(ISERROR(SEARCH("大假",AF42)))</formula>
    </cfRule>
    <cfRule type="containsText" priority="217" operator="containsText" dxfId="37" stopIfTrue="1" text="無薪">
      <formula>NOT(ISERROR(SEARCH("無薪",AF42)))</formula>
    </cfRule>
    <cfRule type="containsText" priority="218" operator="containsText" dxfId="38" stopIfTrue="1" text="TIL">
      <formula>NOT(ISERROR(SEARCH("TIL",AF42)))</formula>
    </cfRule>
    <cfRule type="containsText" priority="219" operator="containsText" dxfId="39" stopIfTrue="1" text="疫苗">
      <formula>NOT(ISERROR(SEARCH("疫苗",AF42)))</formula>
    </cfRule>
    <cfRule type="containsText" priority="220" operator="containsText" dxfId="0" stopIfTrue="1" text="勞假">
      <formula>NOT(ISERROR(SEARCH("勞假",AF42)))</formula>
    </cfRule>
    <cfRule type="containsText" priority="221" operator="containsText" dxfId="36" stopIfTrue="1" text="補假">
      <formula>NOT(ISERROR(SEARCH("補假",AF42)))</formula>
    </cfRule>
    <cfRule type="containsText" priority="222" operator="containsText" dxfId="35" stopIfTrue="1" text="例假">
      <formula>NOT(ISERROR(SEARCH("例假",AF42)))</formula>
    </cfRule>
    <cfRule type="containsText" priority="223" operator="containsText" dxfId="4" stopIfTrue="1" text="病假">
      <formula>NOT(ISERROR(SEARCH("病假",AF42)))</formula>
    </cfRule>
    <cfRule type="containsText" priority="224" operator="containsText" dxfId="34" stopIfTrue="1" text="大假">
      <formula>NOT(ISERROR(SEARCH("大假",AF42)))</formula>
    </cfRule>
    <cfRule type="containsText" priority="225" operator="containsText" dxfId="37" stopIfTrue="1" text="無薪">
      <formula>NOT(ISERROR(SEARCH("無薪",AF42)))</formula>
    </cfRule>
    <cfRule type="containsText" priority="226" operator="containsText" dxfId="39" stopIfTrue="1" text="疫苗">
      <formula>NOT(ISERROR(SEARCH("疫苗",AF42)))</formula>
    </cfRule>
    <cfRule type="containsText" priority="227" operator="containsText" dxfId="0" stopIfTrue="1" text="勞假">
      <formula>NOT(ISERROR(SEARCH("勞假",AF42)))</formula>
    </cfRule>
    <cfRule type="containsText" priority="228" operator="containsText" dxfId="36" stopIfTrue="1" text="補假">
      <formula>NOT(ISERROR(SEARCH("補假",AF42)))</formula>
    </cfRule>
    <cfRule type="containsText" priority="229" operator="containsText" dxfId="35" stopIfTrue="1" text="例假">
      <formula>NOT(ISERROR(SEARCH("例假",AF42)))</formula>
    </cfRule>
    <cfRule type="containsText" priority="230" operator="containsText" dxfId="4" stopIfTrue="1" text="病假">
      <formula>NOT(ISERROR(SEARCH("病假",AF42)))</formula>
    </cfRule>
    <cfRule type="containsText" priority="231" operator="containsText" dxfId="34" stopIfTrue="1" text="大假">
      <formula>NOT(ISERROR(SEARCH("大假",AF42)))</formula>
    </cfRule>
    <cfRule type="containsText" priority="56" operator="containsText" dxfId="37" stopIfTrue="1" text="無薪">
      <formula>NOT(ISERROR(SEARCH("無薪",AF42)))</formula>
    </cfRule>
    <cfRule type="containsText" priority="57" operator="containsText" dxfId="38" stopIfTrue="1" text="TIL">
      <formula>NOT(ISERROR(SEARCH("TIL",AF42)))</formula>
    </cfRule>
    <cfRule type="containsText" priority="58" operator="containsText" dxfId="39" stopIfTrue="1" text="疫苗">
      <formula>NOT(ISERROR(SEARCH("疫苗",AF42)))</formula>
    </cfRule>
    <cfRule type="containsText" priority="59" operator="containsText" dxfId="0" stopIfTrue="1" text="勞假">
      <formula>NOT(ISERROR(SEARCH("勞假",AF42)))</formula>
    </cfRule>
    <cfRule type="containsText" priority="60" operator="containsText" dxfId="36" stopIfTrue="1" text="補假">
      <formula>NOT(ISERROR(SEARCH("補假",AF42)))</formula>
    </cfRule>
    <cfRule type="containsText" priority="61" operator="containsText" dxfId="35" stopIfTrue="1" text="例假">
      <formula>NOT(ISERROR(SEARCH("例假",AF42)))</formula>
    </cfRule>
    <cfRule type="containsText" priority="62" operator="containsText" dxfId="4" stopIfTrue="1" text="病假">
      <formula>NOT(ISERROR(SEARCH("病假",AF42)))</formula>
    </cfRule>
    <cfRule type="containsText" priority="63" operator="containsText" dxfId="34" stopIfTrue="1" text="大假">
      <formula>NOT(ISERROR(SEARCH("大假",AF42)))</formula>
    </cfRule>
    <cfRule type="containsText" priority="64" operator="containsText" dxfId="37" stopIfTrue="1" text="無薪">
      <formula>NOT(ISERROR(SEARCH("無薪",AF42)))</formula>
    </cfRule>
    <cfRule type="containsText" priority="65" operator="containsText" dxfId="38" stopIfTrue="1" text="TIL">
      <formula>NOT(ISERROR(SEARCH("TIL",AF42)))</formula>
    </cfRule>
    <cfRule type="containsText" priority="66" operator="containsText" dxfId="39" stopIfTrue="1" text="疫苗">
      <formula>NOT(ISERROR(SEARCH("疫苗",AF42)))</formula>
    </cfRule>
    <cfRule type="containsText" priority="67" operator="containsText" dxfId="0" stopIfTrue="1" text="勞假">
      <formula>NOT(ISERROR(SEARCH("勞假",AF42)))</formula>
    </cfRule>
    <cfRule type="containsText" priority="68" operator="containsText" dxfId="36" stopIfTrue="1" text="補假">
      <formula>NOT(ISERROR(SEARCH("補假",AF42)))</formula>
    </cfRule>
    <cfRule type="containsText" priority="69" operator="containsText" dxfId="35" stopIfTrue="1" text="例假">
      <formula>NOT(ISERROR(SEARCH("例假",AF42)))</formula>
    </cfRule>
    <cfRule type="containsText" priority="70" operator="containsText" dxfId="4" stopIfTrue="1" text="病假">
      <formula>NOT(ISERROR(SEARCH("病假",AF42)))</formula>
    </cfRule>
    <cfRule type="containsText" priority="71" operator="containsText" dxfId="34" stopIfTrue="1" text="大假">
      <formula>NOT(ISERROR(SEARCH("大假",AF42)))</formula>
    </cfRule>
    <cfRule type="containsText" priority="72" operator="containsText" dxfId="38" stopIfTrue="1" text="TIL">
      <formula>NOT(ISERROR(SEARCH("TIL",AF42)))</formula>
    </cfRule>
    <cfRule type="cellIs" priority="73" operator="equal" dxfId="4" stopIfTrue="1">
      <formula>"NP"</formula>
    </cfRule>
    <cfRule type="cellIs" priority="74" operator="equal" dxfId="25" stopIfTrue="1">
      <formula>"RD"</formula>
    </cfRule>
    <cfRule type="containsText" priority="75" operator="containsText" dxfId="38" stopIfTrue="1" text="TIL">
      <formula>NOT(ISERROR(SEARCH("TIL",AF42)))</formula>
    </cfRule>
    <cfRule type="containsText" priority="76" operator="containsText" dxfId="39" stopIfTrue="1" text="疫苗">
      <formula>NOT(ISERROR(SEARCH("疫苗",AF42)))</formula>
    </cfRule>
    <cfRule type="containsText" priority="77" operator="containsText" dxfId="0" stopIfTrue="1" text="勞假">
      <formula>NOT(ISERROR(SEARCH("勞假",AF42)))</formula>
    </cfRule>
    <cfRule type="containsText" priority="78" operator="containsText" dxfId="36" stopIfTrue="1" text="補假">
      <formula>NOT(ISERROR(SEARCH("補假",AF42)))</formula>
    </cfRule>
    <cfRule type="containsText" priority="79" operator="containsText" dxfId="35" stopIfTrue="1" text="例假">
      <formula>NOT(ISERROR(SEARCH("例假",AF42)))</formula>
    </cfRule>
    <cfRule type="containsText" priority="80" operator="containsText" dxfId="4" stopIfTrue="1" text="病假">
      <formula>NOT(ISERROR(SEARCH("病假",AF42)))</formula>
    </cfRule>
    <cfRule type="containsText" priority="81" operator="containsText" dxfId="34" stopIfTrue="1" text="大假">
      <formula>NOT(ISERROR(SEARCH("大假",AF42)))</formula>
    </cfRule>
    <cfRule type="containsText" priority="82" operator="containsText" dxfId="38" stopIfTrue="1" text="TIL">
      <formula>NOT(ISERROR(SEARCH("TIL",AF42)))</formula>
    </cfRule>
    <cfRule type="containsText" priority="83" operator="containsText" dxfId="39" stopIfTrue="1" text="疫苗">
      <formula>NOT(ISERROR(SEARCH("疫苗",AF42)))</formula>
    </cfRule>
    <cfRule type="containsText" priority="84" operator="containsText" dxfId="0" stopIfTrue="1" text="勞假">
      <formula>NOT(ISERROR(SEARCH("勞假",AF42)))</formula>
    </cfRule>
    <cfRule type="containsText" priority="85" operator="containsText" dxfId="36" stopIfTrue="1" text="補假">
      <formula>NOT(ISERROR(SEARCH("補假",AF42)))</formula>
    </cfRule>
    <cfRule type="containsText" priority="86" operator="containsText" dxfId="35" stopIfTrue="1" text="例假">
      <formula>NOT(ISERROR(SEARCH("例假",AF42)))</formula>
    </cfRule>
    <cfRule type="containsText" priority="87" operator="containsText" dxfId="4" stopIfTrue="1" text="病假">
      <formula>NOT(ISERROR(SEARCH("病假",AF42)))</formula>
    </cfRule>
    <cfRule type="containsText" priority="88" operator="containsText" dxfId="34" stopIfTrue="1" text="大假">
      <formula>NOT(ISERROR(SEARCH("大假",AF42)))</formula>
    </cfRule>
    <cfRule type="containsText" priority="89" operator="containsText" dxfId="37" stopIfTrue="1" text="無薪">
      <formula>NOT(ISERROR(SEARCH("無薪",AF42)))</formula>
    </cfRule>
    <cfRule type="containsText" priority="90" operator="containsText" dxfId="39" stopIfTrue="1" text="疫苗">
      <formula>NOT(ISERROR(SEARCH("疫苗",AF42)))</formula>
    </cfRule>
    <cfRule type="containsText" priority="91" operator="containsText" dxfId="0" stopIfTrue="1" text="勞假">
      <formula>NOT(ISERROR(SEARCH("勞假",AF42)))</formula>
    </cfRule>
    <cfRule type="containsText" priority="92" operator="containsText" dxfId="36" stopIfTrue="1" text="補假">
      <formula>NOT(ISERROR(SEARCH("補假",AF42)))</formula>
    </cfRule>
    <cfRule type="containsText" priority="93" operator="containsText" dxfId="35" stopIfTrue="1" text="例假">
      <formula>NOT(ISERROR(SEARCH("例假",AF42)))</formula>
    </cfRule>
    <cfRule type="containsText" priority="94" operator="containsText" dxfId="4" stopIfTrue="1" text="病假">
      <formula>NOT(ISERROR(SEARCH("病假",AF42)))</formula>
    </cfRule>
    <cfRule type="containsText" priority="95" operator="containsText" dxfId="34" stopIfTrue="1" text="大假">
      <formula>NOT(ISERROR(SEARCH("大假",AF42)))</formula>
    </cfRule>
    <cfRule type="containsText" priority="96" operator="containsText" dxfId="37" stopIfTrue="1" text="無薪">
      <formula>NOT(ISERROR(SEARCH("無薪",AF42)))</formula>
    </cfRule>
    <cfRule type="containsText" priority="97" operator="containsText" dxfId="38" stopIfTrue="1" text="TIL">
      <formula>NOT(ISERROR(SEARCH("TIL",AF42)))</formula>
    </cfRule>
    <cfRule type="containsText" priority="98" operator="containsText" dxfId="39" stopIfTrue="1" text="疫苗">
      <formula>NOT(ISERROR(SEARCH("疫苗",AF42)))</formula>
    </cfRule>
    <cfRule type="containsText" priority="99" operator="containsText" dxfId="0" stopIfTrue="1" text="勞假">
      <formula>NOT(ISERROR(SEARCH("勞假",AF42)))</formula>
    </cfRule>
    <cfRule type="containsText" priority="100" operator="containsText" dxfId="36" stopIfTrue="1" text="補假">
      <formula>NOT(ISERROR(SEARCH("補假",AF42)))</formula>
    </cfRule>
    <cfRule type="containsText" priority="101" operator="containsText" dxfId="35" stopIfTrue="1" text="例假">
      <formula>NOT(ISERROR(SEARCH("例假",AF42)))</formula>
    </cfRule>
    <cfRule type="containsText" priority="102" operator="containsText" dxfId="4" stopIfTrue="1" text="病假">
      <formula>NOT(ISERROR(SEARCH("病假",AF42)))</formula>
    </cfRule>
    <cfRule type="containsText" priority="103" operator="containsText" dxfId="34" stopIfTrue="1" text="大假">
      <formula>NOT(ISERROR(SEARCH("大假",AF42)))</formula>
    </cfRule>
    <cfRule type="containsText" priority="104" operator="containsText" dxfId="37" stopIfTrue="1" text="無薪">
      <formula>NOT(ISERROR(SEARCH("無薪",AF42)))</formula>
    </cfRule>
    <cfRule type="containsText" priority="105" operator="containsText" dxfId="38" stopIfTrue="1" text="TIL">
      <formula>NOT(ISERROR(SEARCH("TIL",AF42)))</formula>
    </cfRule>
    <cfRule type="containsText" priority="106" operator="containsText" dxfId="39" stopIfTrue="1" text="疫苗">
      <formula>NOT(ISERROR(SEARCH("疫苗",AF42)))</formula>
    </cfRule>
    <cfRule type="containsText" priority="107" operator="containsText" dxfId="0" stopIfTrue="1" text="勞假">
      <formula>NOT(ISERROR(SEARCH("勞假",AF42)))</formula>
    </cfRule>
    <cfRule type="containsText" priority="108" operator="containsText" dxfId="36" stopIfTrue="1" text="補假">
      <formula>NOT(ISERROR(SEARCH("補假",AF42)))</formula>
    </cfRule>
    <cfRule type="containsText" priority="109" operator="containsText" dxfId="35" stopIfTrue="1" text="例假">
      <formula>NOT(ISERROR(SEARCH("例假",AF42)))</formula>
    </cfRule>
    <cfRule type="containsText" priority="110" operator="containsText" dxfId="4" stopIfTrue="1" text="病假">
      <formula>NOT(ISERROR(SEARCH("病假",AF42)))</formula>
    </cfRule>
    <cfRule type="containsText" priority="111" operator="containsText" dxfId="34" stopIfTrue="1" text="大假">
      <formula>NOT(ISERROR(SEARCH("大假",AF42)))</formula>
    </cfRule>
    <cfRule type="containsText" priority="112" operator="containsText" dxfId="37" stopIfTrue="1" text="無薪">
      <formula>NOT(ISERROR(SEARCH("無薪",AF42)))</formula>
    </cfRule>
    <cfRule type="cellIs" priority="113" operator="equal" dxfId="24">
      <formula>"NC"</formula>
    </cfRule>
    <cfRule type="cellIs" priority="114" operator="equal" dxfId="24">
      <formula>"nd"</formula>
    </cfRule>
    <cfRule type="cellIs" priority="115" operator="equal" dxfId="24">
      <formula>0</formula>
    </cfRule>
    <cfRule type="cellIs" priority="116" operator="equal" dxfId="23">
      <formula>"R"</formula>
    </cfRule>
    <cfRule type="cellIs" priority="117" operator="equal" dxfId="48">
      <formula>"NH12"</formula>
    </cfRule>
    <cfRule type="cellIs" priority="118" operator="equal" dxfId="48">
      <formula>"Nh11"</formula>
    </cfRule>
    <cfRule type="containsText" priority="119" operator="containsText" dxfId="38" stopIfTrue="1" text="TIL">
      <formula>NOT(ISERROR(SEARCH("TIL",AF42)))</formula>
    </cfRule>
    <cfRule type="containsText" priority="120" operator="containsText" dxfId="39" stopIfTrue="1" text="疫苗">
      <formula>NOT(ISERROR(SEARCH("疫苗",AF42)))</formula>
    </cfRule>
    <cfRule type="containsText" priority="121" operator="containsText" dxfId="0" stopIfTrue="1" text="勞假">
      <formula>NOT(ISERROR(SEARCH("勞假",AF42)))</formula>
    </cfRule>
    <cfRule type="containsText" priority="122" operator="containsText" dxfId="36" stopIfTrue="1" text="補假">
      <formula>NOT(ISERROR(SEARCH("補假",AF42)))</formula>
    </cfRule>
    <cfRule type="containsText" priority="123" operator="containsText" dxfId="35" stopIfTrue="1" text="例假">
      <formula>NOT(ISERROR(SEARCH("例假",AF42)))</formula>
    </cfRule>
    <cfRule type="containsText" priority="124" operator="containsText" dxfId="4" stopIfTrue="1" text="病假">
      <formula>NOT(ISERROR(SEARCH("病假",AF42)))</formula>
    </cfRule>
    <cfRule type="containsText" priority="125" operator="containsText" dxfId="34" stopIfTrue="1" text="大假">
      <formula>NOT(ISERROR(SEARCH("大假",AF42)))</formula>
    </cfRule>
    <cfRule type="containsText" priority="126" operator="containsText" dxfId="37" stopIfTrue="1" text="無薪">
      <formula>NOT(ISERROR(SEARCH("無薪",AF42)))</formula>
    </cfRule>
    <cfRule type="containsText" priority="127" operator="containsText" dxfId="38" stopIfTrue="1" text="TIL">
      <formula>NOT(ISERROR(SEARCH("TIL",AF42)))</formula>
    </cfRule>
    <cfRule type="containsText" priority="128" operator="containsText" dxfId="39" stopIfTrue="1" text="疫苗">
      <formula>NOT(ISERROR(SEARCH("疫苗",AF42)))</formula>
    </cfRule>
    <cfRule type="containsText" priority="129" operator="containsText" dxfId="0" stopIfTrue="1" text="勞假">
      <formula>NOT(ISERROR(SEARCH("勞假",AF42)))</formula>
    </cfRule>
    <cfRule type="containsText" priority="130" operator="containsText" dxfId="36" stopIfTrue="1" text="補假">
      <formula>NOT(ISERROR(SEARCH("補假",AF42)))</formula>
    </cfRule>
    <cfRule type="containsText" priority="131" operator="containsText" dxfId="35" stopIfTrue="1" text="例假">
      <formula>NOT(ISERROR(SEARCH("例假",AF42)))</formula>
    </cfRule>
    <cfRule type="containsText" priority="132" operator="containsText" dxfId="4" stopIfTrue="1" text="病假">
      <formula>NOT(ISERROR(SEARCH("病假",AF42)))</formula>
    </cfRule>
    <cfRule type="containsText" priority="133" operator="containsText" dxfId="34" stopIfTrue="1" text="大假">
      <formula>NOT(ISERROR(SEARCH("大假",AF42)))</formula>
    </cfRule>
    <cfRule type="containsText" priority="134" operator="containsText" dxfId="37" stopIfTrue="1" text="無薪">
      <formula>NOT(ISERROR(SEARCH("無薪",AF42)))</formula>
    </cfRule>
    <cfRule type="containsText" priority="135" operator="containsText" dxfId="39" stopIfTrue="1" text="疫苗">
      <formula>NOT(ISERROR(SEARCH("疫苗",AF42)))</formula>
    </cfRule>
    <cfRule type="containsText" priority="136" operator="containsText" dxfId="0" stopIfTrue="1" text="勞假">
      <formula>NOT(ISERROR(SEARCH("勞假",AF42)))</formula>
    </cfRule>
    <cfRule type="containsText" priority="137" operator="containsText" dxfId="36" stopIfTrue="1" text="補假">
      <formula>NOT(ISERROR(SEARCH("補假",AF42)))</formula>
    </cfRule>
    <cfRule type="containsText" priority="138" operator="containsText" dxfId="35" stopIfTrue="1" text="例假">
      <formula>NOT(ISERROR(SEARCH("例假",AF42)))</formula>
    </cfRule>
    <cfRule type="containsText" priority="139" operator="containsText" dxfId="4" stopIfTrue="1" text="病假">
      <formula>NOT(ISERROR(SEARCH("病假",AF42)))</formula>
    </cfRule>
    <cfRule type="containsText" priority="140" operator="containsText" dxfId="34" stopIfTrue="1" text="大假">
      <formula>NOT(ISERROR(SEARCH("大假",AF42)))</formula>
    </cfRule>
    <cfRule type="cellIs" priority="141" operator="equal" dxfId="405">
      <formula>"NSH"</formula>
    </cfRule>
    <cfRule type="containsText" priority="145" operator="containsText" dxfId="4" text="RD">
      <formula>NOT(ISERROR(SEARCH("RD",AF42)))</formula>
    </cfRule>
    <cfRule type="containsText" priority="146" operator="containsText" dxfId="405" text="NP">
      <formula>NOT(ISERROR(SEARCH("NP",AF42)))</formula>
    </cfRule>
  </conditionalFormatting>
  <conditionalFormatting sqref="AF43:AH43">
    <cfRule type="cellIs" priority="846" operator="equal" dxfId="61">
      <formula>"VO"</formula>
    </cfRule>
    <cfRule type="cellIs" priority="847" operator="equal" dxfId="61">
      <formula>"CW"</formula>
    </cfRule>
    <cfRule type="cellIs" priority="848" operator="equal" dxfId="61">
      <formula>"CF"</formula>
    </cfRule>
    <cfRule type="containsText" priority="851" operator="containsText" dxfId="37" stopIfTrue="1" text="無薪">
      <formula>NOT(ISERROR(SEARCH("無薪",AF43)))</formula>
    </cfRule>
    <cfRule type="containsText" priority="852" operator="containsText" dxfId="38" stopIfTrue="1" text="TIL">
      <formula>NOT(ISERROR(SEARCH("TIL",AF43)))</formula>
    </cfRule>
    <cfRule type="containsText" priority="853" operator="containsText" dxfId="39" stopIfTrue="1" text="疫苗">
      <formula>NOT(ISERROR(SEARCH("疫苗",AF43)))</formula>
    </cfRule>
    <cfRule type="containsText" priority="854" operator="containsText" dxfId="0" stopIfTrue="1" text="勞假">
      <formula>NOT(ISERROR(SEARCH("勞假",AF43)))</formula>
    </cfRule>
    <cfRule type="containsText" priority="855" operator="containsText" dxfId="36" stopIfTrue="1" text="補假">
      <formula>NOT(ISERROR(SEARCH("補假",AF43)))</formula>
    </cfRule>
    <cfRule type="containsText" priority="856" operator="containsText" dxfId="35" stopIfTrue="1" text="例假">
      <formula>NOT(ISERROR(SEARCH("例假",AF43)))</formula>
    </cfRule>
    <cfRule type="containsText" priority="857" operator="containsText" dxfId="4" stopIfTrue="1" text="病假">
      <formula>NOT(ISERROR(SEARCH("病假",AF43)))</formula>
    </cfRule>
    <cfRule type="containsText" priority="858" operator="containsText" dxfId="34" stopIfTrue="1" text="大假">
      <formula>NOT(ISERROR(SEARCH("大假",AF43)))</formula>
    </cfRule>
    <cfRule type="containsText" priority="859" operator="containsText" dxfId="37" stopIfTrue="1" text="無薪">
      <formula>NOT(ISERROR(SEARCH("無薪",AF43)))</formula>
    </cfRule>
    <cfRule type="containsText" priority="860" operator="containsText" dxfId="38" stopIfTrue="1" text="TIL">
      <formula>NOT(ISERROR(SEARCH("TIL",AF43)))</formula>
    </cfRule>
    <cfRule type="containsText" priority="861" operator="containsText" dxfId="39" stopIfTrue="1" text="疫苗">
      <formula>NOT(ISERROR(SEARCH("疫苗",AF43)))</formula>
    </cfRule>
    <cfRule type="containsText" priority="862" operator="containsText" dxfId="0" stopIfTrue="1" text="勞假">
      <formula>NOT(ISERROR(SEARCH("勞假",AF43)))</formula>
    </cfRule>
    <cfRule type="containsText" priority="863" operator="containsText" dxfId="36" stopIfTrue="1" text="補假">
      <formula>NOT(ISERROR(SEARCH("補假",AF43)))</formula>
    </cfRule>
    <cfRule type="containsText" priority="864" operator="containsText" dxfId="35" stopIfTrue="1" text="例假">
      <formula>NOT(ISERROR(SEARCH("例假",AF43)))</formula>
    </cfRule>
    <cfRule type="containsText" priority="865" operator="containsText" dxfId="4" stopIfTrue="1" text="病假">
      <formula>NOT(ISERROR(SEARCH("病假",AF43)))</formula>
    </cfRule>
    <cfRule type="containsText" priority="866" operator="containsText" dxfId="34" stopIfTrue="1" text="大假">
      <formula>NOT(ISERROR(SEARCH("大假",AF43)))</formula>
    </cfRule>
    <cfRule type="containsText" priority="867" operator="containsText" dxfId="38" stopIfTrue="1" text="TIL">
      <formula>NOT(ISERROR(SEARCH("TIL",AF43)))</formula>
    </cfRule>
    <cfRule type="cellIs" priority="868" operator="equal" dxfId="4" stopIfTrue="1">
      <formula>"NP"</formula>
    </cfRule>
    <cfRule type="cellIs" priority="869" operator="equal" dxfId="25" stopIfTrue="1">
      <formula>"RD"</formula>
    </cfRule>
    <cfRule type="containsText" priority="870" operator="containsText" dxfId="38" stopIfTrue="1" text="TIL">
      <formula>NOT(ISERROR(SEARCH("TIL",AF43)))</formula>
    </cfRule>
    <cfRule type="containsText" priority="871" operator="containsText" dxfId="39" stopIfTrue="1" text="疫苗">
      <formula>NOT(ISERROR(SEARCH("疫苗",AF43)))</formula>
    </cfRule>
    <cfRule type="containsText" priority="872" operator="containsText" dxfId="0" stopIfTrue="1" text="勞假">
      <formula>NOT(ISERROR(SEARCH("勞假",AF43)))</formula>
    </cfRule>
    <cfRule type="containsText" priority="873" operator="containsText" dxfId="36" stopIfTrue="1" text="補假">
      <formula>NOT(ISERROR(SEARCH("補假",AF43)))</formula>
    </cfRule>
    <cfRule type="containsText" priority="874" operator="containsText" dxfId="35" stopIfTrue="1" text="例假">
      <formula>NOT(ISERROR(SEARCH("例假",AF43)))</formula>
    </cfRule>
    <cfRule type="containsText" priority="875" operator="containsText" dxfId="4" stopIfTrue="1" text="病假">
      <formula>NOT(ISERROR(SEARCH("病假",AF43)))</formula>
    </cfRule>
    <cfRule type="containsText" priority="876" operator="containsText" dxfId="34" stopIfTrue="1" text="大假">
      <formula>NOT(ISERROR(SEARCH("大假",AF43)))</formula>
    </cfRule>
    <cfRule type="containsText" priority="877" operator="containsText" dxfId="38" stopIfTrue="1" text="TIL">
      <formula>NOT(ISERROR(SEARCH("TIL",AF43)))</formula>
    </cfRule>
    <cfRule type="containsText" priority="878" operator="containsText" dxfId="39" stopIfTrue="1" text="疫苗">
      <formula>NOT(ISERROR(SEARCH("疫苗",AF43)))</formula>
    </cfRule>
    <cfRule type="containsText" priority="879" operator="containsText" dxfId="0" stopIfTrue="1" text="勞假">
      <formula>NOT(ISERROR(SEARCH("勞假",AF43)))</formula>
    </cfRule>
    <cfRule type="containsText" priority="880" operator="containsText" dxfId="36" stopIfTrue="1" text="補假">
      <formula>NOT(ISERROR(SEARCH("補假",AF43)))</formula>
    </cfRule>
    <cfRule type="containsText" priority="881" operator="containsText" dxfId="35" stopIfTrue="1" text="例假">
      <formula>NOT(ISERROR(SEARCH("例假",AF43)))</formula>
    </cfRule>
    <cfRule type="containsText" priority="882" operator="containsText" dxfId="4" stopIfTrue="1" text="病假">
      <formula>NOT(ISERROR(SEARCH("病假",AF43)))</formula>
    </cfRule>
    <cfRule type="containsText" priority="883" operator="containsText" dxfId="34" stopIfTrue="1" text="大假">
      <formula>NOT(ISERROR(SEARCH("大假",AF43)))</formula>
    </cfRule>
    <cfRule type="containsText" priority="884" operator="containsText" dxfId="37" stopIfTrue="1" text="無薪">
      <formula>NOT(ISERROR(SEARCH("無薪",AF43)))</formula>
    </cfRule>
    <cfRule type="containsText" priority="885" operator="containsText" dxfId="39" stopIfTrue="1" text="疫苗">
      <formula>NOT(ISERROR(SEARCH("疫苗",AF43)))</formula>
    </cfRule>
    <cfRule type="containsText" priority="886" operator="containsText" dxfId="0" stopIfTrue="1" text="勞假">
      <formula>NOT(ISERROR(SEARCH("勞假",AF43)))</formula>
    </cfRule>
    <cfRule type="containsText" priority="887" operator="containsText" dxfId="36" stopIfTrue="1" text="補假">
      <formula>NOT(ISERROR(SEARCH("補假",AF43)))</formula>
    </cfRule>
    <cfRule type="containsText" priority="888" operator="containsText" dxfId="35" stopIfTrue="1" text="例假">
      <formula>NOT(ISERROR(SEARCH("例假",AF43)))</formula>
    </cfRule>
    <cfRule type="containsText" priority="889" operator="containsText" dxfId="4" stopIfTrue="1" text="病假">
      <formula>NOT(ISERROR(SEARCH("病假",AF43)))</formula>
    </cfRule>
    <cfRule type="containsText" priority="890" operator="containsText" dxfId="34" stopIfTrue="1" text="大假">
      <formula>NOT(ISERROR(SEARCH("大假",AF43)))</formula>
    </cfRule>
    <cfRule type="containsText" priority="891" operator="containsText" dxfId="37" stopIfTrue="1" text="無薪">
      <formula>NOT(ISERROR(SEARCH("無薪",AF43)))</formula>
    </cfRule>
    <cfRule type="containsText" priority="892" operator="containsText" dxfId="38" stopIfTrue="1" text="TIL">
      <formula>NOT(ISERROR(SEARCH("TIL",AF43)))</formula>
    </cfRule>
    <cfRule type="containsText" priority="893" operator="containsText" dxfId="39" stopIfTrue="1" text="疫苗">
      <formula>NOT(ISERROR(SEARCH("疫苗",AF43)))</formula>
    </cfRule>
    <cfRule type="containsText" priority="894" operator="containsText" dxfId="0" stopIfTrue="1" text="勞假">
      <formula>NOT(ISERROR(SEARCH("勞假",AF43)))</formula>
    </cfRule>
    <cfRule type="containsText" priority="895" operator="containsText" dxfId="36" stopIfTrue="1" text="補假">
      <formula>NOT(ISERROR(SEARCH("補假",AF43)))</formula>
    </cfRule>
    <cfRule type="containsText" priority="896" operator="containsText" dxfId="35" stopIfTrue="1" text="例假">
      <formula>NOT(ISERROR(SEARCH("例假",AF43)))</formula>
    </cfRule>
    <cfRule type="containsText" priority="897" operator="containsText" dxfId="4" stopIfTrue="1" text="病假">
      <formula>NOT(ISERROR(SEARCH("病假",AF43)))</formula>
    </cfRule>
    <cfRule type="containsText" priority="898" operator="containsText" dxfId="34" stopIfTrue="1" text="大假">
      <formula>NOT(ISERROR(SEARCH("大假",AF43)))</formula>
    </cfRule>
    <cfRule type="containsText" priority="899" operator="containsText" dxfId="37" stopIfTrue="1" text="無薪">
      <formula>NOT(ISERROR(SEARCH("無薪",AF43)))</formula>
    </cfRule>
    <cfRule type="containsText" priority="900" operator="containsText" dxfId="38" stopIfTrue="1" text="TIL">
      <formula>NOT(ISERROR(SEARCH("TIL",AF43)))</formula>
    </cfRule>
    <cfRule type="containsText" priority="901" operator="containsText" dxfId="39" stopIfTrue="1" text="疫苗">
      <formula>NOT(ISERROR(SEARCH("疫苗",AF43)))</formula>
    </cfRule>
    <cfRule type="containsText" priority="902" operator="containsText" dxfId="0" stopIfTrue="1" text="勞假">
      <formula>NOT(ISERROR(SEARCH("勞假",AF43)))</formula>
    </cfRule>
    <cfRule type="containsText" priority="903" operator="containsText" dxfId="36" stopIfTrue="1" text="補假">
      <formula>NOT(ISERROR(SEARCH("補假",AF43)))</formula>
    </cfRule>
    <cfRule type="containsText" priority="904" operator="containsText" dxfId="35" stopIfTrue="1" text="例假">
      <formula>NOT(ISERROR(SEARCH("例假",AF43)))</formula>
    </cfRule>
    <cfRule type="containsText" priority="905" operator="containsText" dxfId="4" stopIfTrue="1" text="病假">
      <formula>NOT(ISERROR(SEARCH("病假",AF43)))</formula>
    </cfRule>
    <cfRule type="containsText" priority="906" operator="containsText" dxfId="34" stopIfTrue="1" text="大假">
      <formula>NOT(ISERROR(SEARCH("大假",AF43)))</formula>
    </cfRule>
    <cfRule type="containsText" priority="907" operator="containsText" dxfId="37" stopIfTrue="1" text="無薪">
      <formula>NOT(ISERROR(SEARCH("無薪",AF43)))</formula>
    </cfRule>
    <cfRule type="cellIs" priority="908" operator="equal" dxfId="24">
      <formula>"NC"</formula>
    </cfRule>
    <cfRule type="cellIs" priority="909" operator="equal" dxfId="24">
      <formula>"nd"</formula>
    </cfRule>
    <cfRule type="cellIs" priority="910" operator="equal" dxfId="24">
      <formula>0</formula>
    </cfRule>
    <cfRule type="cellIs" priority="911" operator="equal" dxfId="23">
      <formula>"R"</formula>
    </cfRule>
    <cfRule type="cellIs" priority="912" operator="equal" dxfId="48">
      <formula>"NH12"</formula>
    </cfRule>
    <cfRule type="cellIs" priority="913" operator="equal" dxfId="48">
      <formula>"Nh11"</formula>
    </cfRule>
    <cfRule type="containsText" priority="914" operator="containsText" dxfId="38" stopIfTrue="1" text="TIL">
      <formula>NOT(ISERROR(SEARCH("TIL",AF43)))</formula>
    </cfRule>
    <cfRule type="containsText" priority="915" operator="containsText" dxfId="39" stopIfTrue="1" text="疫苗">
      <formula>NOT(ISERROR(SEARCH("疫苗",AF43)))</formula>
    </cfRule>
    <cfRule type="containsText" priority="916" operator="containsText" dxfId="0" stopIfTrue="1" text="勞假">
      <formula>NOT(ISERROR(SEARCH("勞假",AF43)))</formula>
    </cfRule>
    <cfRule type="containsText" priority="917" operator="containsText" dxfId="36" stopIfTrue="1" text="補假">
      <formula>NOT(ISERROR(SEARCH("補假",AF43)))</formula>
    </cfRule>
    <cfRule type="containsText" priority="918" operator="containsText" dxfId="35" stopIfTrue="1" text="例假">
      <formula>NOT(ISERROR(SEARCH("例假",AF43)))</formula>
    </cfRule>
    <cfRule type="containsText" priority="919" operator="containsText" dxfId="4" stopIfTrue="1" text="病假">
      <formula>NOT(ISERROR(SEARCH("病假",AF43)))</formula>
    </cfRule>
    <cfRule type="containsText" priority="920" operator="containsText" dxfId="34" stopIfTrue="1" text="大假">
      <formula>NOT(ISERROR(SEARCH("大假",AF43)))</formula>
    </cfRule>
    <cfRule type="containsText" priority="921" operator="containsText" dxfId="37" stopIfTrue="1" text="無薪">
      <formula>NOT(ISERROR(SEARCH("無薪",AF43)))</formula>
    </cfRule>
    <cfRule type="containsText" priority="922" operator="containsText" dxfId="38" stopIfTrue="1" text="TIL">
      <formula>NOT(ISERROR(SEARCH("TIL",AF43)))</formula>
    </cfRule>
    <cfRule type="containsText" priority="923" operator="containsText" dxfId="39" stopIfTrue="1" text="疫苗">
      <formula>NOT(ISERROR(SEARCH("疫苗",AF43)))</formula>
    </cfRule>
    <cfRule type="containsText" priority="924" operator="containsText" dxfId="0" stopIfTrue="1" text="勞假">
      <formula>NOT(ISERROR(SEARCH("勞假",AF43)))</formula>
    </cfRule>
    <cfRule type="containsText" priority="925" operator="containsText" dxfId="36" stopIfTrue="1" text="補假">
      <formula>NOT(ISERROR(SEARCH("補假",AF43)))</formula>
    </cfRule>
    <cfRule type="containsText" priority="926" operator="containsText" dxfId="35" stopIfTrue="1" text="例假">
      <formula>NOT(ISERROR(SEARCH("例假",AF43)))</formula>
    </cfRule>
    <cfRule type="containsText" priority="927" operator="containsText" dxfId="4" stopIfTrue="1" text="病假">
      <formula>NOT(ISERROR(SEARCH("病假",AF43)))</formula>
    </cfRule>
    <cfRule type="containsText" priority="928" operator="containsText" dxfId="34" stopIfTrue="1" text="大假">
      <formula>NOT(ISERROR(SEARCH("大假",AF43)))</formula>
    </cfRule>
    <cfRule type="containsText" priority="929" operator="containsText" dxfId="37" stopIfTrue="1" text="無薪">
      <formula>NOT(ISERROR(SEARCH("無薪",AF43)))</formula>
    </cfRule>
    <cfRule type="containsText" priority="930" operator="containsText" dxfId="39" stopIfTrue="1" text="疫苗">
      <formula>NOT(ISERROR(SEARCH("疫苗",AF43)))</formula>
    </cfRule>
    <cfRule type="containsText" priority="931" operator="containsText" dxfId="0" stopIfTrue="1" text="勞假">
      <formula>NOT(ISERROR(SEARCH("勞假",AF43)))</formula>
    </cfRule>
    <cfRule type="containsText" priority="932" operator="containsText" dxfId="36" stopIfTrue="1" text="補假">
      <formula>NOT(ISERROR(SEARCH("補假",AF43)))</formula>
    </cfRule>
    <cfRule type="containsText" priority="933" operator="containsText" dxfId="35" stopIfTrue="1" text="例假">
      <formula>NOT(ISERROR(SEARCH("例假",AF43)))</formula>
    </cfRule>
    <cfRule type="containsText" priority="934" operator="containsText" dxfId="4" stopIfTrue="1" text="病假">
      <formula>NOT(ISERROR(SEARCH("病假",AF43)))</formula>
    </cfRule>
    <cfRule type="containsText" priority="935" operator="containsText" dxfId="34" stopIfTrue="1" text="大假">
      <formula>NOT(ISERROR(SEARCH("大假",AF43)))</formula>
    </cfRule>
    <cfRule type="cellIs" priority="845" operator="equal" dxfId="405">
      <formula>"NSH"</formula>
    </cfRule>
    <cfRule type="containsText" priority="760" operator="containsText" dxfId="37" stopIfTrue="1" text="無薪">
      <formula>NOT(ISERROR(SEARCH("無薪",AF43)))</formula>
    </cfRule>
    <cfRule type="containsText" priority="761" operator="containsText" dxfId="38" stopIfTrue="1" text="TIL">
      <formula>NOT(ISERROR(SEARCH("TIL",AF43)))</formula>
    </cfRule>
    <cfRule type="containsText" priority="762" operator="containsText" dxfId="39" stopIfTrue="1" text="疫苗">
      <formula>NOT(ISERROR(SEARCH("疫苗",AF43)))</formula>
    </cfRule>
    <cfRule type="containsText" priority="763" operator="containsText" dxfId="0" stopIfTrue="1" text="勞假">
      <formula>NOT(ISERROR(SEARCH("勞假",AF43)))</formula>
    </cfRule>
    <cfRule type="containsText" priority="764" operator="containsText" dxfId="36" stopIfTrue="1" text="補假">
      <formula>NOT(ISERROR(SEARCH("補假",AF43)))</formula>
    </cfRule>
    <cfRule type="containsText" priority="765" operator="containsText" dxfId="35" stopIfTrue="1" text="例假">
      <formula>NOT(ISERROR(SEARCH("例假",AF43)))</formula>
    </cfRule>
    <cfRule type="containsText" priority="766" operator="containsText" dxfId="4" stopIfTrue="1" text="病假">
      <formula>NOT(ISERROR(SEARCH("病假",AF43)))</formula>
    </cfRule>
    <cfRule type="containsText" priority="767" operator="containsText" dxfId="34" stopIfTrue="1" text="大假">
      <formula>NOT(ISERROR(SEARCH("大假",AF43)))</formula>
    </cfRule>
    <cfRule type="containsText" priority="768" operator="containsText" dxfId="37" stopIfTrue="1" text="無薪">
      <formula>NOT(ISERROR(SEARCH("無薪",AF43)))</formula>
    </cfRule>
    <cfRule type="containsText" priority="769" operator="containsText" dxfId="38" stopIfTrue="1" text="TIL">
      <formula>NOT(ISERROR(SEARCH("TIL",AF43)))</formula>
    </cfRule>
    <cfRule type="containsText" priority="770" operator="containsText" dxfId="39" stopIfTrue="1" text="疫苗">
      <formula>NOT(ISERROR(SEARCH("疫苗",AF43)))</formula>
    </cfRule>
    <cfRule type="containsText" priority="771" operator="containsText" dxfId="0" stopIfTrue="1" text="勞假">
      <formula>NOT(ISERROR(SEARCH("勞假",AF43)))</formula>
    </cfRule>
    <cfRule type="containsText" priority="772" operator="containsText" dxfId="36" stopIfTrue="1" text="補假">
      <formula>NOT(ISERROR(SEARCH("補假",AF43)))</formula>
    </cfRule>
    <cfRule type="containsText" priority="773" operator="containsText" dxfId="35" stopIfTrue="1" text="例假">
      <formula>NOT(ISERROR(SEARCH("例假",AF43)))</formula>
    </cfRule>
    <cfRule type="containsText" priority="774" operator="containsText" dxfId="4" stopIfTrue="1" text="病假">
      <formula>NOT(ISERROR(SEARCH("病假",AF43)))</formula>
    </cfRule>
    <cfRule type="containsText" priority="775" operator="containsText" dxfId="34" stopIfTrue="1" text="大假">
      <formula>NOT(ISERROR(SEARCH("大假",AF43)))</formula>
    </cfRule>
    <cfRule type="containsText" priority="776" operator="containsText" dxfId="38" stopIfTrue="1" text="TIL">
      <formula>NOT(ISERROR(SEARCH("TIL",AF43)))</formula>
    </cfRule>
    <cfRule type="cellIs" priority="777" operator="equal" dxfId="4" stopIfTrue="1">
      <formula>"NP"</formula>
    </cfRule>
    <cfRule type="cellIs" priority="778" operator="equal" dxfId="25" stopIfTrue="1">
      <formula>"RD"</formula>
    </cfRule>
    <cfRule type="containsText" priority="779" operator="containsText" dxfId="38" stopIfTrue="1" text="TIL">
      <formula>NOT(ISERROR(SEARCH("TIL",AF43)))</formula>
    </cfRule>
    <cfRule type="containsText" priority="780" operator="containsText" dxfId="39" stopIfTrue="1" text="疫苗">
      <formula>NOT(ISERROR(SEARCH("疫苗",AF43)))</formula>
    </cfRule>
    <cfRule type="containsText" priority="781" operator="containsText" dxfId="0" stopIfTrue="1" text="勞假">
      <formula>NOT(ISERROR(SEARCH("勞假",AF43)))</formula>
    </cfRule>
    <cfRule type="containsText" priority="782" operator="containsText" dxfId="36" stopIfTrue="1" text="補假">
      <formula>NOT(ISERROR(SEARCH("補假",AF43)))</formula>
    </cfRule>
    <cfRule type="containsText" priority="783" operator="containsText" dxfId="35" stopIfTrue="1" text="例假">
      <formula>NOT(ISERROR(SEARCH("例假",AF43)))</formula>
    </cfRule>
    <cfRule type="containsText" priority="784" operator="containsText" dxfId="4" stopIfTrue="1" text="病假">
      <formula>NOT(ISERROR(SEARCH("病假",AF43)))</formula>
    </cfRule>
    <cfRule type="containsText" priority="785" operator="containsText" dxfId="34" stopIfTrue="1" text="大假">
      <formula>NOT(ISERROR(SEARCH("大假",AF43)))</formula>
    </cfRule>
    <cfRule type="containsText" priority="786" operator="containsText" dxfId="38" stopIfTrue="1" text="TIL">
      <formula>NOT(ISERROR(SEARCH("TIL",AF43)))</formula>
    </cfRule>
    <cfRule type="containsText" priority="787" operator="containsText" dxfId="39" stopIfTrue="1" text="疫苗">
      <formula>NOT(ISERROR(SEARCH("疫苗",AF43)))</formula>
    </cfRule>
    <cfRule type="containsText" priority="788" operator="containsText" dxfId="0" stopIfTrue="1" text="勞假">
      <formula>NOT(ISERROR(SEARCH("勞假",AF43)))</formula>
    </cfRule>
    <cfRule type="containsText" priority="789" operator="containsText" dxfId="36" stopIfTrue="1" text="補假">
      <formula>NOT(ISERROR(SEARCH("補假",AF43)))</formula>
    </cfRule>
    <cfRule type="containsText" priority="790" operator="containsText" dxfId="35" stopIfTrue="1" text="例假">
      <formula>NOT(ISERROR(SEARCH("例假",AF43)))</formula>
    </cfRule>
    <cfRule type="containsText" priority="791" operator="containsText" dxfId="4" stopIfTrue="1" text="病假">
      <formula>NOT(ISERROR(SEARCH("病假",AF43)))</formula>
    </cfRule>
    <cfRule type="containsText" priority="792" operator="containsText" dxfId="34" stopIfTrue="1" text="大假">
      <formula>NOT(ISERROR(SEARCH("大假",AF43)))</formula>
    </cfRule>
    <cfRule type="containsText" priority="793" operator="containsText" dxfId="37" stopIfTrue="1" text="無薪">
      <formula>NOT(ISERROR(SEARCH("無薪",AF43)))</formula>
    </cfRule>
    <cfRule type="containsText" priority="794" operator="containsText" dxfId="39" stopIfTrue="1" text="疫苗">
      <formula>NOT(ISERROR(SEARCH("疫苗",AF43)))</formula>
    </cfRule>
    <cfRule type="containsText" priority="795" operator="containsText" dxfId="0" stopIfTrue="1" text="勞假">
      <formula>NOT(ISERROR(SEARCH("勞假",AF43)))</formula>
    </cfRule>
    <cfRule type="containsText" priority="796" operator="containsText" dxfId="36" stopIfTrue="1" text="補假">
      <formula>NOT(ISERROR(SEARCH("補假",AF43)))</formula>
    </cfRule>
    <cfRule type="containsText" priority="797" operator="containsText" dxfId="35" stopIfTrue="1" text="例假">
      <formula>NOT(ISERROR(SEARCH("例假",AF43)))</formula>
    </cfRule>
    <cfRule type="containsText" priority="798" operator="containsText" dxfId="4" stopIfTrue="1" text="病假">
      <formula>NOT(ISERROR(SEARCH("病假",AF43)))</formula>
    </cfRule>
    <cfRule type="containsText" priority="799" operator="containsText" dxfId="34" stopIfTrue="1" text="大假">
      <formula>NOT(ISERROR(SEARCH("大假",AF43)))</formula>
    </cfRule>
    <cfRule type="containsText" priority="800" operator="containsText" dxfId="37" stopIfTrue="1" text="無薪">
      <formula>NOT(ISERROR(SEARCH("無薪",AF43)))</formula>
    </cfRule>
    <cfRule type="containsText" priority="801" operator="containsText" dxfId="38" stopIfTrue="1" text="TIL">
      <formula>NOT(ISERROR(SEARCH("TIL",AF43)))</formula>
    </cfRule>
    <cfRule type="containsText" priority="802" operator="containsText" dxfId="39" stopIfTrue="1" text="疫苗">
      <formula>NOT(ISERROR(SEARCH("疫苗",AF43)))</formula>
    </cfRule>
    <cfRule type="containsText" priority="803" operator="containsText" dxfId="0" stopIfTrue="1" text="勞假">
      <formula>NOT(ISERROR(SEARCH("勞假",AF43)))</formula>
    </cfRule>
    <cfRule type="containsText" priority="804" operator="containsText" dxfId="36" stopIfTrue="1" text="補假">
      <formula>NOT(ISERROR(SEARCH("補假",AF43)))</formula>
    </cfRule>
    <cfRule type="containsText" priority="805" operator="containsText" dxfId="35" stopIfTrue="1" text="例假">
      <formula>NOT(ISERROR(SEARCH("例假",AF43)))</formula>
    </cfRule>
    <cfRule type="containsText" priority="806" operator="containsText" dxfId="4" stopIfTrue="1" text="病假">
      <formula>NOT(ISERROR(SEARCH("病假",AF43)))</formula>
    </cfRule>
    <cfRule type="containsText" priority="807" operator="containsText" dxfId="34" stopIfTrue="1" text="大假">
      <formula>NOT(ISERROR(SEARCH("大假",AF43)))</formula>
    </cfRule>
    <cfRule type="containsText" priority="808" operator="containsText" dxfId="37" stopIfTrue="1" text="無薪">
      <formula>NOT(ISERROR(SEARCH("無薪",AF43)))</formula>
    </cfRule>
    <cfRule type="containsText" priority="809" operator="containsText" dxfId="38" stopIfTrue="1" text="TIL">
      <formula>NOT(ISERROR(SEARCH("TIL",AF43)))</formula>
    </cfRule>
    <cfRule type="containsText" priority="810" operator="containsText" dxfId="39" stopIfTrue="1" text="疫苗">
      <formula>NOT(ISERROR(SEARCH("疫苗",AF43)))</formula>
    </cfRule>
    <cfRule type="containsText" priority="811" operator="containsText" dxfId="0" stopIfTrue="1" text="勞假">
      <formula>NOT(ISERROR(SEARCH("勞假",AF43)))</formula>
    </cfRule>
    <cfRule type="containsText" priority="812" operator="containsText" dxfId="36" stopIfTrue="1" text="補假">
      <formula>NOT(ISERROR(SEARCH("補假",AF43)))</formula>
    </cfRule>
    <cfRule type="containsText" priority="813" operator="containsText" dxfId="35" stopIfTrue="1" text="例假">
      <formula>NOT(ISERROR(SEARCH("例假",AF43)))</formula>
    </cfRule>
    <cfRule type="containsText" priority="814" operator="containsText" dxfId="4" stopIfTrue="1" text="病假">
      <formula>NOT(ISERROR(SEARCH("病假",AF43)))</formula>
    </cfRule>
    <cfRule type="containsText" priority="815" operator="containsText" dxfId="34" stopIfTrue="1" text="大假">
      <formula>NOT(ISERROR(SEARCH("大假",AF43)))</formula>
    </cfRule>
    <cfRule type="containsText" priority="816" operator="containsText" dxfId="37" stopIfTrue="1" text="無薪">
      <formula>NOT(ISERROR(SEARCH("無薪",AF43)))</formula>
    </cfRule>
    <cfRule type="cellIs" priority="817" operator="equal" dxfId="24">
      <formula>"NC"</formula>
    </cfRule>
    <cfRule type="cellIs" priority="818" operator="equal" dxfId="24">
      <formula>"nd"</formula>
    </cfRule>
    <cfRule type="cellIs" priority="819" operator="equal" dxfId="24">
      <formula>0</formula>
    </cfRule>
    <cfRule type="cellIs" priority="820" operator="equal" dxfId="23">
      <formula>"R"</formula>
    </cfRule>
    <cfRule type="cellIs" priority="821" operator="equal" dxfId="48">
      <formula>"NH12"</formula>
    </cfRule>
    <cfRule type="cellIs" priority="822" operator="equal" dxfId="48">
      <formula>"Nh11"</formula>
    </cfRule>
    <cfRule type="containsText" priority="823" operator="containsText" dxfId="38" stopIfTrue="1" text="TIL">
      <formula>NOT(ISERROR(SEARCH("TIL",AF43)))</formula>
    </cfRule>
    <cfRule type="containsText" priority="824" operator="containsText" dxfId="39" stopIfTrue="1" text="疫苗">
      <formula>NOT(ISERROR(SEARCH("疫苗",AF43)))</formula>
    </cfRule>
    <cfRule type="containsText" priority="825" operator="containsText" dxfId="0" stopIfTrue="1" text="勞假">
      <formula>NOT(ISERROR(SEARCH("勞假",AF43)))</formula>
    </cfRule>
    <cfRule type="containsText" priority="826" operator="containsText" dxfId="36" stopIfTrue="1" text="補假">
      <formula>NOT(ISERROR(SEARCH("補假",AF43)))</formula>
    </cfRule>
    <cfRule type="containsText" priority="827" operator="containsText" dxfId="35" stopIfTrue="1" text="例假">
      <formula>NOT(ISERROR(SEARCH("例假",AF43)))</formula>
    </cfRule>
    <cfRule type="containsText" priority="828" operator="containsText" dxfId="4" stopIfTrue="1" text="病假">
      <formula>NOT(ISERROR(SEARCH("病假",AF43)))</formula>
    </cfRule>
    <cfRule type="containsText" priority="829" operator="containsText" dxfId="34" stopIfTrue="1" text="大假">
      <formula>NOT(ISERROR(SEARCH("大假",AF43)))</formula>
    </cfRule>
    <cfRule type="containsText" priority="830" operator="containsText" dxfId="37" stopIfTrue="1" text="無薪">
      <formula>NOT(ISERROR(SEARCH("無薪",AF43)))</formula>
    </cfRule>
    <cfRule type="containsText" priority="831" operator="containsText" dxfId="38" stopIfTrue="1" text="TIL">
      <formula>NOT(ISERROR(SEARCH("TIL",AF43)))</formula>
    </cfRule>
    <cfRule type="containsText" priority="832" operator="containsText" dxfId="39" stopIfTrue="1" text="疫苗">
      <formula>NOT(ISERROR(SEARCH("疫苗",AF43)))</formula>
    </cfRule>
    <cfRule type="containsText" priority="833" operator="containsText" dxfId="0" stopIfTrue="1" text="勞假">
      <formula>NOT(ISERROR(SEARCH("勞假",AF43)))</formula>
    </cfRule>
    <cfRule type="containsText" priority="834" operator="containsText" dxfId="36" stopIfTrue="1" text="補假">
      <formula>NOT(ISERROR(SEARCH("補假",AF43)))</formula>
    </cfRule>
    <cfRule type="containsText" priority="835" operator="containsText" dxfId="35" stopIfTrue="1" text="例假">
      <formula>NOT(ISERROR(SEARCH("例假",AF43)))</formula>
    </cfRule>
    <cfRule type="containsText" priority="836" operator="containsText" dxfId="4" stopIfTrue="1" text="病假">
      <formula>NOT(ISERROR(SEARCH("病假",AF43)))</formula>
    </cfRule>
    <cfRule type="containsText" priority="837" operator="containsText" dxfId="34" stopIfTrue="1" text="大假">
      <formula>NOT(ISERROR(SEARCH("大假",AF43)))</formula>
    </cfRule>
    <cfRule type="containsText" priority="838" operator="containsText" dxfId="37" stopIfTrue="1" text="無薪">
      <formula>NOT(ISERROR(SEARCH("無薪",AF43)))</formula>
    </cfRule>
    <cfRule type="containsText" priority="839" operator="containsText" dxfId="39" stopIfTrue="1" text="疫苗">
      <formula>NOT(ISERROR(SEARCH("疫苗",AF43)))</formula>
    </cfRule>
    <cfRule type="containsText" priority="840" operator="containsText" dxfId="0" stopIfTrue="1" text="勞假">
      <formula>NOT(ISERROR(SEARCH("勞假",AF43)))</formula>
    </cfRule>
    <cfRule type="containsText" priority="841" operator="containsText" dxfId="36" stopIfTrue="1" text="補假">
      <formula>NOT(ISERROR(SEARCH("補假",AF43)))</formula>
    </cfRule>
    <cfRule type="containsText" priority="842" operator="containsText" dxfId="35" stopIfTrue="1" text="例假">
      <formula>NOT(ISERROR(SEARCH("例假",AF43)))</formula>
    </cfRule>
    <cfRule type="containsText" priority="843" operator="containsText" dxfId="4" stopIfTrue="1" text="病假">
      <formula>NOT(ISERROR(SEARCH("病假",AF43)))</formula>
    </cfRule>
    <cfRule type="containsText" priority="844" operator="containsText" dxfId="34" stopIfTrue="1" text="大假">
      <formula>NOT(ISERROR(SEARCH("大假",AF43)))</formula>
    </cfRule>
    <cfRule type="containsText" priority="849" operator="containsText" dxfId="4" text="RD">
      <formula>NOT(ISERROR(SEARCH("RD",AF43)))</formula>
    </cfRule>
    <cfRule type="containsText" priority="850" operator="containsText" dxfId="405" text="NP">
      <formula>NOT(ISERROR(SEARCH("NP",AF43)))</formula>
    </cfRule>
  </conditionalFormatting>
  <conditionalFormatting sqref="AF44:AH44 AF45">
    <cfRule type="cellIs" priority="45" operator="equal" dxfId="863">
      <formula>"CF"</formula>
    </cfRule>
    <cfRule type="cellIs" priority="46" operator="equal" dxfId="862">
      <formula>"CW"</formula>
    </cfRule>
    <cfRule type="cellIs" priority="47" operator="equal" dxfId="861">
      <formula>"CL"</formula>
    </cfRule>
    <cfRule type="cellIs" priority="48" operator="equal" dxfId="860">
      <formula>"E"</formula>
    </cfRule>
  </conditionalFormatting>
  <conditionalFormatting sqref="AF45">
    <cfRule type="cellIs" priority="43" operator="equal" dxfId="859">
      <formula>"SR"</formula>
    </cfRule>
    <cfRule type="cellIs" priority="44" operator="equal" dxfId="847">
      <formula>"NSH"</formula>
    </cfRule>
  </conditionalFormatting>
  <conditionalFormatting sqref="AF48:AH48 AF50:AH51">
    <cfRule type="cellIs" priority="1154" operator="equal" dxfId="48">
      <formula>"NP"</formula>
    </cfRule>
  </conditionalFormatting>
  <conditionalFormatting sqref="AF53:AH1048576">
    <cfRule type="cellIs" priority="1140" operator="equal" dxfId="48">
      <formula>"NP"</formula>
    </cfRule>
  </conditionalFormatting>
  <conditionalFormatting sqref="AF10:AH12 AF13 AF16:AH35 AF36 AF39:AH44 AF45">
    <cfRule type="cellIs" priority="668" operator="equal" dxfId="35">
      <formula>"SH"</formula>
    </cfRule>
  </conditionalFormatting>
  <conditionalFormatting sqref="AF12:AH12 AF16:AH17 AF39:AH40 AF48:AH48 AF50:AH51 AF52 AF53:AH1048576 AH52">
    <cfRule type="cellIs" priority="1161" operator="equal" dxfId="48">
      <formula>"NH"</formula>
    </cfRule>
  </conditionalFormatting>
  <conditionalFormatting sqref="AF12:AH12 AF16:AH17 AF39:AH40 AF48:AH48 AF50:AH51 AF53:AH55 AH52">
    <cfRule type="cellIs" priority="1121" operator="equal" dxfId="48">
      <formula>"NH11"</formula>
    </cfRule>
  </conditionalFormatting>
  <conditionalFormatting sqref="AF52:AF53">
    <cfRule type="cellIs" priority="1141" operator="equal" dxfId="24">
      <formula>"NC"</formula>
    </cfRule>
    <cfRule type="cellIs" priority="1127" operator="equal" dxfId="21">
      <formula>"NC"</formula>
    </cfRule>
  </conditionalFormatting>
  <conditionalFormatting sqref="AF5:AH6">
    <cfRule type="cellIs" priority="1139" operator="equal" dxfId="48">
      <formula>"NP"</formula>
    </cfRule>
  </conditionalFormatting>
  <conditionalFormatting sqref="AF6:AH6 AF50:AH51">
    <cfRule type="cellIs" priority="1165" operator="equal" dxfId="4" stopIfTrue="1">
      <formula>"NP"</formula>
    </cfRule>
  </conditionalFormatting>
  <conditionalFormatting sqref="AF10:AH12 AF13 AF16:AH35 AF36 AF39:AH43">
    <cfRule type="cellIs" priority="52" operator="equal" dxfId="847">
      <formula>"NSH"</formula>
    </cfRule>
  </conditionalFormatting>
  <conditionalFormatting sqref="AF10:AH11">
    <cfRule type="containsText" priority="1117" operator="containsText" dxfId="405" text="NP">
      <formula>NOT(ISERROR(SEARCH("NP",AF10)))</formula>
    </cfRule>
    <cfRule type="containsText" priority="1116" operator="containsText" dxfId="4" text="RD">
      <formula>NOT(ISERROR(SEARCH("RD",AF10)))</formula>
    </cfRule>
    <cfRule type="cellIs" priority="1113" operator="equal" dxfId="61">
      <formula>"VO"</formula>
    </cfRule>
    <cfRule type="cellIs" priority="1114" operator="equal" dxfId="61">
      <formula>"CW"</formula>
    </cfRule>
    <cfRule type="cellIs" priority="1115" operator="equal" dxfId="61">
      <formula>"CF"</formula>
    </cfRule>
  </conditionalFormatting>
  <conditionalFormatting sqref="AF19:AH19">
    <cfRule type="containsText" priority="675" operator="containsText" dxfId="37" stopIfTrue="1" text="無薪">
      <formula>NOT(ISERROR(SEARCH("無薪",AF19)))</formula>
    </cfRule>
    <cfRule type="containsText" priority="676" operator="containsText" dxfId="38" stopIfTrue="1" text="TIL">
      <formula>NOT(ISERROR(SEARCH("TIL",AF19)))</formula>
    </cfRule>
    <cfRule type="containsText" priority="677" operator="containsText" dxfId="39" stopIfTrue="1" text="疫苗">
      <formula>NOT(ISERROR(SEARCH("疫苗",AF19)))</formula>
    </cfRule>
    <cfRule type="containsText" priority="678" operator="containsText" dxfId="0" stopIfTrue="1" text="勞假">
      <formula>NOT(ISERROR(SEARCH("勞假",AF19)))</formula>
    </cfRule>
    <cfRule type="containsText" priority="679" operator="containsText" dxfId="36" stopIfTrue="1" text="補假">
      <formula>NOT(ISERROR(SEARCH("補假",AF19)))</formula>
    </cfRule>
    <cfRule type="containsText" priority="680" operator="containsText" dxfId="35" stopIfTrue="1" text="例假">
      <formula>NOT(ISERROR(SEARCH("例假",AF19)))</formula>
    </cfRule>
    <cfRule type="containsText" priority="681" operator="containsText" dxfId="4" stopIfTrue="1" text="病假">
      <formula>NOT(ISERROR(SEARCH("病假",AF19)))</formula>
    </cfRule>
    <cfRule type="containsText" priority="682" operator="containsText" dxfId="34" stopIfTrue="1" text="大假">
      <formula>NOT(ISERROR(SEARCH("大假",AF19)))</formula>
    </cfRule>
    <cfRule type="containsText" priority="683" operator="containsText" dxfId="37" stopIfTrue="1" text="無薪">
      <formula>NOT(ISERROR(SEARCH("無薪",AF19)))</formula>
    </cfRule>
    <cfRule type="containsText" priority="684" operator="containsText" dxfId="38" stopIfTrue="1" text="TIL">
      <formula>NOT(ISERROR(SEARCH("TIL",AF19)))</formula>
    </cfRule>
    <cfRule type="containsText" priority="685" operator="containsText" dxfId="39" stopIfTrue="1" text="疫苗">
      <formula>NOT(ISERROR(SEARCH("疫苗",AF19)))</formula>
    </cfRule>
    <cfRule type="containsText" priority="686" operator="containsText" dxfId="0" stopIfTrue="1" text="勞假">
      <formula>NOT(ISERROR(SEARCH("勞假",AF19)))</formula>
    </cfRule>
    <cfRule type="containsText" priority="687" operator="containsText" dxfId="36" stopIfTrue="1" text="補假">
      <formula>NOT(ISERROR(SEARCH("補假",AF19)))</formula>
    </cfRule>
    <cfRule type="containsText" priority="688" operator="containsText" dxfId="35" stopIfTrue="1" text="例假">
      <formula>NOT(ISERROR(SEARCH("例假",AF19)))</formula>
    </cfRule>
    <cfRule type="containsText" priority="689" operator="containsText" dxfId="4" stopIfTrue="1" text="病假">
      <formula>NOT(ISERROR(SEARCH("病假",AF19)))</formula>
    </cfRule>
    <cfRule type="containsText" priority="690" operator="containsText" dxfId="34" stopIfTrue="1" text="大假">
      <formula>NOT(ISERROR(SEARCH("大假",AF19)))</formula>
    </cfRule>
    <cfRule type="containsText" priority="691" operator="containsText" dxfId="38" stopIfTrue="1" text="TIL">
      <formula>NOT(ISERROR(SEARCH("TIL",AF19)))</formula>
    </cfRule>
    <cfRule type="cellIs" priority="692" operator="equal" dxfId="4" stopIfTrue="1">
      <formula>"NP"</formula>
    </cfRule>
    <cfRule type="cellIs" priority="693" operator="equal" dxfId="25" stopIfTrue="1">
      <formula>"RD"</formula>
    </cfRule>
    <cfRule type="containsText" priority="694" operator="containsText" dxfId="38" stopIfTrue="1" text="TIL">
      <formula>NOT(ISERROR(SEARCH("TIL",AF19)))</formula>
    </cfRule>
    <cfRule type="containsText" priority="695" operator="containsText" dxfId="39" stopIfTrue="1" text="疫苗">
      <formula>NOT(ISERROR(SEARCH("疫苗",AF19)))</formula>
    </cfRule>
    <cfRule type="containsText" priority="696" operator="containsText" dxfId="0" stopIfTrue="1" text="勞假">
      <formula>NOT(ISERROR(SEARCH("勞假",AF19)))</formula>
    </cfRule>
    <cfRule type="containsText" priority="697" operator="containsText" dxfId="36" stopIfTrue="1" text="補假">
      <formula>NOT(ISERROR(SEARCH("補假",AF19)))</formula>
    </cfRule>
    <cfRule type="containsText" priority="698" operator="containsText" dxfId="35" stopIfTrue="1" text="例假">
      <formula>NOT(ISERROR(SEARCH("例假",AF19)))</formula>
    </cfRule>
    <cfRule type="containsText" priority="699" operator="containsText" dxfId="4" stopIfTrue="1" text="病假">
      <formula>NOT(ISERROR(SEARCH("病假",AF19)))</formula>
    </cfRule>
    <cfRule type="containsText" priority="700" operator="containsText" dxfId="34" stopIfTrue="1" text="大假">
      <formula>NOT(ISERROR(SEARCH("大假",AF19)))</formula>
    </cfRule>
    <cfRule type="containsText" priority="701" operator="containsText" dxfId="38" stopIfTrue="1" text="TIL">
      <formula>NOT(ISERROR(SEARCH("TIL",AF19)))</formula>
    </cfRule>
    <cfRule type="containsText" priority="702" operator="containsText" dxfId="39" stopIfTrue="1" text="疫苗">
      <formula>NOT(ISERROR(SEARCH("疫苗",AF19)))</formula>
    </cfRule>
    <cfRule type="containsText" priority="703" operator="containsText" dxfId="0" stopIfTrue="1" text="勞假">
      <formula>NOT(ISERROR(SEARCH("勞假",AF19)))</formula>
    </cfRule>
    <cfRule type="containsText" priority="704" operator="containsText" dxfId="36" stopIfTrue="1" text="補假">
      <formula>NOT(ISERROR(SEARCH("補假",AF19)))</formula>
    </cfRule>
    <cfRule type="containsText" priority="705" operator="containsText" dxfId="35" stopIfTrue="1" text="例假">
      <formula>NOT(ISERROR(SEARCH("例假",AF19)))</formula>
    </cfRule>
    <cfRule type="containsText" priority="706" operator="containsText" dxfId="4" stopIfTrue="1" text="病假">
      <formula>NOT(ISERROR(SEARCH("病假",AF19)))</formula>
    </cfRule>
    <cfRule type="containsText" priority="707" operator="containsText" dxfId="34" stopIfTrue="1" text="大假">
      <formula>NOT(ISERROR(SEARCH("大假",AF19)))</formula>
    </cfRule>
    <cfRule type="containsText" priority="708" operator="containsText" dxfId="37" stopIfTrue="1" text="無薪">
      <formula>NOT(ISERROR(SEARCH("無薪",AF19)))</formula>
    </cfRule>
    <cfRule type="containsText" priority="709" operator="containsText" dxfId="39" stopIfTrue="1" text="疫苗">
      <formula>NOT(ISERROR(SEARCH("疫苗",AF19)))</formula>
    </cfRule>
    <cfRule type="containsText" priority="710" operator="containsText" dxfId="0" stopIfTrue="1" text="勞假">
      <formula>NOT(ISERROR(SEARCH("勞假",AF19)))</formula>
    </cfRule>
    <cfRule type="containsText" priority="711" operator="containsText" dxfId="36" stopIfTrue="1" text="補假">
      <formula>NOT(ISERROR(SEARCH("補假",AF19)))</formula>
    </cfRule>
    <cfRule type="containsText" priority="712" operator="containsText" dxfId="35" stopIfTrue="1" text="例假">
      <formula>NOT(ISERROR(SEARCH("例假",AF19)))</formula>
    </cfRule>
    <cfRule type="containsText" priority="713" operator="containsText" dxfId="4" stopIfTrue="1" text="病假">
      <formula>NOT(ISERROR(SEARCH("病假",AF19)))</formula>
    </cfRule>
    <cfRule type="containsText" priority="714" operator="containsText" dxfId="34" stopIfTrue="1" text="大假">
      <formula>NOT(ISERROR(SEARCH("大假",AF19)))</formula>
    </cfRule>
    <cfRule type="containsText" priority="715" operator="containsText" dxfId="37" stopIfTrue="1" text="無薪">
      <formula>NOT(ISERROR(SEARCH("無薪",AF19)))</formula>
    </cfRule>
    <cfRule type="containsText" priority="716" operator="containsText" dxfId="38" stopIfTrue="1" text="TIL">
      <formula>NOT(ISERROR(SEARCH("TIL",AF19)))</formula>
    </cfRule>
    <cfRule type="containsText" priority="717" operator="containsText" dxfId="39" stopIfTrue="1" text="疫苗">
      <formula>NOT(ISERROR(SEARCH("疫苗",AF19)))</formula>
    </cfRule>
    <cfRule type="containsText" priority="718" operator="containsText" dxfId="0" stopIfTrue="1" text="勞假">
      <formula>NOT(ISERROR(SEARCH("勞假",AF19)))</formula>
    </cfRule>
    <cfRule type="containsText" priority="719" operator="containsText" dxfId="36" stopIfTrue="1" text="補假">
      <formula>NOT(ISERROR(SEARCH("補假",AF19)))</formula>
    </cfRule>
    <cfRule type="containsText" priority="720" operator="containsText" dxfId="35" stopIfTrue="1" text="例假">
      <formula>NOT(ISERROR(SEARCH("例假",AF19)))</formula>
    </cfRule>
    <cfRule type="containsText" priority="721" operator="containsText" dxfId="4" stopIfTrue="1" text="病假">
      <formula>NOT(ISERROR(SEARCH("病假",AF19)))</formula>
    </cfRule>
    <cfRule type="containsText" priority="722" operator="containsText" dxfId="34" stopIfTrue="1" text="大假">
      <formula>NOT(ISERROR(SEARCH("大假",AF19)))</formula>
    </cfRule>
    <cfRule type="containsText" priority="723" operator="containsText" dxfId="37" stopIfTrue="1" text="無薪">
      <formula>NOT(ISERROR(SEARCH("無薪",AF19)))</formula>
    </cfRule>
    <cfRule type="containsText" priority="724" operator="containsText" dxfId="38" stopIfTrue="1" text="TIL">
      <formula>NOT(ISERROR(SEARCH("TIL",AF19)))</formula>
    </cfRule>
    <cfRule type="containsText" priority="725" operator="containsText" dxfId="39" stopIfTrue="1" text="疫苗">
      <formula>NOT(ISERROR(SEARCH("疫苗",AF19)))</formula>
    </cfRule>
    <cfRule type="containsText" priority="726" operator="containsText" dxfId="0" stopIfTrue="1" text="勞假">
      <formula>NOT(ISERROR(SEARCH("勞假",AF19)))</formula>
    </cfRule>
    <cfRule type="containsText" priority="727" operator="containsText" dxfId="36" stopIfTrue="1" text="補假">
      <formula>NOT(ISERROR(SEARCH("補假",AF19)))</formula>
    </cfRule>
    <cfRule type="containsText" priority="728" operator="containsText" dxfId="35" stopIfTrue="1" text="例假">
      <formula>NOT(ISERROR(SEARCH("例假",AF19)))</formula>
    </cfRule>
    <cfRule type="containsText" priority="729" operator="containsText" dxfId="4" stopIfTrue="1" text="病假">
      <formula>NOT(ISERROR(SEARCH("病假",AF19)))</formula>
    </cfRule>
    <cfRule type="containsText" priority="730" operator="containsText" dxfId="34" stopIfTrue="1" text="大假">
      <formula>NOT(ISERROR(SEARCH("大假",AF19)))</formula>
    </cfRule>
    <cfRule type="containsText" priority="731" operator="containsText" dxfId="37" stopIfTrue="1" text="無薪">
      <formula>NOT(ISERROR(SEARCH("無薪",AF19)))</formula>
    </cfRule>
    <cfRule type="cellIs" priority="732" operator="equal" dxfId="24">
      <formula>"NC"</formula>
    </cfRule>
    <cfRule type="cellIs" priority="733" operator="equal" dxfId="24">
      <formula>"nd"</formula>
    </cfRule>
    <cfRule type="cellIs" priority="734" operator="equal" dxfId="24">
      <formula>0</formula>
    </cfRule>
    <cfRule type="cellIs" priority="735" operator="equal" dxfId="23">
      <formula>"R"</formula>
    </cfRule>
    <cfRule type="cellIs" priority="736" operator="equal" dxfId="48">
      <formula>"NH12"</formula>
    </cfRule>
    <cfRule type="cellIs" priority="737" operator="equal" dxfId="48">
      <formula>"Nh11"</formula>
    </cfRule>
    <cfRule type="containsText" priority="738" operator="containsText" dxfId="38" stopIfTrue="1" text="TIL">
      <formula>NOT(ISERROR(SEARCH("TIL",AF19)))</formula>
    </cfRule>
    <cfRule type="containsText" priority="739" operator="containsText" dxfId="39" stopIfTrue="1" text="疫苗">
      <formula>NOT(ISERROR(SEARCH("疫苗",AF19)))</formula>
    </cfRule>
    <cfRule type="containsText" priority="740" operator="containsText" dxfId="0" stopIfTrue="1" text="勞假">
      <formula>NOT(ISERROR(SEARCH("勞假",AF19)))</formula>
    </cfRule>
    <cfRule type="containsText" priority="741" operator="containsText" dxfId="36" stopIfTrue="1" text="補假">
      <formula>NOT(ISERROR(SEARCH("補假",AF19)))</formula>
    </cfRule>
    <cfRule type="containsText" priority="742" operator="containsText" dxfId="35" stopIfTrue="1" text="例假">
      <formula>NOT(ISERROR(SEARCH("例假",AF19)))</formula>
    </cfRule>
    <cfRule type="containsText" priority="743" operator="containsText" dxfId="4" stopIfTrue="1" text="病假">
      <formula>NOT(ISERROR(SEARCH("病假",AF19)))</formula>
    </cfRule>
    <cfRule type="containsText" priority="744" operator="containsText" dxfId="34" stopIfTrue="1" text="大假">
      <formula>NOT(ISERROR(SEARCH("大假",AF19)))</formula>
    </cfRule>
    <cfRule type="containsText" priority="745" operator="containsText" dxfId="37" stopIfTrue="1" text="無薪">
      <formula>NOT(ISERROR(SEARCH("無薪",AF19)))</formula>
    </cfRule>
    <cfRule type="containsText" priority="746" operator="containsText" dxfId="38" stopIfTrue="1" text="TIL">
      <formula>NOT(ISERROR(SEARCH("TIL",AF19)))</formula>
    </cfRule>
    <cfRule type="containsText" priority="747" operator="containsText" dxfId="39" stopIfTrue="1" text="疫苗">
      <formula>NOT(ISERROR(SEARCH("疫苗",AF19)))</formula>
    </cfRule>
    <cfRule type="containsText" priority="748" operator="containsText" dxfId="0" stopIfTrue="1" text="勞假">
      <formula>NOT(ISERROR(SEARCH("勞假",AF19)))</formula>
    </cfRule>
    <cfRule type="containsText" priority="749" operator="containsText" dxfId="36" stopIfTrue="1" text="補假">
      <formula>NOT(ISERROR(SEARCH("補假",AF19)))</formula>
    </cfRule>
    <cfRule type="containsText" priority="750" operator="containsText" dxfId="35" stopIfTrue="1" text="例假">
      <formula>NOT(ISERROR(SEARCH("例假",AF19)))</formula>
    </cfRule>
    <cfRule type="containsText" priority="751" operator="containsText" dxfId="4" stopIfTrue="1" text="病假">
      <formula>NOT(ISERROR(SEARCH("病假",AF19)))</formula>
    </cfRule>
    <cfRule type="containsText" priority="752" operator="containsText" dxfId="34" stopIfTrue="1" text="大假">
      <formula>NOT(ISERROR(SEARCH("大假",AF19)))</formula>
    </cfRule>
    <cfRule type="containsText" priority="753" operator="containsText" dxfId="37" stopIfTrue="1" text="無薪">
      <formula>NOT(ISERROR(SEARCH("無薪",AF19)))</formula>
    </cfRule>
    <cfRule type="containsText" priority="754" operator="containsText" dxfId="39" stopIfTrue="1" text="疫苗">
      <formula>NOT(ISERROR(SEARCH("疫苗",AF19)))</formula>
    </cfRule>
    <cfRule type="containsText" priority="755" operator="containsText" dxfId="0" stopIfTrue="1" text="勞假">
      <formula>NOT(ISERROR(SEARCH("勞假",AF19)))</formula>
    </cfRule>
    <cfRule type="containsText" priority="756" operator="containsText" dxfId="36" stopIfTrue="1" text="補假">
      <formula>NOT(ISERROR(SEARCH("補假",AF19)))</formula>
    </cfRule>
    <cfRule type="containsText" priority="757" operator="containsText" dxfId="35" stopIfTrue="1" text="例假">
      <formula>NOT(ISERROR(SEARCH("例假",AF19)))</formula>
    </cfRule>
    <cfRule type="containsText" priority="758" operator="containsText" dxfId="4" stopIfTrue="1" text="病假">
      <formula>NOT(ISERROR(SEARCH("病假",AF19)))</formula>
    </cfRule>
    <cfRule type="containsText" priority="759" operator="containsText" dxfId="34" stopIfTrue="1" text="大假">
      <formula>NOT(ISERROR(SEARCH("大假",AF19)))</formula>
    </cfRule>
    <cfRule type="containsText" priority="937" operator="containsText" dxfId="37" stopIfTrue="1" text="無薪">
      <formula>NOT(ISERROR(SEARCH("無薪",AF19)))</formula>
    </cfRule>
    <cfRule type="containsText" priority="938" operator="containsText" dxfId="38" stopIfTrue="1" text="TIL">
      <formula>NOT(ISERROR(SEARCH("TIL",AF19)))</formula>
    </cfRule>
    <cfRule type="containsText" priority="939" operator="containsText" dxfId="39" stopIfTrue="1" text="疫苗">
      <formula>NOT(ISERROR(SEARCH("疫苗",AF19)))</formula>
    </cfRule>
    <cfRule type="containsText" priority="940" operator="containsText" dxfId="0" stopIfTrue="1" text="勞假">
      <formula>NOT(ISERROR(SEARCH("勞假",AF19)))</formula>
    </cfRule>
    <cfRule type="containsText" priority="941" operator="containsText" dxfId="36" stopIfTrue="1" text="補假">
      <formula>NOT(ISERROR(SEARCH("補假",AF19)))</formula>
    </cfRule>
    <cfRule type="containsText" priority="942" operator="containsText" dxfId="35" stopIfTrue="1" text="例假">
      <formula>NOT(ISERROR(SEARCH("例假",AF19)))</formula>
    </cfRule>
    <cfRule type="containsText" priority="943" operator="containsText" dxfId="4" stopIfTrue="1" text="病假">
      <formula>NOT(ISERROR(SEARCH("病假",AF19)))</formula>
    </cfRule>
    <cfRule type="containsText" priority="944" operator="containsText" dxfId="34" stopIfTrue="1" text="大假">
      <formula>NOT(ISERROR(SEARCH("大假",AF19)))</formula>
    </cfRule>
    <cfRule type="containsText" priority="945" operator="containsText" dxfId="37" stopIfTrue="1" text="無薪">
      <formula>NOT(ISERROR(SEARCH("無薪",AF19)))</formula>
    </cfRule>
    <cfRule type="containsText" priority="946" operator="containsText" dxfId="38" stopIfTrue="1" text="TIL">
      <formula>NOT(ISERROR(SEARCH("TIL",AF19)))</formula>
    </cfRule>
    <cfRule type="containsText" priority="947" operator="containsText" dxfId="39" stopIfTrue="1" text="疫苗">
      <formula>NOT(ISERROR(SEARCH("疫苗",AF19)))</formula>
    </cfRule>
    <cfRule type="containsText" priority="948" operator="containsText" dxfId="0" stopIfTrue="1" text="勞假">
      <formula>NOT(ISERROR(SEARCH("勞假",AF19)))</formula>
    </cfRule>
    <cfRule type="containsText" priority="949" operator="containsText" dxfId="36" stopIfTrue="1" text="補假">
      <formula>NOT(ISERROR(SEARCH("補假",AF19)))</formula>
    </cfRule>
    <cfRule type="containsText" priority="950" operator="containsText" dxfId="35" stopIfTrue="1" text="例假">
      <formula>NOT(ISERROR(SEARCH("例假",AF19)))</formula>
    </cfRule>
    <cfRule type="containsText" priority="951" operator="containsText" dxfId="4" stopIfTrue="1" text="病假">
      <formula>NOT(ISERROR(SEARCH("病假",AF19)))</formula>
    </cfRule>
    <cfRule type="containsText" priority="952" operator="containsText" dxfId="34" stopIfTrue="1" text="大假">
      <formula>NOT(ISERROR(SEARCH("大假",AF19)))</formula>
    </cfRule>
    <cfRule type="containsText" priority="953" operator="containsText" dxfId="38" stopIfTrue="1" text="TIL">
      <formula>NOT(ISERROR(SEARCH("TIL",AF19)))</formula>
    </cfRule>
    <cfRule type="cellIs" priority="954" operator="equal" dxfId="4" stopIfTrue="1">
      <formula>"NP"</formula>
    </cfRule>
    <cfRule type="cellIs" priority="955" operator="equal" dxfId="25" stopIfTrue="1">
      <formula>"RD"</formula>
    </cfRule>
    <cfRule type="containsText" priority="956" operator="containsText" dxfId="38" stopIfTrue="1" text="TIL">
      <formula>NOT(ISERROR(SEARCH("TIL",AF19)))</formula>
    </cfRule>
    <cfRule type="containsText" priority="957" operator="containsText" dxfId="39" stopIfTrue="1" text="疫苗">
      <formula>NOT(ISERROR(SEARCH("疫苗",AF19)))</formula>
    </cfRule>
    <cfRule type="containsText" priority="958" operator="containsText" dxfId="0" stopIfTrue="1" text="勞假">
      <formula>NOT(ISERROR(SEARCH("勞假",AF19)))</formula>
    </cfRule>
    <cfRule type="containsText" priority="959" operator="containsText" dxfId="36" stopIfTrue="1" text="補假">
      <formula>NOT(ISERROR(SEARCH("補假",AF19)))</formula>
    </cfRule>
    <cfRule type="containsText" priority="960" operator="containsText" dxfId="35" stopIfTrue="1" text="例假">
      <formula>NOT(ISERROR(SEARCH("例假",AF19)))</formula>
    </cfRule>
    <cfRule type="containsText" priority="961" operator="containsText" dxfId="4" stopIfTrue="1" text="病假">
      <formula>NOT(ISERROR(SEARCH("病假",AF19)))</formula>
    </cfRule>
    <cfRule type="containsText" priority="962" operator="containsText" dxfId="34" stopIfTrue="1" text="大假">
      <formula>NOT(ISERROR(SEARCH("大假",AF19)))</formula>
    </cfRule>
    <cfRule type="containsText" priority="963" operator="containsText" dxfId="38" stopIfTrue="1" text="TIL">
      <formula>NOT(ISERROR(SEARCH("TIL",AF19)))</formula>
    </cfRule>
    <cfRule type="containsText" priority="964" operator="containsText" dxfId="39" stopIfTrue="1" text="疫苗">
      <formula>NOT(ISERROR(SEARCH("疫苗",AF19)))</formula>
    </cfRule>
    <cfRule type="containsText" priority="965" operator="containsText" dxfId="0" stopIfTrue="1" text="勞假">
      <formula>NOT(ISERROR(SEARCH("勞假",AF19)))</formula>
    </cfRule>
    <cfRule type="containsText" priority="966" operator="containsText" dxfId="36" stopIfTrue="1" text="補假">
      <formula>NOT(ISERROR(SEARCH("補假",AF19)))</formula>
    </cfRule>
    <cfRule type="containsText" priority="967" operator="containsText" dxfId="35" stopIfTrue="1" text="例假">
      <formula>NOT(ISERROR(SEARCH("例假",AF19)))</formula>
    </cfRule>
    <cfRule type="containsText" priority="968" operator="containsText" dxfId="4" stopIfTrue="1" text="病假">
      <formula>NOT(ISERROR(SEARCH("病假",AF19)))</formula>
    </cfRule>
    <cfRule type="containsText" priority="969" operator="containsText" dxfId="34" stopIfTrue="1" text="大假">
      <formula>NOT(ISERROR(SEARCH("大假",AF19)))</formula>
    </cfRule>
    <cfRule type="containsText" priority="970" operator="containsText" dxfId="37" stopIfTrue="1" text="無薪">
      <formula>NOT(ISERROR(SEARCH("無薪",AF19)))</formula>
    </cfRule>
    <cfRule type="containsText" priority="971" operator="containsText" dxfId="39" stopIfTrue="1" text="疫苗">
      <formula>NOT(ISERROR(SEARCH("疫苗",AF19)))</formula>
    </cfRule>
    <cfRule type="containsText" priority="972" operator="containsText" dxfId="0" stopIfTrue="1" text="勞假">
      <formula>NOT(ISERROR(SEARCH("勞假",AF19)))</formula>
    </cfRule>
    <cfRule type="containsText" priority="973" operator="containsText" dxfId="36" stopIfTrue="1" text="補假">
      <formula>NOT(ISERROR(SEARCH("補假",AF19)))</formula>
    </cfRule>
    <cfRule type="containsText" priority="974" operator="containsText" dxfId="35" stopIfTrue="1" text="例假">
      <formula>NOT(ISERROR(SEARCH("例假",AF19)))</formula>
    </cfRule>
    <cfRule type="containsText" priority="975" operator="containsText" dxfId="4" stopIfTrue="1" text="病假">
      <formula>NOT(ISERROR(SEARCH("病假",AF19)))</formula>
    </cfRule>
    <cfRule type="containsText" priority="976" operator="containsText" dxfId="34" stopIfTrue="1" text="大假">
      <formula>NOT(ISERROR(SEARCH("大假",AF19)))</formula>
    </cfRule>
    <cfRule type="containsText" priority="977" operator="containsText" dxfId="37" stopIfTrue="1" text="無薪">
      <formula>NOT(ISERROR(SEARCH("無薪",AF19)))</formula>
    </cfRule>
    <cfRule type="containsText" priority="978" operator="containsText" dxfId="38" stopIfTrue="1" text="TIL">
      <formula>NOT(ISERROR(SEARCH("TIL",AF19)))</formula>
    </cfRule>
    <cfRule type="containsText" priority="979" operator="containsText" dxfId="39" stopIfTrue="1" text="疫苗">
      <formula>NOT(ISERROR(SEARCH("疫苗",AF19)))</formula>
    </cfRule>
    <cfRule type="containsText" priority="980" operator="containsText" dxfId="0" stopIfTrue="1" text="勞假">
      <formula>NOT(ISERROR(SEARCH("勞假",AF19)))</formula>
    </cfRule>
    <cfRule type="containsText" priority="981" operator="containsText" dxfId="36" stopIfTrue="1" text="補假">
      <formula>NOT(ISERROR(SEARCH("補假",AF19)))</formula>
    </cfRule>
    <cfRule type="containsText" priority="982" operator="containsText" dxfId="35" stopIfTrue="1" text="例假">
      <formula>NOT(ISERROR(SEARCH("例假",AF19)))</formula>
    </cfRule>
    <cfRule type="containsText" priority="983" operator="containsText" dxfId="4" stopIfTrue="1" text="病假">
      <formula>NOT(ISERROR(SEARCH("病假",AF19)))</formula>
    </cfRule>
    <cfRule type="containsText" priority="984" operator="containsText" dxfId="34" stopIfTrue="1" text="大假">
      <formula>NOT(ISERROR(SEARCH("大假",AF19)))</formula>
    </cfRule>
    <cfRule type="containsText" priority="985" operator="containsText" dxfId="37" stopIfTrue="1" text="無薪">
      <formula>NOT(ISERROR(SEARCH("無薪",AF19)))</formula>
    </cfRule>
    <cfRule type="containsText" priority="986" operator="containsText" dxfId="38" stopIfTrue="1" text="TIL">
      <formula>NOT(ISERROR(SEARCH("TIL",AF19)))</formula>
    </cfRule>
    <cfRule type="containsText" priority="987" operator="containsText" dxfId="39" stopIfTrue="1" text="疫苗">
      <formula>NOT(ISERROR(SEARCH("疫苗",AF19)))</formula>
    </cfRule>
    <cfRule type="containsText" priority="988" operator="containsText" dxfId="0" stopIfTrue="1" text="勞假">
      <formula>NOT(ISERROR(SEARCH("勞假",AF19)))</formula>
    </cfRule>
    <cfRule type="containsText" priority="989" operator="containsText" dxfId="36" stopIfTrue="1" text="補假">
      <formula>NOT(ISERROR(SEARCH("補假",AF19)))</formula>
    </cfRule>
    <cfRule type="containsText" priority="990" operator="containsText" dxfId="35" stopIfTrue="1" text="例假">
      <formula>NOT(ISERROR(SEARCH("例假",AF19)))</formula>
    </cfRule>
    <cfRule type="containsText" priority="991" operator="containsText" dxfId="4" stopIfTrue="1" text="病假">
      <formula>NOT(ISERROR(SEARCH("病假",AF19)))</formula>
    </cfRule>
    <cfRule type="containsText" priority="992" operator="containsText" dxfId="34" stopIfTrue="1" text="大假">
      <formula>NOT(ISERROR(SEARCH("大假",AF19)))</formula>
    </cfRule>
    <cfRule type="containsText" priority="993" operator="containsText" dxfId="37" stopIfTrue="1" text="無薪">
      <formula>NOT(ISERROR(SEARCH("無薪",AF19)))</formula>
    </cfRule>
    <cfRule type="cellIs" priority="994" operator="equal" dxfId="24">
      <formula>"NC"</formula>
    </cfRule>
    <cfRule type="cellIs" priority="995" operator="equal" dxfId="24">
      <formula>"nd"</formula>
    </cfRule>
    <cfRule type="cellIs" priority="996" operator="equal" dxfId="24">
      <formula>0</formula>
    </cfRule>
    <cfRule type="cellIs" priority="997" operator="equal" dxfId="23">
      <formula>"R"</formula>
    </cfRule>
    <cfRule type="cellIs" priority="998" operator="equal" dxfId="48">
      <formula>"NH12"</formula>
    </cfRule>
    <cfRule type="cellIs" priority="999" operator="equal" dxfId="48">
      <formula>"Nh11"</formula>
    </cfRule>
    <cfRule type="containsText" priority="1000" operator="containsText" dxfId="38" stopIfTrue="1" text="TIL">
      <formula>NOT(ISERROR(SEARCH("TIL",AF19)))</formula>
    </cfRule>
    <cfRule type="containsText" priority="1001" operator="containsText" dxfId="39" stopIfTrue="1" text="疫苗">
      <formula>NOT(ISERROR(SEARCH("疫苗",AF19)))</formula>
    </cfRule>
    <cfRule type="containsText" priority="1002" operator="containsText" dxfId="0" stopIfTrue="1" text="勞假">
      <formula>NOT(ISERROR(SEARCH("勞假",AF19)))</formula>
    </cfRule>
    <cfRule type="containsText" priority="1003" operator="containsText" dxfId="36" stopIfTrue="1" text="補假">
      <formula>NOT(ISERROR(SEARCH("補假",AF19)))</formula>
    </cfRule>
    <cfRule type="containsText" priority="1004" operator="containsText" dxfId="35" stopIfTrue="1" text="例假">
      <formula>NOT(ISERROR(SEARCH("例假",AF19)))</formula>
    </cfRule>
    <cfRule type="containsText" priority="1005" operator="containsText" dxfId="4" stopIfTrue="1" text="病假">
      <formula>NOT(ISERROR(SEARCH("病假",AF19)))</formula>
    </cfRule>
    <cfRule type="containsText" priority="1006" operator="containsText" dxfId="34" stopIfTrue="1" text="大假">
      <formula>NOT(ISERROR(SEARCH("大假",AF19)))</formula>
    </cfRule>
    <cfRule type="containsText" priority="1007" operator="containsText" dxfId="37" stopIfTrue="1" text="無薪">
      <formula>NOT(ISERROR(SEARCH("無薪",AF19)))</formula>
    </cfRule>
    <cfRule type="containsText" priority="1008" operator="containsText" dxfId="38" stopIfTrue="1" text="TIL">
      <formula>NOT(ISERROR(SEARCH("TIL",AF19)))</formula>
    </cfRule>
    <cfRule type="containsText" priority="1009" operator="containsText" dxfId="39" stopIfTrue="1" text="疫苗">
      <formula>NOT(ISERROR(SEARCH("疫苗",AF19)))</formula>
    </cfRule>
    <cfRule type="containsText" priority="1010" operator="containsText" dxfId="0" stopIfTrue="1" text="勞假">
      <formula>NOT(ISERROR(SEARCH("勞假",AF19)))</formula>
    </cfRule>
    <cfRule type="containsText" priority="1011" operator="containsText" dxfId="36" stopIfTrue="1" text="補假">
      <formula>NOT(ISERROR(SEARCH("補假",AF19)))</formula>
    </cfRule>
    <cfRule type="containsText" priority="1012" operator="containsText" dxfId="35" stopIfTrue="1" text="例假">
      <formula>NOT(ISERROR(SEARCH("例假",AF19)))</formula>
    </cfRule>
    <cfRule type="containsText" priority="1013" operator="containsText" dxfId="4" stopIfTrue="1" text="病假">
      <formula>NOT(ISERROR(SEARCH("病假",AF19)))</formula>
    </cfRule>
    <cfRule type="containsText" priority="1014" operator="containsText" dxfId="34" stopIfTrue="1" text="大假">
      <formula>NOT(ISERROR(SEARCH("大假",AF19)))</formula>
    </cfRule>
    <cfRule type="containsText" priority="1015" operator="containsText" dxfId="37" stopIfTrue="1" text="無薪">
      <formula>NOT(ISERROR(SEARCH("無薪",AF19)))</formula>
    </cfRule>
    <cfRule type="containsText" priority="1016" operator="containsText" dxfId="39" stopIfTrue="1" text="疫苗">
      <formula>NOT(ISERROR(SEARCH("疫苗",AF19)))</formula>
    </cfRule>
    <cfRule type="containsText" priority="1017" operator="containsText" dxfId="0" stopIfTrue="1" text="勞假">
      <formula>NOT(ISERROR(SEARCH("勞假",AF19)))</formula>
    </cfRule>
    <cfRule type="containsText" priority="1018" operator="containsText" dxfId="36" stopIfTrue="1" text="補假">
      <formula>NOT(ISERROR(SEARCH("補假",AF19)))</formula>
    </cfRule>
    <cfRule type="containsText" priority="1019" operator="containsText" dxfId="35" stopIfTrue="1" text="例假">
      <formula>NOT(ISERROR(SEARCH("例假",AF19)))</formula>
    </cfRule>
    <cfRule type="containsText" priority="1020" operator="containsText" dxfId="4" stopIfTrue="1" text="病假">
      <formula>NOT(ISERROR(SEARCH("病假",AF19)))</formula>
    </cfRule>
    <cfRule type="containsText" priority="1021" operator="containsText" dxfId="34" stopIfTrue="1" text="大假">
      <formula>NOT(ISERROR(SEARCH("大假",AF19)))</formula>
    </cfRule>
    <cfRule type="containsText" priority="402" operator="containsText" dxfId="37" stopIfTrue="1" text="無薪">
      <formula>NOT(ISERROR(SEARCH("無薪",AF19)))</formula>
    </cfRule>
    <cfRule type="containsText" priority="403" operator="containsText" dxfId="38" stopIfTrue="1" text="TIL">
      <formula>NOT(ISERROR(SEARCH("TIL",AF19)))</formula>
    </cfRule>
    <cfRule type="containsText" priority="404" operator="containsText" dxfId="39" stopIfTrue="1" text="疫苗">
      <formula>NOT(ISERROR(SEARCH("疫苗",AF19)))</formula>
    </cfRule>
    <cfRule type="containsText" priority="405" operator="containsText" dxfId="0" stopIfTrue="1" text="勞假">
      <formula>NOT(ISERROR(SEARCH("勞假",AF19)))</formula>
    </cfRule>
    <cfRule type="containsText" priority="406" operator="containsText" dxfId="36" stopIfTrue="1" text="補假">
      <formula>NOT(ISERROR(SEARCH("補假",AF19)))</formula>
    </cfRule>
    <cfRule type="containsText" priority="407" operator="containsText" dxfId="35" stopIfTrue="1" text="例假">
      <formula>NOT(ISERROR(SEARCH("例假",AF19)))</formula>
    </cfRule>
    <cfRule type="containsText" priority="408" operator="containsText" dxfId="4" stopIfTrue="1" text="病假">
      <formula>NOT(ISERROR(SEARCH("病假",AF19)))</formula>
    </cfRule>
    <cfRule type="containsText" priority="409" operator="containsText" dxfId="34" stopIfTrue="1" text="大假">
      <formula>NOT(ISERROR(SEARCH("大假",AF19)))</formula>
    </cfRule>
    <cfRule type="containsText" priority="410" operator="containsText" dxfId="37" stopIfTrue="1" text="無薪">
      <formula>NOT(ISERROR(SEARCH("無薪",AF19)))</formula>
    </cfRule>
    <cfRule type="containsText" priority="411" operator="containsText" dxfId="38" stopIfTrue="1" text="TIL">
      <formula>NOT(ISERROR(SEARCH("TIL",AF19)))</formula>
    </cfRule>
    <cfRule type="containsText" priority="412" operator="containsText" dxfId="39" stopIfTrue="1" text="疫苗">
      <formula>NOT(ISERROR(SEARCH("疫苗",AF19)))</formula>
    </cfRule>
    <cfRule type="containsText" priority="413" operator="containsText" dxfId="0" stopIfTrue="1" text="勞假">
      <formula>NOT(ISERROR(SEARCH("勞假",AF19)))</formula>
    </cfRule>
    <cfRule type="containsText" priority="414" operator="containsText" dxfId="36" stopIfTrue="1" text="補假">
      <formula>NOT(ISERROR(SEARCH("補假",AF19)))</formula>
    </cfRule>
    <cfRule type="containsText" priority="415" operator="containsText" dxfId="35" stopIfTrue="1" text="例假">
      <formula>NOT(ISERROR(SEARCH("例假",AF19)))</formula>
    </cfRule>
    <cfRule type="containsText" priority="416" operator="containsText" dxfId="4" stopIfTrue="1" text="病假">
      <formula>NOT(ISERROR(SEARCH("病假",AF19)))</formula>
    </cfRule>
    <cfRule type="containsText" priority="417" operator="containsText" dxfId="34" stopIfTrue="1" text="大假">
      <formula>NOT(ISERROR(SEARCH("大假",AF19)))</formula>
    </cfRule>
    <cfRule type="containsText" priority="418" operator="containsText" dxfId="38" stopIfTrue="1" text="TIL">
      <formula>NOT(ISERROR(SEARCH("TIL",AF19)))</formula>
    </cfRule>
    <cfRule type="cellIs" priority="419" operator="equal" dxfId="4" stopIfTrue="1">
      <formula>"NP"</formula>
    </cfRule>
    <cfRule type="cellIs" priority="420" operator="equal" dxfId="25" stopIfTrue="1">
      <formula>"RD"</formula>
    </cfRule>
    <cfRule type="containsText" priority="421" operator="containsText" dxfId="38" stopIfTrue="1" text="TIL">
      <formula>NOT(ISERROR(SEARCH("TIL",AF19)))</formula>
    </cfRule>
    <cfRule type="containsText" priority="422" operator="containsText" dxfId="39" stopIfTrue="1" text="疫苗">
      <formula>NOT(ISERROR(SEARCH("疫苗",AF19)))</formula>
    </cfRule>
    <cfRule type="containsText" priority="423" operator="containsText" dxfId="0" stopIfTrue="1" text="勞假">
      <formula>NOT(ISERROR(SEARCH("勞假",AF19)))</formula>
    </cfRule>
    <cfRule type="containsText" priority="424" operator="containsText" dxfId="36" stopIfTrue="1" text="補假">
      <formula>NOT(ISERROR(SEARCH("補假",AF19)))</formula>
    </cfRule>
    <cfRule type="containsText" priority="425" operator="containsText" dxfId="35" stopIfTrue="1" text="例假">
      <formula>NOT(ISERROR(SEARCH("例假",AF19)))</formula>
    </cfRule>
    <cfRule type="containsText" priority="426" operator="containsText" dxfId="4" stopIfTrue="1" text="病假">
      <formula>NOT(ISERROR(SEARCH("病假",AF19)))</formula>
    </cfRule>
    <cfRule type="containsText" priority="427" operator="containsText" dxfId="34" stopIfTrue="1" text="大假">
      <formula>NOT(ISERROR(SEARCH("大假",AF19)))</formula>
    </cfRule>
    <cfRule type="containsText" priority="428" operator="containsText" dxfId="38" stopIfTrue="1" text="TIL">
      <formula>NOT(ISERROR(SEARCH("TIL",AF19)))</formula>
    </cfRule>
    <cfRule type="containsText" priority="429" operator="containsText" dxfId="39" stopIfTrue="1" text="疫苗">
      <formula>NOT(ISERROR(SEARCH("疫苗",AF19)))</formula>
    </cfRule>
    <cfRule type="containsText" priority="430" operator="containsText" dxfId="0" stopIfTrue="1" text="勞假">
      <formula>NOT(ISERROR(SEARCH("勞假",AF19)))</formula>
    </cfRule>
    <cfRule type="containsText" priority="431" operator="containsText" dxfId="36" stopIfTrue="1" text="補假">
      <formula>NOT(ISERROR(SEARCH("補假",AF19)))</formula>
    </cfRule>
    <cfRule type="containsText" priority="432" operator="containsText" dxfId="35" stopIfTrue="1" text="例假">
      <formula>NOT(ISERROR(SEARCH("例假",AF19)))</formula>
    </cfRule>
    <cfRule type="containsText" priority="433" operator="containsText" dxfId="4" stopIfTrue="1" text="病假">
      <formula>NOT(ISERROR(SEARCH("病假",AF19)))</formula>
    </cfRule>
    <cfRule type="containsText" priority="434" operator="containsText" dxfId="34" stopIfTrue="1" text="大假">
      <formula>NOT(ISERROR(SEARCH("大假",AF19)))</formula>
    </cfRule>
    <cfRule type="containsText" priority="435" operator="containsText" dxfId="37" stopIfTrue="1" text="無薪">
      <formula>NOT(ISERROR(SEARCH("無薪",AF19)))</formula>
    </cfRule>
    <cfRule type="containsText" priority="436" operator="containsText" dxfId="39" stopIfTrue="1" text="疫苗">
      <formula>NOT(ISERROR(SEARCH("疫苗",AF19)))</formula>
    </cfRule>
    <cfRule type="containsText" priority="437" operator="containsText" dxfId="0" stopIfTrue="1" text="勞假">
      <formula>NOT(ISERROR(SEARCH("勞假",AF19)))</formula>
    </cfRule>
    <cfRule type="containsText" priority="438" operator="containsText" dxfId="36" stopIfTrue="1" text="補假">
      <formula>NOT(ISERROR(SEARCH("補假",AF19)))</formula>
    </cfRule>
    <cfRule type="containsText" priority="439" operator="containsText" dxfId="35" stopIfTrue="1" text="例假">
      <formula>NOT(ISERROR(SEARCH("例假",AF19)))</formula>
    </cfRule>
    <cfRule type="containsText" priority="440" operator="containsText" dxfId="4" stopIfTrue="1" text="病假">
      <formula>NOT(ISERROR(SEARCH("病假",AF19)))</formula>
    </cfRule>
    <cfRule type="containsText" priority="441" operator="containsText" dxfId="34" stopIfTrue="1" text="大假">
      <formula>NOT(ISERROR(SEARCH("大假",AF19)))</formula>
    </cfRule>
    <cfRule type="containsText" priority="442" operator="containsText" dxfId="37" stopIfTrue="1" text="無薪">
      <formula>NOT(ISERROR(SEARCH("無薪",AF19)))</formula>
    </cfRule>
    <cfRule type="containsText" priority="443" operator="containsText" dxfId="38" stopIfTrue="1" text="TIL">
      <formula>NOT(ISERROR(SEARCH("TIL",AF19)))</formula>
    </cfRule>
    <cfRule type="containsText" priority="444" operator="containsText" dxfId="39" stopIfTrue="1" text="疫苗">
      <formula>NOT(ISERROR(SEARCH("疫苗",AF19)))</formula>
    </cfRule>
    <cfRule type="containsText" priority="445" operator="containsText" dxfId="0" stopIfTrue="1" text="勞假">
      <formula>NOT(ISERROR(SEARCH("勞假",AF19)))</formula>
    </cfRule>
    <cfRule type="containsText" priority="446" operator="containsText" dxfId="36" stopIfTrue="1" text="補假">
      <formula>NOT(ISERROR(SEARCH("補假",AF19)))</formula>
    </cfRule>
    <cfRule type="containsText" priority="447" operator="containsText" dxfId="35" stopIfTrue="1" text="例假">
      <formula>NOT(ISERROR(SEARCH("例假",AF19)))</formula>
    </cfRule>
    <cfRule type="containsText" priority="448" operator="containsText" dxfId="4" stopIfTrue="1" text="病假">
      <formula>NOT(ISERROR(SEARCH("病假",AF19)))</formula>
    </cfRule>
    <cfRule type="containsText" priority="449" operator="containsText" dxfId="34" stopIfTrue="1" text="大假">
      <formula>NOT(ISERROR(SEARCH("大假",AF19)))</formula>
    </cfRule>
    <cfRule type="containsText" priority="450" operator="containsText" dxfId="37" stopIfTrue="1" text="無薪">
      <formula>NOT(ISERROR(SEARCH("無薪",AF19)))</formula>
    </cfRule>
    <cfRule type="containsText" priority="451" operator="containsText" dxfId="38" stopIfTrue="1" text="TIL">
      <formula>NOT(ISERROR(SEARCH("TIL",AF19)))</formula>
    </cfRule>
    <cfRule type="containsText" priority="452" operator="containsText" dxfId="39" stopIfTrue="1" text="疫苗">
      <formula>NOT(ISERROR(SEARCH("疫苗",AF19)))</formula>
    </cfRule>
    <cfRule type="containsText" priority="453" operator="containsText" dxfId="0" stopIfTrue="1" text="勞假">
      <formula>NOT(ISERROR(SEARCH("勞假",AF19)))</formula>
    </cfRule>
    <cfRule type="containsText" priority="454" operator="containsText" dxfId="36" stopIfTrue="1" text="補假">
      <formula>NOT(ISERROR(SEARCH("補假",AF19)))</formula>
    </cfRule>
    <cfRule type="containsText" priority="455" operator="containsText" dxfId="35" stopIfTrue="1" text="例假">
      <formula>NOT(ISERROR(SEARCH("例假",AF19)))</formula>
    </cfRule>
    <cfRule type="containsText" priority="456" operator="containsText" dxfId="4" stopIfTrue="1" text="病假">
      <formula>NOT(ISERROR(SEARCH("病假",AF19)))</formula>
    </cfRule>
    <cfRule type="containsText" priority="457" operator="containsText" dxfId="34" stopIfTrue="1" text="大假">
      <formula>NOT(ISERROR(SEARCH("大假",AF19)))</formula>
    </cfRule>
    <cfRule type="containsText" priority="458" operator="containsText" dxfId="37" stopIfTrue="1" text="無薪">
      <formula>NOT(ISERROR(SEARCH("無薪",AF19)))</formula>
    </cfRule>
    <cfRule type="cellIs" priority="459" operator="equal" dxfId="24">
      <formula>"NC"</formula>
    </cfRule>
    <cfRule type="cellIs" priority="460" operator="equal" dxfId="24">
      <formula>"nd"</formula>
    </cfRule>
    <cfRule type="cellIs" priority="461" operator="equal" dxfId="24">
      <formula>0</formula>
    </cfRule>
    <cfRule type="cellIs" priority="462" operator="equal" dxfId="23">
      <formula>"R"</formula>
    </cfRule>
    <cfRule type="cellIs" priority="463" operator="equal" dxfId="48">
      <formula>"NH12"</formula>
    </cfRule>
    <cfRule type="cellIs" priority="464" operator="equal" dxfId="48">
      <formula>"Nh11"</formula>
    </cfRule>
    <cfRule type="containsText" priority="465" operator="containsText" dxfId="38" stopIfTrue="1" text="TIL">
      <formula>NOT(ISERROR(SEARCH("TIL",AF19)))</formula>
    </cfRule>
    <cfRule type="containsText" priority="466" operator="containsText" dxfId="39" stopIfTrue="1" text="疫苗">
      <formula>NOT(ISERROR(SEARCH("疫苗",AF19)))</formula>
    </cfRule>
    <cfRule type="containsText" priority="467" operator="containsText" dxfId="0" stopIfTrue="1" text="勞假">
      <formula>NOT(ISERROR(SEARCH("勞假",AF19)))</formula>
    </cfRule>
    <cfRule type="containsText" priority="468" operator="containsText" dxfId="36" stopIfTrue="1" text="補假">
      <formula>NOT(ISERROR(SEARCH("補假",AF19)))</formula>
    </cfRule>
    <cfRule type="containsText" priority="469" operator="containsText" dxfId="35" stopIfTrue="1" text="例假">
      <formula>NOT(ISERROR(SEARCH("例假",AF19)))</formula>
    </cfRule>
    <cfRule type="containsText" priority="470" operator="containsText" dxfId="4" stopIfTrue="1" text="病假">
      <formula>NOT(ISERROR(SEARCH("病假",AF19)))</formula>
    </cfRule>
    <cfRule type="containsText" priority="471" operator="containsText" dxfId="34" stopIfTrue="1" text="大假">
      <formula>NOT(ISERROR(SEARCH("大假",AF19)))</formula>
    </cfRule>
    <cfRule type="containsText" priority="472" operator="containsText" dxfId="37" stopIfTrue="1" text="無薪">
      <formula>NOT(ISERROR(SEARCH("無薪",AF19)))</formula>
    </cfRule>
    <cfRule type="containsText" priority="473" operator="containsText" dxfId="38" stopIfTrue="1" text="TIL">
      <formula>NOT(ISERROR(SEARCH("TIL",AF19)))</formula>
    </cfRule>
    <cfRule type="containsText" priority="474" operator="containsText" dxfId="39" stopIfTrue="1" text="疫苗">
      <formula>NOT(ISERROR(SEARCH("疫苗",AF19)))</formula>
    </cfRule>
    <cfRule type="containsText" priority="475" operator="containsText" dxfId="0" stopIfTrue="1" text="勞假">
      <formula>NOT(ISERROR(SEARCH("勞假",AF19)))</formula>
    </cfRule>
    <cfRule type="containsText" priority="476" operator="containsText" dxfId="36" stopIfTrue="1" text="補假">
      <formula>NOT(ISERROR(SEARCH("補假",AF19)))</formula>
    </cfRule>
    <cfRule type="containsText" priority="477" operator="containsText" dxfId="35" stopIfTrue="1" text="例假">
      <formula>NOT(ISERROR(SEARCH("例假",AF19)))</formula>
    </cfRule>
    <cfRule type="containsText" priority="478" operator="containsText" dxfId="4" stopIfTrue="1" text="病假">
      <formula>NOT(ISERROR(SEARCH("病假",AF19)))</formula>
    </cfRule>
    <cfRule type="containsText" priority="479" operator="containsText" dxfId="34" stopIfTrue="1" text="大假">
      <formula>NOT(ISERROR(SEARCH("大假",AF19)))</formula>
    </cfRule>
    <cfRule type="containsText" priority="480" operator="containsText" dxfId="37" stopIfTrue="1" text="無薪">
      <formula>NOT(ISERROR(SEARCH("無薪",AF19)))</formula>
    </cfRule>
    <cfRule type="containsText" priority="481" operator="containsText" dxfId="39" stopIfTrue="1" text="疫苗">
      <formula>NOT(ISERROR(SEARCH("疫苗",AF19)))</formula>
    </cfRule>
    <cfRule type="containsText" priority="482" operator="containsText" dxfId="0" stopIfTrue="1" text="勞假">
      <formula>NOT(ISERROR(SEARCH("勞假",AF19)))</formula>
    </cfRule>
    <cfRule type="containsText" priority="483" operator="containsText" dxfId="36" stopIfTrue="1" text="補假">
      <formula>NOT(ISERROR(SEARCH("補假",AF19)))</formula>
    </cfRule>
    <cfRule type="containsText" priority="484" operator="containsText" dxfId="35" stopIfTrue="1" text="例假">
      <formula>NOT(ISERROR(SEARCH("例假",AF19)))</formula>
    </cfRule>
    <cfRule type="containsText" priority="485" operator="containsText" dxfId="4" stopIfTrue="1" text="病假">
      <formula>NOT(ISERROR(SEARCH("病假",AF19)))</formula>
    </cfRule>
    <cfRule type="containsText" priority="486" operator="containsText" dxfId="34" stopIfTrue="1" text="大假">
      <formula>NOT(ISERROR(SEARCH("大假",AF19)))</formula>
    </cfRule>
    <cfRule type="containsText" priority="487" operator="containsText" dxfId="37" stopIfTrue="1" text="無薪">
      <formula>NOT(ISERROR(SEARCH("無薪",AF19)))</formula>
    </cfRule>
    <cfRule type="containsText" priority="488" operator="containsText" dxfId="38" stopIfTrue="1" text="TIL">
      <formula>NOT(ISERROR(SEARCH("TIL",AF19)))</formula>
    </cfRule>
    <cfRule type="containsText" priority="489" operator="containsText" dxfId="39" stopIfTrue="1" text="疫苗">
      <formula>NOT(ISERROR(SEARCH("疫苗",AF19)))</formula>
    </cfRule>
    <cfRule type="containsText" priority="490" operator="containsText" dxfId="0" stopIfTrue="1" text="勞假">
      <formula>NOT(ISERROR(SEARCH("勞假",AF19)))</formula>
    </cfRule>
    <cfRule type="containsText" priority="491" operator="containsText" dxfId="36" stopIfTrue="1" text="補假">
      <formula>NOT(ISERROR(SEARCH("補假",AF19)))</formula>
    </cfRule>
    <cfRule type="containsText" priority="492" operator="containsText" dxfId="35" stopIfTrue="1" text="例假">
      <formula>NOT(ISERROR(SEARCH("例假",AF19)))</formula>
    </cfRule>
    <cfRule type="containsText" priority="493" operator="containsText" dxfId="4" stopIfTrue="1" text="病假">
      <formula>NOT(ISERROR(SEARCH("病假",AF19)))</formula>
    </cfRule>
    <cfRule type="containsText" priority="494" operator="containsText" dxfId="34" stopIfTrue="1" text="大假">
      <formula>NOT(ISERROR(SEARCH("大假",AF19)))</formula>
    </cfRule>
    <cfRule type="containsText" priority="495" operator="containsText" dxfId="37" stopIfTrue="1" text="無薪">
      <formula>NOT(ISERROR(SEARCH("無薪",AF19)))</formula>
    </cfRule>
    <cfRule type="containsText" priority="496" operator="containsText" dxfId="38" stopIfTrue="1" text="TIL">
      <formula>NOT(ISERROR(SEARCH("TIL",AF19)))</formula>
    </cfRule>
    <cfRule type="containsText" priority="497" operator="containsText" dxfId="39" stopIfTrue="1" text="疫苗">
      <formula>NOT(ISERROR(SEARCH("疫苗",AF19)))</formula>
    </cfRule>
    <cfRule type="containsText" priority="498" operator="containsText" dxfId="0" stopIfTrue="1" text="勞假">
      <formula>NOT(ISERROR(SEARCH("勞假",AF19)))</formula>
    </cfRule>
    <cfRule type="containsText" priority="499" operator="containsText" dxfId="36" stopIfTrue="1" text="補假">
      <formula>NOT(ISERROR(SEARCH("補假",AF19)))</formula>
    </cfRule>
    <cfRule type="containsText" priority="500" operator="containsText" dxfId="35" stopIfTrue="1" text="例假">
      <formula>NOT(ISERROR(SEARCH("例假",AF19)))</formula>
    </cfRule>
    <cfRule type="containsText" priority="501" operator="containsText" dxfId="4" stopIfTrue="1" text="病假">
      <formula>NOT(ISERROR(SEARCH("病假",AF19)))</formula>
    </cfRule>
    <cfRule type="containsText" priority="502" operator="containsText" dxfId="34" stopIfTrue="1" text="大假">
      <formula>NOT(ISERROR(SEARCH("大假",AF19)))</formula>
    </cfRule>
    <cfRule type="containsText" priority="503" operator="containsText" dxfId="38" stopIfTrue="1" text="TIL">
      <formula>NOT(ISERROR(SEARCH("TIL",AF19)))</formula>
    </cfRule>
    <cfRule type="cellIs" priority="504" operator="equal" dxfId="4" stopIfTrue="1">
      <formula>"NP"</formula>
    </cfRule>
    <cfRule type="cellIs" priority="505" operator="equal" dxfId="25" stopIfTrue="1">
      <formula>"RD"</formula>
    </cfRule>
    <cfRule type="containsText" priority="506" operator="containsText" dxfId="38" stopIfTrue="1" text="TIL">
      <formula>NOT(ISERROR(SEARCH("TIL",AF19)))</formula>
    </cfRule>
    <cfRule type="containsText" priority="507" operator="containsText" dxfId="39" stopIfTrue="1" text="疫苗">
      <formula>NOT(ISERROR(SEARCH("疫苗",AF19)))</formula>
    </cfRule>
    <cfRule type="containsText" priority="508" operator="containsText" dxfId="0" stopIfTrue="1" text="勞假">
      <formula>NOT(ISERROR(SEARCH("勞假",AF19)))</formula>
    </cfRule>
    <cfRule type="containsText" priority="509" operator="containsText" dxfId="36" stopIfTrue="1" text="補假">
      <formula>NOT(ISERROR(SEARCH("補假",AF19)))</formula>
    </cfRule>
    <cfRule type="containsText" priority="510" operator="containsText" dxfId="35" stopIfTrue="1" text="例假">
      <formula>NOT(ISERROR(SEARCH("例假",AF19)))</formula>
    </cfRule>
    <cfRule type="containsText" priority="511" operator="containsText" dxfId="4" stopIfTrue="1" text="病假">
      <formula>NOT(ISERROR(SEARCH("病假",AF19)))</formula>
    </cfRule>
    <cfRule type="containsText" priority="512" operator="containsText" dxfId="34" stopIfTrue="1" text="大假">
      <formula>NOT(ISERROR(SEARCH("大假",AF19)))</formula>
    </cfRule>
    <cfRule type="containsText" priority="513" operator="containsText" dxfId="38" stopIfTrue="1" text="TIL">
      <formula>NOT(ISERROR(SEARCH("TIL",AF19)))</formula>
    </cfRule>
    <cfRule type="containsText" priority="514" operator="containsText" dxfId="39" stopIfTrue="1" text="疫苗">
      <formula>NOT(ISERROR(SEARCH("疫苗",AF19)))</formula>
    </cfRule>
    <cfRule type="containsText" priority="515" operator="containsText" dxfId="0" stopIfTrue="1" text="勞假">
      <formula>NOT(ISERROR(SEARCH("勞假",AF19)))</formula>
    </cfRule>
    <cfRule type="containsText" priority="516" operator="containsText" dxfId="36" stopIfTrue="1" text="補假">
      <formula>NOT(ISERROR(SEARCH("補假",AF19)))</formula>
    </cfRule>
    <cfRule type="containsText" priority="517" operator="containsText" dxfId="35" stopIfTrue="1" text="例假">
      <formula>NOT(ISERROR(SEARCH("例假",AF19)))</formula>
    </cfRule>
    <cfRule type="containsText" priority="518" operator="containsText" dxfId="4" stopIfTrue="1" text="病假">
      <formula>NOT(ISERROR(SEARCH("病假",AF19)))</formula>
    </cfRule>
    <cfRule type="containsText" priority="519" operator="containsText" dxfId="34" stopIfTrue="1" text="大假">
      <formula>NOT(ISERROR(SEARCH("大假",AF19)))</formula>
    </cfRule>
    <cfRule type="containsText" priority="520" operator="containsText" dxfId="37" stopIfTrue="1" text="無薪">
      <formula>NOT(ISERROR(SEARCH("無薪",AF19)))</formula>
    </cfRule>
    <cfRule type="containsText" priority="521" operator="containsText" dxfId="39" stopIfTrue="1" text="疫苗">
      <formula>NOT(ISERROR(SEARCH("疫苗",AF19)))</formula>
    </cfRule>
    <cfRule type="containsText" priority="522" operator="containsText" dxfId="0" stopIfTrue="1" text="勞假">
      <formula>NOT(ISERROR(SEARCH("勞假",AF19)))</formula>
    </cfRule>
    <cfRule type="containsText" priority="523" operator="containsText" dxfId="36" stopIfTrue="1" text="補假">
      <formula>NOT(ISERROR(SEARCH("補假",AF19)))</formula>
    </cfRule>
    <cfRule type="containsText" priority="524" operator="containsText" dxfId="35" stopIfTrue="1" text="例假">
      <formula>NOT(ISERROR(SEARCH("例假",AF19)))</formula>
    </cfRule>
    <cfRule type="containsText" priority="525" operator="containsText" dxfId="4" stopIfTrue="1" text="病假">
      <formula>NOT(ISERROR(SEARCH("病假",AF19)))</formula>
    </cfRule>
    <cfRule type="containsText" priority="526" operator="containsText" dxfId="34" stopIfTrue="1" text="大假">
      <formula>NOT(ISERROR(SEARCH("大假",AF19)))</formula>
    </cfRule>
    <cfRule type="containsText" priority="527" operator="containsText" dxfId="37" stopIfTrue="1" text="無薪">
      <formula>NOT(ISERROR(SEARCH("無薪",AF19)))</formula>
    </cfRule>
    <cfRule type="containsText" priority="528" operator="containsText" dxfId="38" stopIfTrue="1" text="TIL">
      <formula>NOT(ISERROR(SEARCH("TIL",AF19)))</formula>
    </cfRule>
    <cfRule type="containsText" priority="529" operator="containsText" dxfId="39" stopIfTrue="1" text="疫苗">
      <formula>NOT(ISERROR(SEARCH("疫苗",AF19)))</formula>
    </cfRule>
    <cfRule type="containsText" priority="530" operator="containsText" dxfId="0" stopIfTrue="1" text="勞假">
      <formula>NOT(ISERROR(SEARCH("勞假",AF19)))</formula>
    </cfRule>
    <cfRule type="containsText" priority="531" operator="containsText" dxfId="36" stopIfTrue="1" text="補假">
      <formula>NOT(ISERROR(SEARCH("補假",AF19)))</formula>
    </cfRule>
    <cfRule type="containsText" priority="532" operator="containsText" dxfId="35" stopIfTrue="1" text="例假">
      <formula>NOT(ISERROR(SEARCH("例假",AF19)))</formula>
    </cfRule>
    <cfRule type="containsText" priority="533" operator="containsText" dxfId="4" stopIfTrue="1" text="病假">
      <formula>NOT(ISERROR(SEARCH("病假",AF19)))</formula>
    </cfRule>
    <cfRule type="containsText" priority="534" operator="containsText" dxfId="34" stopIfTrue="1" text="大假">
      <formula>NOT(ISERROR(SEARCH("大假",AF19)))</formula>
    </cfRule>
    <cfRule type="containsText" priority="535" operator="containsText" dxfId="37" stopIfTrue="1" text="無薪">
      <formula>NOT(ISERROR(SEARCH("無薪",AF19)))</formula>
    </cfRule>
    <cfRule type="containsText" priority="536" operator="containsText" dxfId="38" stopIfTrue="1" text="TIL">
      <formula>NOT(ISERROR(SEARCH("TIL",AF19)))</formula>
    </cfRule>
    <cfRule type="containsText" priority="537" operator="containsText" dxfId="39" stopIfTrue="1" text="疫苗">
      <formula>NOT(ISERROR(SEARCH("疫苗",AF19)))</formula>
    </cfRule>
    <cfRule type="containsText" priority="538" operator="containsText" dxfId="0" stopIfTrue="1" text="勞假">
      <formula>NOT(ISERROR(SEARCH("勞假",AF19)))</formula>
    </cfRule>
    <cfRule type="containsText" priority="539" operator="containsText" dxfId="36" stopIfTrue="1" text="補假">
      <formula>NOT(ISERROR(SEARCH("補假",AF19)))</formula>
    </cfRule>
    <cfRule type="containsText" priority="540" operator="containsText" dxfId="35" stopIfTrue="1" text="例假">
      <formula>NOT(ISERROR(SEARCH("例假",AF19)))</formula>
    </cfRule>
    <cfRule type="containsText" priority="541" operator="containsText" dxfId="4" stopIfTrue="1" text="病假">
      <formula>NOT(ISERROR(SEARCH("病假",AF19)))</formula>
    </cfRule>
    <cfRule type="containsText" priority="542" operator="containsText" dxfId="34" stopIfTrue="1" text="大假">
      <formula>NOT(ISERROR(SEARCH("大假",AF19)))</formula>
    </cfRule>
    <cfRule type="containsText" priority="543" operator="containsText" dxfId="37" stopIfTrue="1" text="無薪">
      <formula>NOT(ISERROR(SEARCH("無薪",AF19)))</formula>
    </cfRule>
    <cfRule type="cellIs" priority="544" operator="equal" dxfId="24">
      <formula>"NC"</formula>
    </cfRule>
    <cfRule type="cellIs" priority="545" operator="equal" dxfId="24">
      <formula>"nd"</formula>
    </cfRule>
    <cfRule type="cellIs" priority="546" operator="equal" dxfId="24">
      <formula>0</formula>
    </cfRule>
    <cfRule type="cellIs" priority="547" operator="equal" dxfId="23">
      <formula>"R"</formula>
    </cfRule>
    <cfRule type="cellIs" priority="548" operator="equal" dxfId="48">
      <formula>"NH12"</formula>
    </cfRule>
    <cfRule type="cellIs" priority="549" operator="equal" dxfId="48">
      <formula>"Nh11"</formula>
    </cfRule>
    <cfRule type="containsText" priority="550" operator="containsText" dxfId="38" stopIfTrue="1" text="TIL">
      <formula>NOT(ISERROR(SEARCH("TIL",AF19)))</formula>
    </cfRule>
    <cfRule type="containsText" priority="551" operator="containsText" dxfId="39" stopIfTrue="1" text="疫苗">
      <formula>NOT(ISERROR(SEARCH("疫苗",AF19)))</formula>
    </cfRule>
    <cfRule type="containsText" priority="552" operator="containsText" dxfId="0" stopIfTrue="1" text="勞假">
      <formula>NOT(ISERROR(SEARCH("勞假",AF19)))</formula>
    </cfRule>
    <cfRule type="containsText" priority="553" operator="containsText" dxfId="36" stopIfTrue="1" text="補假">
      <formula>NOT(ISERROR(SEARCH("補假",AF19)))</formula>
    </cfRule>
    <cfRule type="containsText" priority="554" operator="containsText" dxfId="35" stopIfTrue="1" text="例假">
      <formula>NOT(ISERROR(SEARCH("例假",AF19)))</formula>
    </cfRule>
    <cfRule type="containsText" priority="555" operator="containsText" dxfId="4" stopIfTrue="1" text="病假">
      <formula>NOT(ISERROR(SEARCH("病假",AF19)))</formula>
    </cfRule>
    <cfRule type="containsText" priority="556" operator="containsText" dxfId="34" stopIfTrue="1" text="大假">
      <formula>NOT(ISERROR(SEARCH("大假",AF19)))</formula>
    </cfRule>
    <cfRule type="containsText" priority="557" operator="containsText" dxfId="37" stopIfTrue="1" text="無薪">
      <formula>NOT(ISERROR(SEARCH("無薪",AF19)))</formula>
    </cfRule>
    <cfRule type="containsText" priority="558" operator="containsText" dxfId="38" stopIfTrue="1" text="TIL">
      <formula>NOT(ISERROR(SEARCH("TIL",AF19)))</formula>
    </cfRule>
    <cfRule type="containsText" priority="559" operator="containsText" dxfId="39" stopIfTrue="1" text="疫苗">
      <formula>NOT(ISERROR(SEARCH("疫苗",AF19)))</formula>
    </cfRule>
    <cfRule type="containsText" priority="560" operator="containsText" dxfId="0" stopIfTrue="1" text="勞假">
      <formula>NOT(ISERROR(SEARCH("勞假",AF19)))</formula>
    </cfRule>
    <cfRule type="containsText" priority="561" operator="containsText" dxfId="36" stopIfTrue="1" text="補假">
      <formula>NOT(ISERROR(SEARCH("補假",AF19)))</formula>
    </cfRule>
    <cfRule type="containsText" priority="562" operator="containsText" dxfId="35" stopIfTrue="1" text="例假">
      <formula>NOT(ISERROR(SEARCH("例假",AF19)))</formula>
    </cfRule>
    <cfRule type="containsText" priority="563" operator="containsText" dxfId="4" stopIfTrue="1" text="病假">
      <formula>NOT(ISERROR(SEARCH("病假",AF19)))</formula>
    </cfRule>
    <cfRule type="containsText" priority="564" operator="containsText" dxfId="34" stopIfTrue="1" text="大假">
      <formula>NOT(ISERROR(SEARCH("大假",AF19)))</formula>
    </cfRule>
    <cfRule type="containsText" priority="565" operator="containsText" dxfId="37" stopIfTrue="1" text="無薪">
      <formula>NOT(ISERROR(SEARCH("無薪",AF19)))</formula>
    </cfRule>
    <cfRule type="containsText" priority="566" operator="containsText" dxfId="39" stopIfTrue="1" text="疫苗">
      <formula>NOT(ISERROR(SEARCH("疫苗",AF19)))</formula>
    </cfRule>
    <cfRule type="containsText" priority="567" operator="containsText" dxfId="0" stopIfTrue="1" text="勞假">
      <formula>NOT(ISERROR(SEARCH("勞假",AF19)))</formula>
    </cfRule>
    <cfRule type="containsText" priority="568" operator="containsText" dxfId="36" stopIfTrue="1" text="補假">
      <formula>NOT(ISERROR(SEARCH("補假",AF19)))</formula>
    </cfRule>
    <cfRule type="containsText" priority="569" operator="containsText" dxfId="35" stopIfTrue="1" text="例假">
      <formula>NOT(ISERROR(SEARCH("例假",AF19)))</formula>
    </cfRule>
    <cfRule type="containsText" priority="570" operator="containsText" dxfId="4" stopIfTrue="1" text="病假">
      <formula>NOT(ISERROR(SEARCH("病假",AF19)))</formula>
    </cfRule>
    <cfRule type="containsText" priority="571" operator="containsText" dxfId="34" stopIfTrue="1" text="大假">
      <formula>NOT(ISERROR(SEARCH("大假",AF19)))</formula>
    </cfRule>
  </conditionalFormatting>
  <conditionalFormatting sqref="AF11:AG11">
    <cfRule type="containsText" priority="572" operator="containsText" dxfId="4" text="RD">
      <formula>NOT(ISERROR(SEARCH("RD",AF11)))</formula>
    </cfRule>
    <cfRule type="containsText" priority="573" operator="containsText" dxfId="405" text="NP">
      <formula>NOT(ISERROR(SEARCH("NP",AF11)))</formula>
    </cfRule>
    <cfRule type="cellIs" priority="574" operator="equal" dxfId="61">
      <formula>"VO"</formula>
    </cfRule>
    <cfRule type="cellIs" priority="575" operator="equal" dxfId="61">
      <formula>"CW"</formula>
    </cfRule>
    <cfRule type="cellIs" priority="576" operator="equal" dxfId="61">
      <formula>"CF"</formula>
    </cfRule>
    <cfRule type="containsText" priority="577" operator="containsText" dxfId="37" stopIfTrue="1" text="無薪">
      <formula>NOT(ISERROR(SEARCH("無薪",AF11)))</formula>
    </cfRule>
    <cfRule type="containsText" priority="578" operator="containsText" dxfId="38" stopIfTrue="1" text="TIL">
      <formula>NOT(ISERROR(SEARCH("TIL",AF11)))</formula>
    </cfRule>
    <cfRule type="containsText" priority="579" operator="containsText" dxfId="39" stopIfTrue="1" text="疫苗">
      <formula>NOT(ISERROR(SEARCH("疫苗",AF11)))</formula>
    </cfRule>
    <cfRule type="containsText" priority="580" operator="containsText" dxfId="0" stopIfTrue="1" text="勞假">
      <formula>NOT(ISERROR(SEARCH("勞假",AF11)))</formula>
    </cfRule>
    <cfRule type="containsText" priority="581" operator="containsText" dxfId="36" stopIfTrue="1" text="補假">
      <formula>NOT(ISERROR(SEARCH("補假",AF11)))</formula>
    </cfRule>
    <cfRule type="containsText" priority="582" operator="containsText" dxfId="35" stopIfTrue="1" text="例假">
      <formula>NOT(ISERROR(SEARCH("例假",AF11)))</formula>
    </cfRule>
    <cfRule type="containsText" priority="583" operator="containsText" dxfId="4" stopIfTrue="1" text="病假">
      <formula>NOT(ISERROR(SEARCH("病假",AF11)))</formula>
    </cfRule>
    <cfRule type="containsText" priority="584" operator="containsText" dxfId="34" stopIfTrue="1" text="大假">
      <formula>NOT(ISERROR(SEARCH("大假",AF11)))</formula>
    </cfRule>
    <cfRule type="containsText" priority="585" operator="containsText" dxfId="37" stopIfTrue="1" text="無薪">
      <formula>NOT(ISERROR(SEARCH("無薪",AF11)))</formula>
    </cfRule>
    <cfRule type="containsText" priority="586" operator="containsText" dxfId="38" stopIfTrue="1" text="TIL">
      <formula>NOT(ISERROR(SEARCH("TIL",AF11)))</formula>
    </cfRule>
    <cfRule type="containsText" priority="587" operator="containsText" dxfId="39" stopIfTrue="1" text="疫苗">
      <formula>NOT(ISERROR(SEARCH("疫苗",AF11)))</formula>
    </cfRule>
    <cfRule type="containsText" priority="588" operator="containsText" dxfId="0" stopIfTrue="1" text="勞假">
      <formula>NOT(ISERROR(SEARCH("勞假",AF11)))</formula>
    </cfRule>
    <cfRule type="containsText" priority="589" operator="containsText" dxfId="36" stopIfTrue="1" text="補假">
      <formula>NOT(ISERROR(SEARCH("補假",AF11)))</formula>
    </cfRule>
    <cfRule type="containsText" priority="590" operator="containsText" dxfId="35" stopIfTrue="1" text="例假">
      <formula>NOT(ISERROR(SEARCH("例假",AF11)))</formula>
    </cfRule>
    <cfRule type="containsText" priority="591" operator="containsText" dxfId="4" stopIfTrue="1" text="病假">
      <formula>NOT(ISERROR(SEARCH("病假",AF11)))</formula>
    </cfRule>
    <cfRule type="containsText" priority="592" operator="containsText" dxfId="34" stopIfTrue="1" text="大假">
      <formula>NOT(ISERROR(SEARCH("大假",AF11)))</formula>
    </cfRule>
    <cfRule type="containsText" priority="593" operator="containsText" dxfId="38" stopIfTrue="1" text="TIL">
      <formula>NOT(ISERROR(SEARCH("TIL",AF11)))</formula>
    </cfRule>
    <cfRule type="cellIs" priority="594" operator="equal" dxfId="4" stopIfTrue="1">
      <formula>"NP"</formula>
    </cfRule>
    <cfRule type="cellIs" priority="595" operator="equal" dxfId="25" stopIfTrue="1">
      <formula>"RD"</formula>
    </cfRule>
    <cfRule type="containsText" priority="596" operator="containsText" dxfId="38" stopIfTrue="1" text="TIL">
      <formula>NOT(ISERROR(SEARCH("TIL",AF11)))</formula>
    </cfRule>
    <cfRule type="containsText" priority="597" operator="containsText" dxfId="39" stopIfTrue="1" text="疫苗">
      <formula>NOT(ISERROR(SEARCH("疫苗",AF11)))</formula>
    </cfRule>
    <cfRule type="containsText" priority="598" operator="containsText" dxfId="0" stopIfTrue="1" text="勞假">
      <formula>NOT(ISERROR(SEARCH("勞假",AF11)))</formula>
    </cfRule>
    <cfRule type="containsText" priority="599" operator="containsText" dxfId="36" stopIfTrue="1" text="補假">
      <formula>NOT(ISERROR(SEARCH("補假",AF11)))</formula>
    </cfRule>
    <cfRule type="containsText" priority="600" operator="containsText" dxfId="35" stopIfTrue="1" text="例假">
      <formula>NOT(ISERROR(SEARCH("例假",AF11)))</formula>
    </cfRule>
    <cfRule type="containsText" priority="601" operator="containsText" dxfId="4" stopIfTrue="1" text="病假">
      <formula>NOT(ISERROR(SEARCH("病假",AF11)))</formula>
    </cfRule>
    <cfRule type="containsText" priority="602" operator="containsText" dxfId="34" stopIfTrue="1" text="大假">
      <formula>NOT(ISERROR(SEARCH("大假",AF11)))</formula>
    </cfRule>
    <cfRule type="containsText" priority="603" operator="containsText" dxfId="38" stopIfTrue="1" text="TIL">
      <formula>NOT(ISERROR(SEARCH("TIL",AF11)))</formula>
    </cfRule>
    <cfRule type="containsText" priority="604" operator="containsText" dxfId="39" stopIfTrue="1" text="疫苗">
      <formula>NOT(ISERROR(SEARCH("疫苗",AF11)))</formula>
    </cfRule>
    <cfRule type="containsText" priority="605" operator="containsText" dxfId="0" stopIfTrue="1" text="勞假">
      <formula>NOT(ISERROR(SEARCH("勞假",AF11)))</formula>
    </cfRule>
    <cfRule type="containsText" priority="606" operator="containsText" dxfId="36" stopIfTrue="1" text="補假">
      <formula>NOT(ISERROR(SEARCH("補假",AF11)))</formula>
    </cfRule>
    <cfRule type="containsText" priority="607" operator="containsText" dxfId="35" stopIfTrue="1" text="例假">
      <formula>NOT(ISERROR(SEARCH("例假",AF11)))</formula>
    </cfRule>
    <cfRule type="containsText" priority="608" operator="containsText" dxfId="4" stopIfTrue="1" text="病假">
      <formula>NOT(ISERROR(SEARCH("病假",AF11)))</formula>
    </cfRule>
    <cfRule type="containsText" priority="609" operator="containsText" dxfId="34" stopIfTrue="1" text="大假">
      <formula>NOT(ISERROR(SEARCH("大假",AF11)))</formula>
    </cfRule>
    <cfRule type="containsText" priority="610" operator="containsText" dxfId="37" stopIfTrue="1" text="無薪">
      <formula>NOT(ISERROR(SEARCH("無薪",AF11)))</formula>
    </cfRule>
    <cfRule type="containsText" priority="611" operator="containsText" dxfId="39" stopIfTrue="1" text="疫苗">
      <formula>NOT(ISERROR(SEARCH("疫苗",AF11)))</formula>
    </cfRule>
    <cfRule type="containsText" priority="612" operator="containsText" dxfId="0" stopIfTrue="1" text="勞假">
      <formula>NOT(ISERROR(SEARCH("勞假",AF11)))</formula>
    </cfRule>
    <cfRule type="containsText" priority="613" operator="containsText" dxfId="36" stopIfTrue="1" text="補假">
      <formula>NOT(ISERROR(SEARCH("補假",AF11)))</formula>
    </cfRule>
    <cfRule type="containsText" priority="614" operator="containsText" dxfId="35" stopIfTrue="1" text="例假">
      <formula>NOT(ISERROR(SEARCH("例假",AF11)))</formula>
    </cfRule>
    <cfRule type="containsText" priority="615" operator="containsText" dxfId="4" stopIfTrue="1" text="病假">
      <formula>NOT(ISERROR(SEARCH("病假",AF11)))</formula>
    </cfRule>
    <cfRule type="containsText" priority="616" operator="containsText" dxfId="34" stopIfTrue="1" text="大假">
      <formula>NOT(ISERROR(SEARCH("大假",AF11)))</formula>
    </cfRule>
    <cfRule type="containsText" priority="617" operator="containsText" dxfId="37" stopIfTrue="1" text="無薪">
      <formula>NOT(ISERROR(SEARCH("無薪",AF11)))</formula>
    </cfRule>
    <cfRule type="containsText" priority="618" operator="containsText" dxfId="38" stopIfTrue="1" text="TIL">
      <formula>NOT(ISERROR(SEARCH("TIL",AF11)))</formula>
    </cfRule>
    <cfRule type="containsText" priority="619" operator="containsText" dxfId="39" stopIfTrue="1" text="疫苗">
      <formula>NOT(ISERROR(SEARCH("疫苗",AF11)))</formula>
    </cfRule>
    <cfRule type="containsText" priority="620" operator="containsText" dxfId="0" stopIfTrue="1" text="勞假">
      <formula>NOT(ISERROR(SEARCH("勞假",AF11)))</formula>
    </cfRule>
    <cfRule type="containsText" priority="621" operator="containsText" dxfId="36" stopIfTrue="1" text="補假">
      <formula>NOT(ISERROR(SEARCH("補假",AF11)))</formula>
    </cfRule>
    <cfRule type="containsText" priority="622" operator="containsText" dxfId="35" stopIfTrue="1" text="例假">
      <formula>NOT(ISERROR(SEARCH("例假",AF11)))</formula>
    </cfRule>
    <cfRule type="containsText" priority="623" operator="containsText" dxfId="4" stopIfTrue="1" text="病假">
      <formula>NOT(ISERROR(SEARCH("病假",AF11)))</formula>
    </cfRule>
    <cfRule type="containsText" priority="624" operator="containsText" dxfId="34" stopIfTrue="1" text="大假">
      <formula>NOT(ISERROR(SEARCH("大假",AF11)))</formula>
    </cfRule>
    <cfRule type="containsText" priority="625" operator="containsText" dxfId="37" stopIfTrue="1" text="無薪">
      <formula>NOT(ISERROR(SEARCH("無薪",AF11)))</formula>
    </cfRule>
    <cfRule type="containsText" priority="626" operator="containsText" dxfId="38" stopIfTrue="1" text="TIL">
      <formula>NOT(ISERROR(SEARCH("TIL",AF11)))</formula>
    </cfRule>
    <cfRule type="containsText" priority="627" operator="containsText" dxfId="39" stopIfTrue="1" text="疫苗">
      <formula>NOT(ISERROR(SEARCH("疫苗",AF11)))</formula>
    </cfRule>
    <cfRule type="containsText" priority="628" operator="containsText" dxfId="0" stopIfTrue="1" text="勞假">
      <formula>NOT(ISERROR(SEARCH("勞假",AF11)))</formula>
    </cfRule>
    <cfRule type="containsText" priority="629" operator="containsText" dxfId="36" stopIfTrue="1" text="補假">
      <formula>NOT(ISERROR(SEARCH("補假",AF11)))</formula>
    </cfRule>
    <cfRule type="containsText" priority="630" operator="containsText" dxfId="35" stopIfTrue="1" text="例假">
      <formula>NOT(ISERROR(SEARCH("例假",AF11)))</formula>
    </cfRule>
    <cfRule type="containsText" priority="631" operator="containsText" dxfId="4" stopIfTrue="1" text="病假">
      <formula>NOT(ISERROR(SEARCH("病假",AF11)))</formula>
    </cfRule>
    <cfRule type="containsText" priority="632" operator="containsText" dxfId="34" stopIfTrue="1" text="大假">
      <formula>NOT(ISERROR(SEARCH("大假",AF11)))</formula>
    </cfRule>
    <cfRule type="containsText" priority="633" operator="containsText" dxfId="37" stopIfTrue="1" text="無薪">
      <formula>NOT(ISERROR(SEARCH("無薪",AF11)))</formula>
    </cfRule>
    <cfRule type="cellIs" priority="634" operator="equal" dxfId="24">
      <formula>"NC"</formula>
    </cfRule>
    <cfRule type="cellIs" priority="635" operator="equal" dxfId="24">
      <formula>"nd"</formula>
    </cfRule>
    <cfRule type="cellIs" priority="636" operator="equal" dxfId="24">
      <formula>0</formula>
    </cfRule>
    <cfRule type="cellIs" priority="637" operator="equal" dxfId="23">
      <formula>"R"</formula>
    </cfRule>
    <cfRule type="cellIs" priority="638" operator="equal" dxfId="48">
      <formula>"NH12"</formula>
    </cfRule>
    <cfRule type="cellIs" priority="639" operator="equal" dxfId="48">
      <formula>"Nh11"</formula>
    </cfRule>
    <cfRule type="containsText" priority="640" operator="containsText" dxfId="38" stopIfTrue="1" text="TIL">
      <formula>NOT(ISERROR(SEARCH("TIL",AF11)))</formula>
    </cfRule>
    <cfRule type="containsText" priority="641" operator="containsText" dxfId="39" stopIfTrue="1" text="疫苗">
      <formula>NOT(ISERROR(SEARCH("疫苗",AF11)))</formula>
    </cfRule>
    <cfRule type="containsText" priority="642" operator="containsText" dxfId="0" stopIfTrue="1" text="勞假">
      <formula>NOT(ISERROR(SEARCH("勞假",AF11)))</formula>
    </cfRule>
    <cfRule type="containsText" priority="643" operator="containsText" dxfId="36" stopIfTrue="1" text="補假">
      <formula>NOT(ISERROR(SEARCH("補假",AF11)))</formula>
    </cfRule>
    <cfRule type="containsText" priority="644" operator="containsText" dxfId="35" stopIfTrue="1" text="例假">
      <formula>NOT(ISERROR(SEARCH("例假",AF11)))</formula>
    </cfRule>
    <cfRule type="containsText" priority="645" operator="containsText" dxfId="4" stopIfTrue="1" text="病假">
      <formula>NOT(ISERROR(SEARCH("病假",AF11)))</formula>
    </cfRule>
    <cfRule type="containsText" priority="646" operator="containsText" dxfId="34" stopIfTrue="1" text="大假">
      <formula>NOT(ISERROR(SEARCH("大假",AF11)))</formula>
    </cfRule>
    <cfRule type="containsText" priority="647" operator="containsText" dxfId="37" stopIfTrue="1" text="無薪">
      <formula>NOT(ISERROR(SEARCH("無薪",AF11)))</formula>
    </cfRule>
    <cfRule type="containsText" priority="648" operator="containsText" dxfId="38" stopIfTrue="1" text="TIL">
      <formula>NOT(ISERROR(SEARCH("TIL",AF11)))</formula>
    </cfRule>
    <cfRule type="containsText" priority="649" operator="containsText" dxfId="39" stopIfTrue="1" text="疫苗">
      <formula>NOT(ISERROR(SEARCH("疫苗",AF11)))</formula>
    </cfRule>
    <cfRule type="containsText" priority="650" operator="containsText" dxfId="0" stopIfTrue="1" text="勞假">
      <formula>NOT(ISERROR(SEARCH("勞假",AF11)))</formula>
    </cfRule>
    <cfRule type="containsText" priority="651" operator="containsText" dxfId="36" stopIfTrue="1" text="補假">
      <formula>NOT(ISERROR(SEARCH("補假",AF11)))</formula>
    </cfRule>
    <cfRule type="containsText" priority="652" operator="containsText" dxfId="35" stopIfTrue="1" text="例假">
      <formula>NOT(ISERROR(SEARCH("例假",AF11)))</formula>
    </cfRule>
    <cfRule type="containsText" priority="653" operator="containsText" dxfId="4" stopIfTrue="1" text="病假">
      <formula>NOT(ISERROR(SEARCH("病假",AF11)))</formula>
    </cfRule>
    <cfRule type="containsText" priority="654" operator="containsText" dxfId="34" stopIfTrue="1" text="大假">
      <formula>NOT(ISERROR(SEARCH("大假",AF11)))</formula>
    </cfRule>
    <cfRule type="containsText" priority="655" operator="containsText" dxfId="37" stopIfTrue="1" text="無薪">
      <formula>NOT(ISERROR(SEARCH("無薪",AF11)))</formula>
    </cfRule>
    <cfRule type="containsText" priority="656" operator="containsText" dxfId="39" stopIfTrue="1" text="疫苗">
      <formula>NOT(ISERROR(SEARCH("疫苗",AF11)))</formula>
    </cfRule>
    <cfRule type="containsText" priority="657" operator="containsText" dxfId="0" stopIfTrue="1" text="勞假">
      <formula>NOT(ISERROR(SEARCH("勞假",AF11)))</formula>
    </cfRule>
    <cfRule type="containsText" priority="658" operator="containsText" dxfId="36" stopIfTrue="1" text="補假">
      <formula>NOT(ISERROR(SEARCH("補假",AF11)))</formula>
    </cfRule>
    <cfRule type="containsText" priority="659" operator="containsText" dxfId="35" stopIfTrue="1" text="例假">
      <formula>NOT(ISERROR(SEARCH("例假",AF11)))</formula>
    </cfRule>
    <cfRule type="containsText" priority="660" operator="containsText" dxfId="4" stopIfTrue="1" text="病假">
      <formula>NOT(ISERROR(SEARCH("病假",AF11)))</formula>
    </cfRule>
    <cfRule type="containsText" priority="661" operator="containsText" dxfId="34" stopIfTrue="1" text="大假">
      <formula>NOT(ISERROR(SEARCH("大假",AF11)))</formula>
    </cfRule>
  </conditionalFormatting>
  <conditionalFormatting sqref="AF11:AH11">
    <cfRule type="containsText" priority="669" operator="containsText" dxfId="4" text="RD">
      <formula>NOT(ISERROR(SEARCH("RD",AF11)))</formula>
    </cfRule>
    <cfRule type="containsText" priority="670" operator="containsText" dxfId="405" text="NP">
      <formula>NOT(ISERROR(SEARCH("NP",AF11)))</formula>
    </cfRule>
  </conditionalFormatting>
  <conditionalFormatting sqref="AF18:AH18">
    <cfRule type="containsText" priority="232" operator="containsText" dxfId="38" stopIfTrue="1" text="TIL">
      <formula>NOT(ISERROR(SEARCH("TIL",AF18)))</formula>
    </cfRule>
    <cfRule type="containsText" priority="233" operator="containsText" dxfId="39" stopIfTrue="1" text="疫苗">
      <formula>NOT(ISERROR(SEARCH("疫苗",AF18)))</formula>
    </cfRule>
    <cfRule type="containsText" priority="234" operator="containsText" dxfId="0" stopIfTrue="1" text="勞假">
      <formula>NOT(ISERROR(SEARCH("勞假",AF18)))</formula>
    </cfRule>
    <cfRule type="containsText" priority="235" operator="containsText" dxfId="36" stopIfTrue="1" text="補假">
      <formula>NOT(ISERROR(SEARCH("補假",AF18)))</formula>
    </cfRule>
    <cfRule type="containsText" priority="236" operator="containsText" dxfId="35" stopIfTrue="1" text="例假">
      <formula>NOT(ISERROR(SEARCH("例假",AF18)))</formula>
    </cfRule>
    <cfRule type="containsText" priority="237" operator="containsText" dxfId="4" stopIfTrue="1" text="病假">
      <formula>NOT(ISERROR(SEARCH("病假",AF18)))</formula>
    </cfRule>
    <cfRule type="containsText" priority="238" operator="containsText" dxfId="34" stopIfTrue="1" text="大假">
      <formula>NOT(ISERROR(SEARCH("大假",AF18)))</formula>
    </cfRule>
    <cfRule type="containsText" priority="239" operator="containsText" dxfId="37" stopIfTrue="1" text="無薪">
      <formula>NOT(ISERROR(SEARCH("無薪",AF18)))</formula>
    </cfRule>
    <cfRule type="containsText" priority="240" operator="containsText" dxfId="38" stopIfTrue="1" text="TIL">
      <formula>NOT(ISERROR(SEARCH("TIL",AF18)))</formula>
    </cfRule>
    <cfRule type="containsText" priority="241" operator="containsText" dxfId="39" stopIfTrue="1" text="疫苗">
      <formula>NOT(ISERROR(SEARCH("疫苗",AF18)))</formula>
    </cfRule>
    <cfRule type="containsText" priority="242" operator="containsText" dxfId="0" stopIfTrue="1" text="勞假">
      <formula>NOT(ISERROR(SEARCH("勞假",AF18)))</formula>
    </cfRule>
    <cfRule type="containsText" priority="243" operator="containsText" dxfId="36" stopIfTrue="1" text="補假">
      <formula>NOT(ISERROR(SEARCH("補假",AF18)))</formula>
    </cfRule>
    <cfRule type="containsText" priority="244" operator="containsText" dxfId="35" stopIfTrue="1" text="例假">
      <formula>NOT(ISERROR(SEARCH("例假",AF18)))</formula>
    </cfRule>
    <cfRule type="containsText" priority="245" operator="containsText" dxfId="4" stopIfTrue="1" text="病假">
      <formula>NOT(ISERROR(SEARCH("病假",AF18)))</formula>
    </cfRule>
    <cfRule type="containsText" priority="246" operator="containsText" dxfId="34" stopIfTrue="1" text="大假">
      <formula>NOT(ISERROR(SEARCH("大假",AF18)))</formula>
    </cfRule>
    <cfRule type="containsText" priority="247" operator="containsText" dxfId="38" stopIfTrue="1" text="TIL">
      <formula>NOT(ISERROR(SEARCH("TIL",AF18)))</formula>
    </cfRule>
    <cfRule type="cellIs" priority="248" operator="equal" dxfId="4" stopIfTrue="1">
      <formula>"NP"</formula>
    </cfRule>
    <cfRule type="cellIs" priority="249" operator="equal" dxfId="25" stopIfTrue="1">
      <formula>"RD"</formula>
    </cfRule>
    <cfRule type="containsText" priority="250" operator="containsText" dxfId="38" stopIfTrue="1" text="TIL">
      <formula>NOT(ISERROR(SEARCH("TIL",AF18)))</formula>
    </cfRule>
    <cfRule type="containsText" priority="251" operator="containsText" dxfId="39" stopIfTrue="1" text="疫苗">
      <formula>NOT(ISERROR(SEARCH("疫苗",AF18)))</formula>
    </cfRule>
    <cfRule type="containsText" priority="252" operator="containsText" dxfId="0" stopIfTrue="1" text="勞假">
      <formula>NOT(ISERROR(SEARCH("勞假",AF18)))</formula>
    </cfRule>
    <cfRule type="containsText" priority="253" operator="containsText" dxfId="36" stopIfTrue="1" text="補假">
      <formula>NOT(ISERROR(SEARCH("補假",AF18)))</formula>
    </cfRule>
    <cfRule type="containsText" priority="254" operator="containsText" dxfId="35" stopIfTrue="1" text="例假">
      <formula>NOT(ISERROR(SEARCH("例假",AF18)))</formula>
    </cfRule>
    <cfRule type="containsText" priority="255" operator="containsText" dxfId="4" stopIfTrue="1" text="病假">
      <formula>NOT(ISERROR(SEARCH("病假",AF18)))</formula>
    </cfRule>
    <cfRule type="containsText" priority="256" operator="containsText" dxfId="34" stopIfTrue="1" text="大假">
      <formula>NOT(ISERROR(SEARCH("大假",AF18)))</formula>
    </cfRule>
    <cfRule type="containsText" priority="257" operator="containsText" dxfId="38" stopIfTrue="1" text="TIL">
      <formula>NOT(ISERROR(SEARCH("TIL",AF18)))</formula>
    </cfRule>
    <cfRule type="containsText" priority="258" operator="containsText" dxfId="39" stopIfTrue="1" text="疫苗">
      <formula>NOT(ISERROR(SEARCH("疫苗",AF18)))</formula>
    </cfRule>
    <cfRule type="containsText" priority="259" operator="containsText" dxfId="0" stopIfTrue="1" text="勞假">
      <formula>NOT(ISERROR(SEARCH("勞假",AF18)))</formula>
    </cfRule>
    <cfRule type="containsText" priority="260" operator="containsText" dxfId="36" stopIfTrue="1" text="補假">
      <formula>NOT(ISERROR(SEARCH("補假",AF18)))</formula>
    </cfRule>
    <cfRule type="containsText" priority="261" operator="containsText" dxfId="35" stopIfTrue="1" text="例假">
      <formula>NOT(ISERROR(SEARCH("例假",AF18)))</formula>
    </cfRule>
    <cfRule type="containsText" priority="262" operator="containsText" dxfId="4" stopIfTrue="1" text="病假">
      <formula>NOT(ISERROR(SEARCH("病假",AF18)))</formula>
    </cfRule>
    <cfRule type="containsText" priority="263" operator="containsText" dxfId="34" stopIfTrue="1" text="大假">
      <formula>NOT(ISERROR(SEARCH("大假",AF18)))</formula>
    </cfRule>
    <cfRule type="containsText" priority="264" operator="containsText" dxfId="37" stopIfTrue="1" text="無薪">
      <formula>NOT(ISERROR(SEARCH("無薪",AF18)))</formula>
    </cfRule>
    <cfRule type="containsText" priority="265" operator="containsText" dxfId="39" stopIfTrue="1" text="疫苗">
      <formula>NOT(ISERROR(SEARCH("疫苗",AF18)))</formula>
    </cfRule>
    <cfRule type="containsText" priority="266" operator="containsText" dxfId="0" stopIfTrue="1" text="勞假">
      <formula>NOT(ISERROR(SEARCH("勞假",AF18)))</formula>
    </cfRule>
    <cfRule type="containsText" priority="267" operator="containsText" dxfId="36" stopIfTrue="1" text="補假">
      <formula>NOT(ISERROR(SEARCH("補假",AF18)))</formula>
    </cfRule>
    <cfRule type="containsText" priority="268" operator="containsText" dxfId="35" stopIfTrue="1" text="例假">
      <formula>NOT(ISERROR(SEARCH("例假",AF18)))</formula>
    </cfRule>
    <cfRule type="containsText" priority="269" operator="containsText" dxfId="4" stopIfTrue="1" text="病假">
      <formula>NOT(ISERROR(SEARCH("病假",AF18)))</formula>
    </cfRule>
    <cfRule type="containsText" priority="270" operator="containsText" dxfId="34" stopIfTrue="1" text="大假">
      <formula>NOT(ISERROR(SEARCH("大假",AF18)))</formula>
    </cfRule>
    <cfRule type="containsText" priority="271" operator="containsText" dxfId="37" stopIfTrue="1" text="無薪">
      <formula>NOT(ISERROR(SEARCH("無薪",AF18)))</formula>
    </cfRule>
    <cfRule type="containsText" priority="272" operator="containsText" dxfId="38" stopIfTrue="1" text="TIL">
      <formula>NOT(ISERROR(SEARCH("TIL",AF18)))</formula>
    </cfRule>
    <cfRule type="containsText" priority="273" operator="containsText" dxfId="39" stopIfTrue="1" text="疫苗">
      <formula>NOT(ISERROR(SEARCH("疫苗",AF18)))</formula>
    </cfRule>
    <cfRule type="containsText" priority="274" operator="containsText" dxfId="0" stopIfTrue="1" text="勞假">
      <formula>NOT(ISERROR(SEARCH("勞假",AF18)))</formula>
    </cfRule>
    <cfRule type="containsText" priority="275" operator="containsText" dxfId="36" stopIfTrue="1" text="補假">
      <formula>NOT(ISERROR(SEARCH("補假",AF18)))</formula>
    </cfRule>
    <cfRule type="containsText" priority="276" operator="containsText" dxfId="35" stopIfTrue="1" text="例假">
      <formula>NOT(ISERROR(SEARCH("例假",AF18)))</formula>
    </cfRule>
    <cfRule type="containsText" priority="277" operator="containsText" dxfId="4" stopIfTrue="1" text="病假">
      <formula>NOT(ISERROR(SEARCH("病假",AF18)))</formula>
    </cfRule>
    <cfRule type="containsText" priority="278" operator="containsText" dxfId="34" stopIfTrue="1" text="大假">
      <formula>NOT(ISERROR(SEARCH("大假",AF18)))</formula>
    </cfRule>
    <cfRule type="containsText" priority="279" operator="containsText" dxfId="37" stopIfTrue="1" text="無薪">
      <formula>NOT(ISERROR(SEARCH("無薪",AF18)))</formula>
    </cfRule>
    <cfRule type="containsText" priority="280" operator="containsText" dxfId="38" stopIfTrue="1" text="TIL">
      <formula>NOT(ISERROR(SEARCH("TIL",AF18)))</formula>
    </cfRule>
    <cfRule type="containsText" priority="281" operator="containsText" dxfId="39" stopIfTrue="1" text="疫苗">
      <formula>NOT(ISERROR(SEARCH("疫苗",AF18)))</formula>
    </cfRule>
    <cfRule type="containsText" priority="282" operator="containsText" dxfId="0" stopIfTrue="1" text="勞假">
      <formula>NOT(ISERROR(SEARCH("勞假",AF18)))</formula>
    </cfRule>
    <cfRule type="containsText" priority="283" operator="containsText" dxfId="36" stopIfTrue="1" text="補假">
      <formula>NOT(ISERROR(SEARCH("補假",AF18)))</formula>
    </cfRule>
    <cfRule type="containsText" priority="284" operator="containsText" dxfId="35" stopIfTrue="1" text="例假">
      <formula>NOT(ISERROR(SEARCH("例假",AF18)))</formula>
    </cfRule>
    <cfRule type="containsText" priority="285" operator="containsText" dxfId="4" stopIfTrue="1" text="病假">
      <formula>NOT(ISERROR(SEARCH("病假",AF18)))</formula>
    </cfRule>
    <cfRule type="containsText" priority="286" operator="containsText" dxfId="34" stopIfTrue="1" text="大假">
      <formula>NOT(ISERROR(SEARCH("大假",AF18)))</formula>
    </cfRule>
    <cfRule type="containsText" priority="287" operator="containsText" dxfId="37" stopIfTrue="1" text="無薪">
      <formula>NOT(ISERROR(SEARCH("無薪",AF18)))</formula>
    </cfRule>
    <cfRule type="cellIs" priority="288" operator="equal" dxfId="24">
      <formula>"NC"</formula>
    </cfRule>
    <cfRule type="cellIs" priority="289" operator="equal" dxfId="24">
      <formula>"nd"</formula>
    </cfRule>
    <cfRule type="cellIs" priority="290" operator="equal" dxfId="24">
      <formula>0</formula>
    </cfRule>
    <cfRule type="cellIs" priority="291" operator="equal" dxfId="23">
      <formula>"R"</formula>
    </cfRule>
    <cfRule type="cellIs" priority="292" operator="equal" dxfId="48">
      <formula>"NH12"</formula>
    </cfRule>
    <cfRule type="cellIs" priority="293" operator="equal" dxfId="48">
      <formula>"Nh11"</formula>
    </cfRule>
    <cfRule type="containsText" priority="294" operator="containsText" dxfId="38" stopIfTrue="1" text="TIL">
      <formula>NOT(ISERROR(SEARCH("TIL",AF18)))</formula>
    </cfRule>
    <cfRule type="containsText" priority="295" operator="containsText" dxfId="39" stopIfTrue="1" text="疫苗">
      <formula>NOT(ISERROR(SEARCH("疫苗",AF18)))</formula>
    </cfRule>
    <cfRule type="containsText" priority="296" operator="containsText" dxfId="0" stopIfTrue="1" text="勞假">
      <formula>NOT(ISERROR(SEARCH("勞假",AF18)))</formula>
    </cfRule>
    <cfRule type="containsText" priority="297" operator="containsText" dxfId="36" stopIfTrue="1" text="補假">
      <formula>NOT(ISERROR(SEARCH("補假",AF18)))</formula>
    </cfRule>
    <cfRule type="containsText" priority="298" operator="containsText" dxfId="35" stopIfTrue="1" text="例假">
      <formula>NOT(ISERROR(SEARCH("例假",AF18)))</formula>
    </cfRule>
    <cfRule type="containsText" priority="299" operator="containsText" dxfId="4" stopIfTrue="1" text="病假">
      <formula>NOT(ISERROR(SEARCH("病假",AF18)))</formula>
    </cfRule>
    <cfRule type="containsText" priority="300" operator="containsText" dxfId="34" stopIfTrue="1" text="大假">
      <formula>NOT(ISERROR(SEARCH("大假",AF18)))</formula>
    </cfRule>
    <cfRule type="containsText" priority="301" operator="containsText" dxfId="37" stopIfTrue="1" text="無薪">
      <formula>NOT(ISERROR(SEARCH("無薪",AF18)))</formula>
    </cfRule>
    <cfRule type="containsText" priority="302" operator="containsText" dxfId="38" stopIfTrue="1" text="TIL">
      <formula>NOT(ISERROR(SEARCH("TIL",AF18)))</formula>
    </cfRule>
    <cfRule type="containsText" priority="303" operator="containsText" dxfId="39" stopIfTrue="1" text="疫苗">
      <formula>NOT(ISERROR(SEARCH("疫苗",AF18)))</formula>
    </cfRule>
    <cfRule type="containsText" priority="304" operator="containsText" dxfId="0" stopIfTrue="1" text="勞假">
      <formula>NOT(ISERROR(SEARCH("勞假",AF18)))</formula>
    </cfRule>
    <cfRule type="containsText" priority="305" operator="containsText" dxfId="36" stopIfTrue="1" text="補假">
      <formula>NOT(ISERROR(SEARCH("補假",AF18)))</formula>
    </cfRule>
    <cfRule type="containsText" priority="306" operator="containsText" dxfId="35" stopIfTrue="1" text="例假">
      <formula>NOT(ISERROR(SEARCH("例假",AF18)))</formula>
    </cfRule>
    <cfRule type="containsText" priority="307" operator="containsText" dxfId="4" stopIfTrue="1" text="病假">
      <formula>NOT(ISERROR(SEARCH("病假",AF18)))</formula>
    </cfRule>
    <cfRule type="containsText" priority="308" operator="containsText" dxfId="34" stopIfTrue="1" text="大假">
      <formula>NOT(ISERROR(SEARCH("大假",AF18)))</formula>
    </cfRule>
    <cfRule type="containsText" priority="309" operator="containsText" dxfId="37" stopIfTrue="1" text="無薪">
      <formula>NOT(ISERROR(SEARCH("無薪",AF18)))</formula>
    </cfRule>
    <cfRule type="containsText" priority="310" operator="containsText" dxfId="39" stopIfTrue="1" text="疫苗">
      <formula>NOT(ISERROR(SEARCH("疫苗",AF18)))</formula>
    </cfRule>
    <cfRule type="containsText" priority="311" operator="containsText" dxfId="0" stopIfTrue="1" text="勞假">
      <formula>NOT(ISERROR(SEARCH("勞假",AF18)))</formula>
    </cfRule>
    <cfRule type="containsText" priority="312" operator="containsText" dxfId="36" stopIfTrue="1" text="補假">
      <formula>NOT(ISERROR(SEARCH("補假",AF18)))</formula>
    </cfRule>
    <cfRule type="containsText" priority="313" operator="containsText" dxfId="35" stopIfTrue="1" text="例假">
      <formula>NOT(ISERROR(SEARCH("例假",AF18)))</formula>
    </cfRule>
    <cfRule type="containsText" priority="314" operator="containsText" dxfId="4" stopIfTrue="1" text="病假">
      <formula>NOT(ISERROR(SEARCH("病假",AF18)))</formula>
    </cfRule>
    <cfRule type="containsText" priority="315" operator="containsText" dxfId="34" stopIfTrue="1" text="大假">
      <formula>NOT(ISERROR(SEARCH("大假",AF18)))</formula>
    </cfRule>
    <cfRule type="containsText" priority="316" operator="containsText" dxfId="37" stopIfTrue="1" text="無薪">
      <formula>NOT(ISERROR(SEARCH("無薪",AF18)))</formula>
    </cfRule>
    <cfRule type="containsText" priority="317" operator="containsText" dxfId="38" stopIfTrue="1" text="TIL">
      <formula>NOT(ISERROR(SEARCH("TIL",AF18)))</formula>
    </cfRule>
    <cfRule type="containsText" priority="318" operator="containsText" dxfId="39" stopIfTrue="1" text="疫苗">
      <formula>NOT(ISERROR(SEARCH("疫苗",AF18)))</formula>
    </cfRule>
    <cfRule type="containsText" priority="319" operator="containsText" dxfId="0" stopIfTrue="1" text="勞假">
      <formula>NOT(ISERROR(SEARCH("勞假",AF18)))</formula>
    </cfRule>
    <cfRule type="containsText" priority="320" operator="containsText" dxfId="36" stopIfTrue="1" text="補假">
      <formula>NOT(ISERROR(SEARCH("補假",AF18)))</formula>
    </cfRule>
    <cfRule type="containsText" priority="321" operator="containsText" dxfId="35" stopIfTrue="1" text="例假">
      <formula>NOT(ISERROR(SEARCH("例假",AF18)))</formula>
    </cfRule>
    <cfRule type="containsText" priority="322" operator="containsText" dxfId="4" stopIfTrue="1" text="病假">
      <formula>NOT(ISERROR(SEARCH("病假",AF18)))</formula>
    </cfRule>
    <cfRule type="containsText" priority="323" operator="containsText" dxfId="34" stopIfTrue="1" text="大假">
      <formula>NOT(ISERROR(SEARCH("大假",AF18)))</formula>
    </cfRule>
    <cfRule type="containsText" priority="324" operator="containsText" dxfId="37" stopIfTrue="1" text="無薪">
      <formula>NOT(ISERROR(SEARCH("無薪",AF18)))</formula>
    </cfRule>
    <cfRule type="containsText" priority="325" operator="containsText" dxfId="38" stopIfTrue="1" text="TIL">
      <formula>NOT(ISERROR(SEARCH("TIL",AF18)))</formula>
    </cfRule>
    <cfRule type="containsText" priority="326" operator="containsText" dxfId="39" stopIfTrue="1" text="疫苗">
      <formula>NOT(ISERROR(SEARCH("疫苗",AF18)))</formula>
    </cfRule>
    <cfRule type="containsText" priority="327" operator="containsText" dxfId="0" stopIfTrue="1" text="勞假">
      <formula>NOT(ISERROR(SEARCH("勞假",AF18)))</formula>
    </cfRule>
    <cfRule type="containsText" priority="328" operator="containsText" dxfId="36" stopIfTrue="1" text="補假">
      <formula>NOT(ISERROR(SEARCH("補假",AF18)))</formula>
    </cfRule>
    <cfRule type="containsText" priority="329" operator="containsText" dxfId="35" stopIfTrue="1" text="例假">
      <formula>NOT(ISERROR(SEARCH("例假",AF18)))</formula>
    </cfRule>
    <cfRule type="containsText" priority="330" operator="containsText" dxfId="4" stopIfTrue="1" text="病假">
      <formula>NOT(ISERROR(SEARCH("病假",AF18)))</formula>
    </cfRule>
    <cfRule type="containsText" priority="331" operator="containsText" dxfId="34" stopIfTrue="1" text="大假">
      <formula>NOT(ISERROR(SEARCH("大假",AF18)))</formula>
    </cfRule>
    <cfRule type="containsText" priority="332" operator="containsText" dxfId="38" stopIfTrue="1" text="TIL">
      <formula>NOT(ISERROR(SEARCH("TIL",AF18)))</formula>
    </cfRule>
    <cfRule type="cellIs" priority="333" operator="equal" dxfId="4" stopIfTrue="1">
      <formula>"NP"</formula>
    </cfRule>
    <cfRule type="cellIs" priority="334" operator="equal" dxfId="25" stopIfTrue="1">
      <formula>"RD"</formula>
    </cfRule>
    <cfRule type="containsText" priority="335" operator="containsText" dxfId="38" stopIfTrue="1" text="TIL">
      <formula>NOT(ISERROR(SEARCH("TIL",AF18)))</formula>
    </cfRule>
    <cfRule type="containsText" priority="336" operator="containsText" dxfId="39" stopIfTrue="1" text="疫苗">
      <formula>NOT(ISERROR(SEARCH("疫苗",AF18)))</formula>
    </cfRule>
    <cfRule type="containsText" priority="337" operator="containsText" dxfId="0" stopIfTrue="1" text="勞假">
      <formula>NOT(ISERROR(SEARCH("勞假",AF18)))</formula>
    </cfRule>
    <cfRule type="containsText" priority="338" operator="containsText" dxfId="36" stopIfTrue="1" text="補假">
      <formula>NOT(ISERROR(SEARCH("補假",AF18)))</formula>
    </cfRule>
    <cfRule type="containsText" priority="339" operator="containsText" dxfId="35" stopIfTrue="1" text="例假">
      <formula>NOT(ISERROR(SEARCH("例假",AF18)))</formula>
    </cfRule>
    <cfRule type="containsText" priority="340" operator="containsText" dxfId="4" stopIfTrue="1" text="病假">
      <formula>NOT(ISERROR(SEARCH("病假",AF18)))</formula>
    </cfRule>
    <cfRule type="containsText" priority="341" operator="containsText" dxfId="34" stopIfTrue="1" text="大假">
      <formula>NOT(ISERROR(SEARCH("大假",AF18)))</formula>
    </cfRule>
    <cfRule type="containsText" priority="342" operator="containsText" dxfId="38" stopIfTrue="1" text="TIL">
      <formula>NOT(ISERROR(SEARCH("TIL",AF18)))</formula>
    </cfRule>
    <cfRule type="containsText" priority="343" operator="containsText" dxfId="39" stopIfTrue="1" text="疫苗">
      <formula>NOT(ISERROR(SEARCH("疫苗",AF18)))</formula>
    </cfRule>
    <cfRule type="containsText" priority="344" operator="containsText" dxfId="0" stopIfTrue="1" text="勞假">
      <formula>NOT(ISERROR(SEARCH("勞假",AF18)))</formula>
    </cfRule>
    <cfRule type="containsText" priority="345" operator="containsText" dxfId="36" stopIfTrue="1" text="補假">
      <formula>NOT(ISERROR(SEARCH("補假",AF18)))</formula>
    </cfRule>
    <cfRule type="containsText" priority="346" operator="containsText" dxfId="35" stopIfTrue="1" text="例假">
      <formula>NOT(ISERROR(SEARCH("例假",AF18)))</formula>
    </cfRule>
    <cfRule type="containsText" priority="347" operator="containsText" dxfId="4" stopIfTrue="1" text="病假">
      <formula>NOT(ISERROR(SEARCH("病假",AF18)))</formula>
    </cfRule>
    <cfRule type="containsText" priority="348" operator="containsText" dxfId="34" stopIfTrue="1" text="大假">
      <formula>NOT(ISERROR(SEARCH("大假",AF18)))</formula>
    </cfRule>
    <cfRule type="containsText" priority="349" operator="containsText" dxfId="37" stopIfTrue="1" text="無薪">
      <formula>NOT(ISERROR(SEARCH("無薪",AF18)))</formula>
    </cfRule>
    <cfRule type="containsText" priority="350" operator="containsText" dxfId="39" stopIfTrue="1" text="疫苗">
      <formula>NOT(ISERROR(SEARCH("疫苗",AF18)))</formula>
    </cfRule>
    <cfRule type="containsText" priority="351" operator="containsText" dxfId="0" stopIfTrue="1" text="勞假">
      <formula>NOT(ISERROR(SEARCH("勞假",AF18)))</formula>
    </cfRule>
    <cfRule type="containsText" priority="352" operator="containsText" dxfId="36" stopIfTrue="1" text="補假">
      <formula>NOT(ISERROR(SEARCH("補假",AF18)))</formula>
    </cfRule>
    <cfRule type="containsText" priority="353" operator="containsText" dxfId="35" stopIfTrue="1" text="例假">
      <formula>NOT(ISERROR(SEARCH("例假",AF18)))</formula>
    </cfRule>
    <cfRule type="containsText" priority="354" operator="containsText" dxfId="4" stopIfTrue="1" text="病假">
      <formula>NOT(ISERROR(SEARCH("病假",AF18)))</formula>
    </cfRule>
    <cfRule type="containsText" priority="355" operator="containsText" dxfId="34" stopIfTrue="1" text="大假">
      <formula>NOT(ISERROR(SEARCH("大假",AF18)))</formula>
    </cfRule>
    <cfRule type="containsText" priority="356" operator="containsText" dxfId="37" stopIfTrue="1" text="無薪">
      <formula>NOT(ISERROR(SEARCH("無薪",AF18)))</formula>
    </cfRule>
    <cfRule type="containsText" priority="357" operator="containsText" dxfId="38" stopIfTrue="1" text="TIL">
      <formula>NOT(ISERROR(SEARCH("TIL",AF18)))</formula>
    </cfRule>
    <cfRule type="containsText" priority="358" operator="containsText" dxfId="39" stopIfTrue="1" text="疫苗">
      <formula>NOT(ISERROR(SEARCH("疫苗",AF18)))</formula>
    </cfRule>
    <cfRule type="containsText" priority="359" operator="containsText" dxfId="0" stopIfTrue="1" text="勞假">
      <formula>NOT(ISERROR(SEARCH("勞假",AF18)))</formula>
    </cfRule>
    <cfRule type="containsText" priority="360" operator="containsText" dxfId="36" stopIfTrue="1" text="補假">
      <formula>NOT(ISERROR(SEARCH("補假",AF18)))</formula>
    </cfRule>
    <cfRule type="containsText" priority="361" operator="containsText" dxfId="35" stopIfTrue="1" text="例假">
      <formula>NOT(ISERROR(SEARCH("例假",AF18)))</formula>
    </cfRule>
    <cfRule type="containsText" priority="362" operator="containsText" dxfId="4" stopIfTrue="1" text="病假">
      <formula>NOT(ISERROR(SEARCH("病假",AF18)))</formula>
    </cfRule>
    <cfRule type="containsText" priority="363" operator="containsText" dxfId="34" stopIfTrue="1" text="大假">
      <formula>NOT(ISERROR(SEARCH("大假",AF18)))</formula>
    </cfRule>
    <cfRule type="containsText" priority="364" operator="containsText" dxfId="37" stopIfTrue="1" text="無薪">
      <formula>NOT(ISERROR(SEARCH("無薪",AF18)))</formula>
    </cfRule>
    <cfRule type="containsText" priority="365" operator="containsText" dxfId="38" stopIfTrue="1" text="TIL">
      <formula>NOT(ISERROR(SEARCH("TIL",AF18)))</formula>
    </cfRule>
    <cfRule type="containsText" priority="366" operator="containsText" dxfId="39" stopIfTrue="1" text="疫苗">
      <formula>NOT(ISERROR(SEARCH("疫苗",AF18)))</formula>
    </cfRule>
    <cfRule type="containsText" priority="367" operator="containsText" dxfId="0" stopIfTrue="1" text="勞假">
      <formula>NOT(ISERROR(SEARCH("勞假",AF18)))</formula>
    </cfRule>
    <cfRule type="containsText" priority="368" operator="containsText" dxfId="36" stopIfTrue="1" text="補假">
      <formula>NOT(ISERROR(SEARCH("補假",AF18)))</formula>
    </cfRule>
    <cfRule type="containsText" priority="369" operator="containsText" dxfId="35" stopIfTrue="1" text="例假">
      <formula>NOT(ISERROR(SEARCH("例假",AF18)))</formula>
    </cfRule>
    <cfRule type="containsText" priority="370" operator="containsText" dxfId="4" stopIfTrue="1" text="病假">
      <formula>NOT(ISERROR(SEARCH("病假",AF18)))</formula>
    </cfRule>
    <cfRule type="containsText" priority="371" operator="containsText" dxfId="34" stopIfTrue="1" text="大假">
      <formula>NOT(ISERROR(SEARCH("大假",AF18)))</formula>
    </cfRule>
    <cfRule type="containsText" priority="372" operator="containsText" dxfId="37" stopIfTrue="1" text="無薪">
      <formula>NOT(ISERROR(SEARCH("無薪",AF18)))</formula>
    </cfRule>
    <cfRule type="cellIs" priority="373" operator="equal" dxfId="24">
      <formula>"NC"</formula>
    </cfRule>
    <cfRule type="cellIs" priority="374" operator="equal" dxfId="24">
      <formula>"nd"</formula>
    </cfRule>
    <cfRule type="cellIs" priority="375" operator="equal" dxfId="24">
      <formula>0</formula>
    </cfRule>
    <cfRule type="cellIs" priority="376" operator="equal" dxfId="23">
      <formula>"R"</formula>
    </cfRule>
    <cfRule type="cellIs" priority="377" operator="equal" dxfId="48">
      <formula>"NH12"</formula>
    </cfRule>
    <cfRule type="cellIs" priority="378" operator="equal" dxfId="48">
      <formula>"Nh11"</formula>
    </cfRule>
    <cfRule type="containsText" priority="379" operator="containsText" dxfId="38" stopIfTrue="1" text="TIL">
      <formula>NOT(ISERROR(SEARCH("TIL",AF18)))</formula>
    </cfRule>
    <cfRule type="containsText" priority="380" operator="containsText" dxfId="39" stopIfTrue="1" text="疫苗">
      <formula>NOT(ISERROR(SEARCH("疫苗",AF18)))</formula>
    </cfRule>
    <cfRule type="containsText" priority="381" operator="containsText" dxfId="0" stopIfTrue="1" text="勞假">
      <formula>NOT(ISERROR(SEARCH("勞假",AF18)))</formula>
    </cfRule>
    <cfRule type="containsText" priority="382" operator="containsText" dxfId="36" stopIfTrue="1" text="補假">
      <formula>NOT(ISERROR(SEARCH("補假",AF18)))</formula>
    </cfRule>
    <cfRule type="containsText" priority="383" operator="containsText" dxfId="35" stopIfTrue="1" text="例假">
      <formula>NOT(ISERROR(SEARCH("例假",AF18)))</formula>
    </cfRule>
    <cfRule type="containsText" priority="384" operator="containsText" dxfId="4" stopIfTrue="1" text="病假">
      <formula>NOT(ISERROR(SEARCH("病假",AF18)))</formula>
    </cfRule>
    <cfRule type="containsText" priority="385" operator="containsText" dxfId="34" stopIfTrue="1" text="大假">
      <formula>NOT(ISERROR(SEARCH("大假",AF18)))</formula>
    </cfRule>
    <cfRule type="containsText" priority="386" operator="containsText" dxfId="37" stopIfTrue="1" text="無薪">
      <formula>NOT(ISERROR(SEARCH("無薪",AF18)))</formula>
    </cfRule>
    <cfRule type="containsText" priority="387" operator="containsText" dxfId="38" stopIfTrue="1" text="TIL">
      <formula>NOT(ISERROR(SEARCH("TIL",AF18)))</formula>
    </cfRule>
    <cfRule type="containsText" priority="388" operator="containsText" dxfId="39" stopIfTrue="1" text="疫苗">
      <formula>NOT(ISERROR(SEARCH("疫苗",AF18)))</formula>
    </cfRule>
    <cfRule type="containsText" priority="389" operator="containsText" dxfId="0" stopIfTrue="1" text="勞假">
      <formula>NOT(ISERROR(SEARCH("勞假",AF18)))</formula>
    </cfRule>
    <cfRule type="containsText" priority="390" operator="containsText" dxfId="36" stopIfTrue="1" text="補假">
      <formula>NOT(ISERROR(SEARCH("補假",AF18)))</formula>
    </cfRule>
    <cfRule type="containsText" priority="391" operator="containsText" dxfId="35" stopIfTrue="1" text="例假">
      <formula>NOT(ISERROR(SEARCH("例假",AF18)))</formula>
    </cfRule>
    <cfRule type="containsText" priority="392" operator="containsText" dxfId="4" stopIfTrue="1" text="病假">
      <formula>NOT(ISERROR(SEARCH("病假",AF18)))</formula>
    </cfRule>
    <cfRule type="containsText" priority="393" operator="containsText" dxfId="34" stopIfTrue="1" text="大假">
      <formula>NOT(ISERROR(SEARCH("大假",AF18)))</formula>
    </cfRule>
    <cfRule type="containsText" priority="394" operator="containsText" dxfId="37" stopIfTrue="1" text="無薪">
      <formula>NOT(ISERROR(SEARCH("無薪",AF18)))</formula>
    </cfRule>
    <cfRule type="containsText" priority="395" operator="containsText" dxfId="39" stopIfTrue="1" text="疫苗">
      <formula>NOT(ISERROR(SEARCH("疫苗",AF18)))</formula>
    </cfRule>
    <cfRule type="containsText" priority="396" operator="containsText" dxfId="0" stopIfTrue="1" text="勞假">
      <formula>NOT(ISERROR(SEARCH("勞假",AF18)))</formula>
    </cfRule>
    <cfRule type="containsText" priority="397" operator="containsText" dxfId="36" stopIfTrue="1" text="補假">
      <formula>NOT(ISERROR(SEARCH("補假",AF18)))</formula>
    </cfRule>
    <cfRule type="containsText" priority="398" operator="containsText" dxfId="35" stopIfTrue="1" text="例假">
      <formula>NOT(ISERROR(SEARCH("例假",AF18)))</formula>
    </cfRule>
    <cfRule type="containsText" priority="399" operator="containsText" dxfId="4" stopIfTrue="1" text="病假">
      <formula>NOT(ISERROR(SEARCH("病假",AF18)))</formula>
    </cfRule>
    <cfRule type="containsText" priority="400" operator="containsText" dxfId="34" stopIfTrue="1" text="大假">
      <formula>NOT(ISERROR(SEARCH("大假",AF18)))</formula>
    </cfRule>
    <cfRule type="containsText" priority="401" operator="containsText" dxfId="37" stopIfTrue="1" text="無薪">
      <formula>NOT(ISERROR(SEARCH("無薪",AF18)))</formula>
    </cfRule>
  </conditionalFormatting>
  <conditionalFormatting sqref="AF5:AH6 AF12:AH12 AF16:AH17 AF39:AH40 AF48:AH48 AF50:AH51 AF53:AH55 AH52">
    <cfRule type="cellIs" priority="1135" operator="equal" dxfId="23">
      <formula>"R"</formula>
    </cfRule>
  </conditionalFormatting>
  <conditionalFormatting sqref="AF50:AH51 AH52:AH55">
    <cfRule type="cellIs" priority="1167" operator="equal" dxfId="25" stopIfTrue="1">
      <formula>"RD"</formula>
    </cfRule>
  </conditionalFormatting>
  <conditionalFormatting sqref="AH52:AH55">
    <cfRule type="cellIs" priority="1166" operator="equal" dxfId="4" stopIfTrue="1">
      <formula>"NP"</formula>
    </cfRule>
  </conditionalFormatting>
  <conditionalFormatting sqref="AK5:AK8 AK16:AK17 AK35 AK39:AK40 AK42:AK44">
    <cfRule type="cellIs" priority="28" operator="equal" dxfId="25" stopIfTrue="1">
      <formula>"RD"</formula>
    </cfRule>
  </conditionalFormatting>
  <conditionalFormatting sqref="AK39">
    <cfRule type="cellIs" priority="6" operator="equal" dxfId="4" stopIfTrue="1">
      <formula>"NP"</formula>
    </cfRule>
  </conditionalFormatting>
  <conditionalFormatting sqref="AK5:AK8 AK12 AK16:AK35 AK39:AK44 AK48 AK50:AK1048576">
    <cfRule type="cellIs" priority="18" operator="equal" dxfId="24">
      <formula>"NC"</formula>
    </cfRule>
  </conditionalFormatting>
  <conditionalFormatting sqref="AK56:AK1048576">
    <cfRule type="cellIs" priority="23" operator="equal" dxfId="23">
      <formula>"R"</formula>
    </cfRule>
    <cfRule type="cellIs" priority="24" operator="equal" dxfId="48">
      <formula>"NH11"</formula>
    </cfRule>
  </conditionalFormatting>
  <conditionalFormatting sqref="AK10:AK12 AK16:AK35 AK39:AK44">
    <cfRule type="cellIs" priority="14" operator="equal" dxfId="35">
      <formula>"SH"</formula>
    </cfRule>
  </conditionalFormatting>
  <conditionalFormatting sqref="AK12 AK16:AK35 AK39:AK44">
    <cfRule type="cellIs" priority="33" operator="equal" dxfId="48">
      <formula>"NH"</formula>
    </cfRule>
  </conditionalFormatting>
  <conditionalFormatting sqref="AK12 AK16:AK35 AK39:AK44 AK48 AK50:AK55">
    <cfRule type="cellIs" priority="19" operator="equal" dxfId="48">
      <formula>"NH11"</formula>
    </cfRule>
  </conditionalFormatting>
  <conditionalFormatting sqref="AK12">
    <cfRule type="cellIs" priority="36" operator="equal" dxfId="4" stopIfTrue="1">
      <formula>"NP"</formula>
    </cfRule>
    <cfRule type="cellIs" priority="37" operator="equal" dxfId="25" stopIfTrue="1">
      <formula>"RD"</formula>
    </cfRule>
  </conditionalFormatting>
  <conditionalFormatting sqref="AK18:AK34">
    <cfRule type="containsText" priority="34" operator="containsText" dxfId="37" stopIfTrue="1" text="無薪">
      <formula>NOT(ISERROR(SEARCH("無薪",AK18)))</formula>
    </cfRule>
    <cfRule type="containsText" priority="25" operator="containsText" dxfId="39" stopIfTrue="1" text="疫苗">
      <formula>NOT(ISERROR(SEARCH("疫苗",AK18)))</formula>
    </cfRule>
    <cfRule type="containsText" priority="26" operator="containsText" dxfId="38" stopIfTrue="1" text="TIL">
      <formula>NOT(ISERROR(SEARCH("TIL",AK18)))</formula>
    </cfRule>
    <cfRule type="containsText" priority="38" operator="containsText" dxfId="36" stopIfTrue="1" text="補假">
      <formula>NOT(ISERROR(SEARCH("補假",AK18)))</formula>
    </cfRule>
    <cfRule type="containsText" priority="39" operator="containsText" dxfId="35" stopIfTrue="1" text="例假">
      <formula>NOT(ISERROR(SEARCH("例假",AK18)))</formula>
    </cfRule>
    <cfRule type="containsText" priority="40" operator="containsText" dxfId="34" stopIfTrue="1" text="大假">
      <formula>NOT(ISERROR(SEARCH("大假",AK18)))</formula>
    </cfRule>
  </conditionalFormatting>
  <conditionalFormatting sqref="AK41">
    <cfRule type="containsText" priority="7" operator="containsText" dxfId="39" stopIfTrue="1" text="疫苗">
      <formula>NOT(ISERROR(SEARCH("疫苗",AK41)))</formula>
    </cfRule>
    <cfRule type="containsText" priority="8" operator="containsText" dxfId="38" stopIfTrue="1" text="TIL">
      <formula>NOT(ISERROR(SEARCH("TIL",AK41)))</formula>
    </cfRule>
    <cfRule type="containsText" priority="9" operator="containsText" dxfId="37" stopIfTrue="1" text="無薪">
      <formula>NOT(ISERROR(SEARCH("無薪",AK41)))</formula>
    </cfRule>
    <cfRule type="containsText" priority="11" operator="containsText" dxfId="36" stopIfTrue="1" text="補假">
      <formula>NOT(ISERROR(SEARCH("補假",AK41)))</formula>
    </cfRule>
    <cfRule type="containsText" priority="12" operator="containsText" dxfId="35" stopIfTrue="1" text="例假">
      <formula>NOT(ISERROR(SEARCH("例假",AK41)))</formula>
    </cfRule>
    <cfRule type="containsText" priority="13" operator="containsText" dxfId="34" stopIfTrue="1" text="大假">
      <formula>NOT(ISERROR(SEARCH("大假",AK41)))</formula>
    </cfRule>
  </conditionalFormatting>
  <conditionalFormatting sqref="AK10:AK11">
    <cfRule type="cellIs" priority="16" operator="equal" dxfId="25" stopIfTrue="1">
      <formula>"RD"</formula>
    </cfRule>
    <cfRule type="cellIs" priority="15" operator="equal" dxfId="4" stopIfTrue="1">
      <formula>"NP"</formula>
    </cfRule>
    <cfRule type="cellIs" priority="20" operator="equal" dxfId="21">
      <formula>"NC"</formula>
    </cfRule>
    <cfRule type="cellIs" priority="21" operator="equal" dxfId="24">
      <formula>"NC"</formula>
    </cfRule>
    <cfRule type="cellIs" priority="22" operator="equal" dxfId="23">
      <formula>"R"</formula>
    </cfRule>
  </conditionalFormatting>
  <conditionalFormatting sqref="AK5:AK8 AK12 AK16:AK35 AK39:AK44 AK48 AK50:AK55">
    <cfRule type="cellIs" priority="27" operator="equal" dxfId="23">
      <formula>"R"</formula>
    </cfRule>
  </conditionalFormatting>
  <conditionalFormatting sqref="AK5:AK8 AK16:AK17 AK35 AK40 AK42:AK44">
    <cfRule type="cellIs" priority="17" operator="equal" dxfId="4" stopIfTrue="1">
      <formula>"NP"</formula>
    </cfRule>
  </conditionalFormatting>
  <conditionalFormatting sqref="AK5:AK8 AK12 AK16:AK35 AK39:AK44">
    <cfRule type="cellIs" priority="30" operator="equal" dxfId="21">
      <formula>"NC"</formula>
    </cfRule>
  </conditionalFormatting>
  <conditionalFormatting sqref="AL7:AL8">
    <cfRule type="cellIs" priority="4" operator="equal" dxfId="25" stopIfTrue="1">
      <formula>"RD"</formula>
    </cfRule>
    <cfRule type="cellIs" priority="2" operator="equal" dxfId="24">
      <formula>"NC"</formula>
    </cfRule>
    <cfRule type="cellIs" priority="3" operator="equal" dxfId="23">
      <formula>"R"</formula>
    </cfRule>
    <cfRule type="cellIs" priority="1" operator="equal" dxfId="4" stopIfTrue="1">
      <formula>"NP"</formula>
    </cfRule>
    <cfRule type="cellIs" priority="5" operator="equal" dxfId="21">
      <formula>"NC"</formula>
    </cfRule>
  </conditionalFormatting>
  <printOptions horizontalCentered="1"/>
  <pageMargins left="0.2362204724409449" right="0.2362204724409449" top="0.5511811023622047" bottom="0.3543307086614174" header="0.3149606299212598" footer="0.3149606299212598"/>
  <pageSetup orientation="landscape" paperSize="9" scale="3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YTE</dc:creator>
  <dcterms:created xmlns:dcterms="http://purl.org/dc/terms/" xmlns:xsi="http://www.w3.org/2001/XMLSchema-instance" xsi:type="dcterms:W3CDTF">2023-12-06T03:02:44Z</dcterms:created>
  <dcterms:modified xmlns:dcterms="http://purl.org/dc/terms/" xmlns:xsi="http://www.w3.org/2001/XMLSchema-instance" xsi:type="dcterms:W3CDTF">2026-06-05T09:23:35Z</dcterms:modified>
  <cp:lastModifiedBy>Qing</cp:lastModifiedBy>
  <cp:lastPrinted>2026-04-30T06:22:12Z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0x0101007D90BA5729C5A34EA4FE80FBA33162CB</vt:lpwstr>
  </property>
  <property name="MediaServiceImageTags" fmtid="{D5CDD505-2E9C-101B-9397-08002B2CF9AE}" pid="3">
    <vt:lpwstr xmlns:vt="http://schemas.openxmlformats.org/officeDocument/2006/docPropsVTypes"/>
  </property>
  <property name="_ExtendedDescription" fmtid="{D5CDD505-2E9C-101B-9397-08002B2CF9AE}" pid="4">
    <vt:lpwstr xmlns:vt="http://schemas.openxmlformats.org/officeDocument/2006/docPropsVTypes"/>
  </property>
</Properties>
</file>