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\claude_hk\ref_doc\东汇邨文件样本\保安文件\"/>
    </mc:Choice>
  </mc:AlternateContent>
  <xr:revisionPtr revIDLastSave="0" documentId="13_ncr:1_{C6A0D764-FFE3-4343-AA12-8ABD74E16EEF}" xr6:coauthVersionLast="47" xr6:coauthVersionMax="47" xr10:uidLastSave="{00000000-0000-0000-0000-000000000000}"/>
  <bookViews>
    <workbookView xWindow="-120" yWindow="-120" windowWidth="29040" windowHeight="15840" xr2:uid="{C772E80D-BFE8-47FE-AF56-CBBABE2D6E99}"/>
  </bookViews>
  <sheets>
    <sheet name="早" sheetId="1" r:id="rId1"/>
    <sheet name="中" sheetId="3" r:id="rId2"/>
    <sheet name="夜" sheetId="4" r:id="rId3"/>
  </sheets>
  <definedNames>
    <definedName name="_xlnm._FilterDatabase" localSheetId="2" hidden="1">夜!$D$8:$D$31</definedName>
    <definedName name="_xlnm._FilterDatabase" localSheetId="0" hidden="1">早!$D$7:$D$30</definedName>
    <definedName name="_xlnm._FilterDatabase" localSheetId="1" hidden="1">中!$D$7:$D$32</definedName>
    <definedName name="_xlnm.Print_Area" localSheetId="2">夜!$A$1:$AO$47</definedName>
    <definedName name="_xlnm.Print_Area" localSheetId="0">早!$A$1:$AO$46</definedName>
    <definedName name="_xlnm.Print_Area" localSheetId="1">中!$A$1:$BD$47</definedName>
    <definedName name="_xlnm.Print_Titles" localSheetId="2">夜!$1:$8</definedName>
    <definedName name="_xlnm.Print_Titles" localSheetId="0">早!$1:$7</definedName>
    <definedName name="_xlnm.Print_Titles" localSheetId="1">中!$1:$7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6" i="4" l="1"/>
  <c r="AI6" i="4" s="1"/>
  <c r="AJ6" i="4" s="1"/>
  <c r="AK6" i="4" s="1"/>
  <c r="AL6" i="4" s="1"/>
  <c r="AM6" i="4" s="1"/>
  <c r="AG6" i="4"/>
  <c r="AI41" i="4"/>
  <c r="AH41" i="4"/>
  <c r="AG41" i="4"/>
  <c r="AI37" i="4"/>
  <c r="AI39" i="4" s="1"/>
  <c r="AH37" i="4"/>
  <c r="AH39" i="4" s="1"/>
  <c r="AG37" i="4"/>
  <c r="AG39" i="4" s="1"/>
  <c r="AI36" i="4"/>
  <c r="AH36" i="4"/>
  <c r="AG36" i="4"/>
  <c r="AI31" i="4"/>
  <c r="AH31" i="4"/>
  <c r="AG31" i="4"/>
  <c r="AI15" i="4"/>
  <c r="AI17" i="4" s="1"/>
  <c r="AH15" i="4"/>
  <c r="AH40" i="4" s="1"/>
  <c r="AH42" i="4" s="1"/>
  <c r="AG15" i="4"/>
  <c r="AG40" i="4" s="1"/>
  <c r="AG42" i="4" s="1"/>
  <c r="AI43" i="3"/>
  <c r="AH43" i="3"/>
  <c r="AG43" i="3"/>
  <c r="AI38" i="3"/>
  <c r="AH38" i="3"/>
  <c r="AH40" i="3" s="1"/>
  <c r="AG38" i="3"/>
  <c r="AG40" i="3" s="1"/>
  <c r="AI37" i="3"/>
  <c r="AH37" i="3"/>
  <c r="AG37" i="3"/>
  <c r="AI32" i="3"/>
  <c r="AH32" i="3"/>
  <c r="AG32" i="3"/>
  <c r="AH16" i="3"/>
  <c r="AI14" i="3"/>
  <c r="AI16" i="3" s="1"/>
  <c r="AH14" i="3"/>
  <c r="AH41" i="3" s="1"/>
  <c r="AG14" i="3"/>
  <c r="AG16" i="3" s="1"/>
  <c r="AI40" i="1"/>
  <c r="AH40" i="1"/>
  <c r="AG40" i="1"/>
  <c r="AI36" i="1"/>
  <c r="AI38" i="1" s="1"/>
  <c r="AH36" i="1"/>
  <c r="AH38" i="1" s="1"/>
  <c r="AG36" i="1"/>
  <c r="AG38" i="1" s="1"/>
  <c r="AI35" i="1"/>
  <c r="AH35" i="1"/>
  <c r="AG35" i="1"/>
  <c r="AI30" i="1"/>
  <c r="AH30" i="1"/>
  <c r="AG30" i="1"/>
  <c r="AI16" i="1"/>
  <c r="AI14" i="1"/>
  <c r="AI39" i="1" s="1"/>
  <c r="AI41" i="1" s="1"/>
  <c r="AH14" i="1"/>
  <c r="AH39" i="1" s="1"/>
  <c r="AH41" i="1" s="1"/>
  <c r="AG14" i="1"/>
  <c r="AG39" i="1" s="1"/>
  <c r="AG41" i="1" s="1"/>
  <c r="J38" i="3"/>
  <c r="J40" i="3" s="1"/>
  <c r="K38" i="3"/>
  <c r="K40" i="3" s="1"/>
  <c r="L38" i="3"/>
  <c r="L40" i="3" s="1"/>
  <c r="M38" i="3"/>
  <c r="M40" i="3" s="1"/>
  <c r="N38" i="3"/>
  <c r="N40" i="3" s="1"/>
  <c r="O38" i="3"/>
  <c r="O40" i="3" s="1"/>
  <c r="P38" i="3"/>
  <c r="P40" i="3" s="1"/>
  <c r="Q38" i="3"/>
  <c r="Q40" i="3" s="1"/>
  <c r="R38" i="3"/>
  <c r="R40" i="3" s="1"/>
  <c r="S38" i="3"/>
  <c r="S40" i="3" s="1"/>
  <c r="T38" i="3"/>
  <c r="T40" i="3" s="1"/>
  <c r="U38" i="3"/>
  <c r="U40" i="3" s="1"/>
  <c r="V38" i="3"/>
  <c r="V40" i="3" s="1"/>
  <c r="W38" i="3"/>
  <c r="W40" i="3" s="1"/>
  <c r="X38" i="3"/>
  <c r="X40" i="3" s="1"/>
  <c r="Y38" i="3"/>
  <c r="Y40" i="3" s="1"/>
  <c r="Z38" i="3"/>
  <c r="Z40" i="3" s="1"/>
  <c r="AA38" i="3"/>
  <c r="AA40" i="3" s="1"/>
  <c r="AB38" i="3"/>
  <c r="AB40" i="3" s="1"/>
  <c r="AC38" i="3"/>
  <c r="AC40" i="3" s="1"/>
  <c r="AD38" i="3"/>
  <c r="AD40" i="3" s="1"/>
  <c r="AE38" i="3"/>
  <c r="AE40" i="3" s="1"/>
  <c r="AF38" i="3"/>
  <c r="AF40" i="3" s="1"/>
  <c r="AJ38" i="3"/>
  <c r="AJ40" i="3" s="1"/>
  <c r="AK38" i="3"/>
  <c r="AK40" i="3" s="1"/>
  <c r="AL38" i="3"/>
  <c r="AL40" i="3" s="1"/>
  <c r="AM38" i="3"/>
  <c r="AM40" i="3" s="1"/>
  <c r="Z37" i="3"/>
  <c r="Z43" i="3"/>
  <c r="AN30" i="3"/>
  <c r="AO30" i="3"/>
  <c r="BA30" i="3" s="1"/>
  <c r="AP30" i="3"/>
  <c r="AQ30" i="3"/>
  <c r="AR30" i="3"/>
  <c r="AS30" i="3"/>
  <c r="AT30" i="3"/>
  <c r="AU30" i="3"/>
  <c r="I38" i="3"/>
  <c r="I40" i="3" s="1"/>
  <c r="I36" i="1"/>
  <c r="AM32" i="3"/>
  <c r="AL32" i="3"/>
  <c r="AK32" i="3"/>
  <c r="AJ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AU31" i="3"/>
  <c r="AT31" i="3"/>
  <c r="AS31" i="3"/>
  <c r="AR31" i="3"/>
  <c r="AQ31" i="3"/>
  <c r="AP31" i="3"/>
  <c r="AO31" i="3"/>
  <c r="AN31" i="3"/>
  <c r="AH17" i="4" l="1"/>
  <c r="AG17" i="4"/>
  <c r="AI40" i="4"/>
  <c r="AI42" i="4" s="1"/>
  <c r="AH44" i="3"/>
  <c r="AH42" i="3"/>
  <c r="AI41" i="3"/>
  <c r="AH16" i="1"/>
  <c r="AI44" i="3"/>
  <c r="AI42" i="3"/>
  <c r="AI40" i="3"/>
  <c r="AG41" i="3"/>
  <c r="AG16" i="1"/>
  <c r="BB30" i="3"/>
  <c r="AY30" i="3"/>
  <c r="AZ30" i="3"/>
  <c r="AV30" i="3"/>
  <c r="AW30" i="3" s="1"/>
  <c r="AX30" i="3"/>
  <c r="AY31" i="3"/>
  <c r="AZ31" i="3"/>
  <c r="BA31" i="3"/>
  <c r="BB31" i="3"/>
  <c r="AV31" i="3"/>
  <c r="AW31" i="3" s="1"/>
  <c r="AX31" i="3"/>
  <c r="R15" i="4"/>
  <c r="AN15" i="3"/>
  <c r="R14" i="3"/>
  <c r="R14" i="1"/>
  <c r="AM41" i="4"/>
  <c r="AL41" i="4"/>
  <c r="AK41" i="4"/>
  <c r="AJ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R16" i="3"/>
  <c r="R17" i="4"/>
  <c r="AM43" i="3"/>
  <c r="AL43" i="3"/>
  <c r="AK43" i="3"/>
  <c r="AJ43" i="3"/>
  <c r="AF43" i="3"/>
  <c r="AE43" i="3"/>
  <c r="AD43" i="3"/>
  <c r="AC43" i="3"/>
  <c r="AB43" i="3"/>
  <c r="AA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R16" i="1"/>
  <c r="AM40" i="1"/>
  <c r="AL40" i="1"/>
  <c r="AK40" i="1"/>
  <c r="AJ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AO28" i="3"/>
  <c r="AO29" i="3"/>
  <c r="AO26" i="3"/>
  <c r="AO10" i="3"/>
  <c r="AN10" i="3"/>
  <c r="AN9" i="3"/>
  <c r="AN8" i="3"/>
  <c r="AN41" i="4" l="1"/>
  <c r="AG42" i="3"/>
  <c r="AG44" i="3"/>
  <c r="AN43" i="3"/>
  <c r="AN40" i="1"/>
  <c r="BB30" i="4"/>
  <c r="BA30" i="4"/>
  <c r="AZ30" i="4"/>
  <c r="AY30" i="4"/>
  <c r="AX30" i="4"/>
  <c r="AV30" i="4"/>
  <c r="AT30" i="4"/>
  <c r="AS30" i="4"/>
  <c r="AR30" i="4"/>
  <c r="AQ30" i="4"/>
  <c r="AP30" i="4"/>
  <c r="BB29" i="4"/>
  <c r="BA29" i="4"/>
  <c r="AZ29" i="4"/>
  <c r="AY29" i="4"/>
  <c r="AX29" i="4"/>
  <c r="AV29" i="4"/>
  <c r="AT29" i="4"/>
  <c r="AS29" i="4"/>
  <c r="AR29" i="4"/>
  <c r="AQ29" i="4"/>
  <c r="AP29" i="4"/>
  <c r="BB28" i="4"/>
  <c r="BA28" i="4"/>
  <c r="AZ28" i="4"/>
  <c r="AY28" i="4"/>
  <c r="AX28" i="4"/>
  <c r="AV28" i="4"/>
  <c r="AT28" i="4"/>
  <c r="AS28" i="4"/>
  <c r="AR28" i="4"/>
  <c r="AQ28" i="4"/>
  <c r="AP28" i="4"/>
  <c r="BB27" i="4"/>
  <c r="BA27" i="4"/>
  <c r="AZ27" i="4"/>
  <c r="AY27" i="4"/>
  <c r="AX27" i="4"/>
  <c r="AV27" i="4"/>
  <c r="AT27" i="4"/>
  <c r="AS27" i="4"/>
  <c r="AR27" i="4"/>
  <c r="AQ27" i="4"/>
  <c r="AP27" i="4"/>
  <c r="BB26" i="4"/>
  <c r="BA26" i="4"/>
  <c r="AZ26" i="4"/>
  <c r="AY26" i="4"/>
  <c r="AX26" i="4"/>
  <c r="AV26" i="4"/>
  <c r="AT26" i="4"/>
  <c r="AS26" i="4"/>
  <c r="AR26" i="4"/>
  <c r="AQ26" i="4"/>
  <c r="AP26" i="4"/>
  <c r="BB25" i="4"/>
  <c r="BA25" i="4"/>
  <c r="AZ25" i="4"/>
  <c r="AY25" i="4"/>
  <c r="AX25" i="4"/>
  <c r="AV25" i="4"/>
  <c r="AT25" i="4"/>
  <c r="AS25" i="4"/>
  <c r="AR25" i="4"/>
  <c r="AQ25" i="4"/>
  <c r="AP25" i="4"/>
  <c r="BB24" i="4"/>
  <c r="BA24" i="4"/>
  <c r="AZ24" i="4"/>
  <c r="AY24" i="4"/>
  <c r="AX24" i="4"/>
  <c r="AV24" i="4"/>
  <c r="AT24" i="4"/>
  <c r="AS24" i="4"/>
  <c r="AR24" i="4"/>
  <c r="AQ24" i="4"/>
  <c r="AP24" i="4"/>
  <c r="BB23" i="4"/>
  <c r="BA23" i="4"/>
  <c r="AZ23" i="4"/>
  <c r="AY23" i="4"/>
  <c r="AX23" i="4"/>
  <c r="AV23" i="4"/>
  <c r="AT23" i="4"/>
  <c r="AS23" i="4"/>
  <c r="AR23" i="4"/>
  <c r="AQ23" i="4"/>
  <c r="AP23" i="4"/>
  <c r="BB22" i="4"/>
  <c r="BA22" i="4"/>
  <c r="AZ22" i="4"/>
  <c r="AY22" i="4"/>
  <c r="AX22" i="4"/>
  <c r="AV22" i="4"/>
  <c r="AT22" i="4"/>
  <c r="AS22" i="4"/>
  <c r="AR22" i="4"/>
  <c r="AQ22" i="4"/>
  <c r="AP22" i="4"/>
  <c r="BB21" i="4"/>
  <c r="BA21" i="4"/>
  <c r="AZ21" i="4"/>
  <c r="AY21" i="4"/>
  <c r="AX21" i="4"/>
  <c r="AV21" i="4"/>
  <c r="AT21" i="4"/>
  <c r="AS21" i="4"/>
  <c r="AR21" i="4"/>
  <c r="AQ21" i="4"/>
  <c r="AP21" i="4"/>
  <c r="BB20" i="4"/>
  <c r="BA20" i="4"/>
  <c r="AZ20" i="4"/>
  <c r="AY20" i="4"/>
  <c r="AX20" i="4"/>
  <c r="AV20" i="4"/>
  <c r="AT20" i="4"/>
  <c r="AS20" i="4"/>
  <c r="AR20" i="4"/>
  <c r="AQ20" i="4"/>
  <c r="AP20" i="4"/>
  <c r="BB11" i="4"/>
  <c r="BA11" i="4"/>
  <c r="AZ11" i="4"/>
  <c r="AY11" i="4"/>
  <c r="AX11" i="4"/>
  <c r="AV11" i="4"/>
  <c r="AT11" i="4"/>
  <c r="AS11" i="4"/>
  <c r="AR11" i="4"/>
  <c r="AQ11" i="4"/>
  <c r="AP11" i="4"/>
  <c r="BB10" i="4"/>
  <c r="BA10" i="4"/>
  <c r="AZ10" i="4"/>
  <c r="AY10" i="4"/>
  <c r="AX10" i="4"/>
  <c r="AV10" i="4"/>
  <c r="AT10" i="4"/>
  <c r="AS10" i="4"/>
  <c r="AR10" i="4"/>
  <c r="AQ10" i="4"/>
  <c r="AP10" i="4"/>
  <c r="BB9" i="4"/>
  <c r="BA9" i="4"/>
  <c r="AZ9" i="4"/>
  <c r="AY9" i="4"/>
  <c r="AX9" i="4"/>
  <c r="AV9" i="4"/>
  <c r="AT9" i="4"/>
  <c r="AS9" i="4"/>
  <c r="AR9" i="4"/>
  <c r="AQ9" i="4"/>
  <c r="AP9" i="4"/>
  <c r="I8" i="4"/>
  <c r="J6" i="4"/>
  <c r="J8" i="4" s="1"/>
  <c r="BB29" i="3"/>
  <c r="BA29" i="3"/>
  <c r="AZ29" i="3"/>
  <c r="AY29" i="3"/>
  <c r="AX29" i="3"/>
  <c r="AV29" i="3"/>
  <c r="AT29" i="3"/>
  <c r="AS29" i="3"/>
  <c r="AR29" i="3"/>
  <c r="AQ29" i="3"/>
  <c r="AP29" i="3"/>
  <c r="BB28" i="3"/>
  <c r="BA28" i="3"/>
  <c r="AZ28" i="3"/>
  <c r="AY28" i="3"/>
  <c r="AX28" i="3"/>
  <c r="AV28" i="3"/>
  <c r="AT28" i="3"/>
  <c r="AS28" i="3"/>
  <c r="AR28" i="3"/>
  <c r="AQ28" i="3"/>
  <c r="AP28" i="3"/>
  <c r="BB27" i="3"/>
  <c r="BA27" i="3"/>
  <c r="AZ27" i="3"/>
  <c r="AY27" i="3"/>
  <c r="AX27" i="3"/>
  <c r="AV27" i="3"/>
  <c r="AT27" i="3"/>
  <c r="AS27" i="3"/>
  <c r="AR27" i="3"/>
  <c r="AQ27" i="3"/>
  <c r="AP27" i="3"/>
  <c r="BB26" i="3"/>
  <c r="BA26" i="3"/>
  <c r="AZ26" i="3"/>
  <c r="AY26" i="3"/>
  <c r="AX26" i="3"/>
  <c r="AV26" i="3"/>
  <c r="AT26" i="3"/>
  <c r="AS26" i="3"/>
  <c r="AR26" i="3"/>
  <c r="AQ26" i="3"/>
  <c r="AP26" i="3"/>
  <c r="BB25" i="3"/>
  <c r="BA25" i="3"/>
  <c r="AZ25" i="3"/>
  <c r="AY25" i="3"/>
  <c r="AX25" i="3"/>
  <c r="AV25" i="3"/>
  <c r="AT25" i="3"/>
  <c r="AS25" i="3"/>
  <c r="AR25" i="3"/>
  <c r="AQ25" i="3"/>
  <c r="AP25" i="3"/>
  <c r="BB24" i="3"/>
  <c r="BA24" i="3"/>
  <c r="AZ24" i="3"/>
  <c r="AY24" i="3"/>
  <c r="AX24" i="3"/>
  <c r="AV24" i="3"/>
  <c r="AT24" i="3"/>
  <c r="AS24" i="3"/>
  <c r="AR24" i="3"/>
  <c r="AQ24" i="3"/>
  <c r="AP24" i="3"/>
  <c r="BB23" i="3"/>
  <c r="BA23" i="3"/>
  <c r="AZ23" i="3"/>
  <c r="AY23" i="3"/>
  <c r="AX23" i="3"/>
  <c r="AV23" i="3"/>
  <c r="AT23" i="3"/>
  <c r="AS23" i="3"/>
  <c r="AR23" i="3"/>
  <c r="AQ23" i="3"/>
  <c r="AP23" i="3"/>
  <c r="BB22" i="3"/>
  <c r="BA22" i="3"/>
  <c r="AZ22" i="3"/>
  <c r="AY22" i="3"/>
  <c r="AX22" i="3"/>
  <c r="AV22" i="3"/>
  <c r="AT22" i="3"/>
  <c r="AS22" i="3"/>
  <c r="AR22" i="3"/>
  <c r="AQ22" i="3"/>
  <c r="AP22" i="3"/>
  <c r="BB21" i="3"/>
  <c r="BA21" i="3"/>
  <c r="AZ21" i="3"/>
  <c r="AY21" i="3"/>
  <c r="AX21" i="3"/>
  <c r="AV21" i="3"/>
  <c r="AT21" i="3"/>
  <c r="AS21" i="3"/>
  <c r="AR21" i="3"/>
  <c r="AQ21" i="3"/>
  <c r="AP21" i="3"/>
  <c r="BB20" i="3"/>
  <c r="BA20" i="3"/>
  <c r="AZ20" i="3"/>
  <c r="AY20" i="3"/>
  <c r="AX20" i="3"/>
  <c r="AV20" i="3"/>
  <c r="AT20" i="3"/>
  <c r="AS20" i="3"/>
  <c r="AR20" i="3"/>
  <c r="AQ20" i="3"/>
  <c r="AP20" i="3"/>
  <c r="BB19" i="3"/>
  <c r="BA19" i="3"/>
  <c r="AZ19" i="3"/>
  <c r="AY19" i="3"/>
  <c r="AX19" i="3"/>
  <c r="AV19" i="3"/>
  <c r="AT19" i="3"/>
  <c r="AS19" i="3"/>
  <c r="AR19" i="3"/>
  <c r="AQ19" i="3"/>
  <c r="AP19" i="3"/>
  <c r="BB10" i="3"/>
  <c r="BA10" i="3"/>
  <c r="AZ10" i="3"/>
  <c r="AY10" i="3"/>
  <c r="AX10" i="3"/>
  <c r="AV10" i="3"/>
  <c r="AT10" i="3"/>
  <c r="AS10" i="3"/>
  <c r="AR10" i="3"/>
  <c r="AQ10" i="3"/>
  <c r="AP10" i="3"/>
  <c r="BB9" i="3"/>
  <c r="BA9" i="3"/>
  <c r="AZ9" i="3"/>
  <c r="AY9" i="3"/>
  <c r="AX9" i="3"/>
  <c r="AV9" i="3"/>
  <c r="AT9" i="3"/>
  <c r="AS9" i="3"/>
  <c r="AR9" i="3"/>
  <c r="AQ9" i="3"/>
  <c r="AP9" i="3"/>
  <c r="BB8" i="3"/>
  <c r="BA8" i="3"/>
  <c r="AZ8" i="3"/>
  <c r="AY8" i="3"/>
  <c r="AX8" i="3"/>
  <c r="AV8" i="3"/>
  <c r="AT8" i="3"/>
  <c r="AS8" i="3"/>
  <c r="AR8" i="3"/>
  <c r="AQ8" i="3"/>
  <c r="AP8" i="3"/>
  <c r="I7" i="3"/>
  <c r="J6" i="3"/>
  <c r="J7" i="3" s="1"/>
  <c r="AT29" i="1"/>
  <c r="AS29" i="1"/>
  <c r="AR29" i="1"/>
  <c r="AQ29" i="1"/>
  <c r="AP29" i="1"/>
  <c r="AT28" i="1"/>
  <c r="AS28" i="1"/>
  <c r="AR28" i="1"/>
  <c r="AQ28" i="1"/>
  <c r="AP28" i="1"/>
  <c r="AT27" i="1"/>
  <c r="AS27" i="1"/>
  <c r="AR27" i="1"/>
  <c r="AQ27" i="1"/>
  <c r="AP27" i="1"/>
  <c r="AT26" i="1"/>
  <c r="AS26" i="1"/>
  <c r="AR26" i="1"/>
  <c r="AQ26" i="1"/>
  <c r="AP26" i="1"/>
  <c r="AT25" i="1"/>
  <c r="AS25" i="1"/>
  <c r="AR25" i="1"/>
  <c r="AQ25" i="1"/>
  <c r="AP25" i="1"/>
  <c r="AT24" i="1"/>
  <c r="AS24" i="1"/>
  <c r="AR24" i="1"/>
  <c r="AQ24" i="1"/>
  <c r="AP24" i="1"/>
  <c r="AT23" i="1"/>
  <c r="AS23" i="1"/>
  <c r="AR23" i="1"/>
  <c r="AQ23" i="1"/>
  <c r="AP23" i="1"/>
  <c r="AT22" i="1"/>
  <c r="AS22" i="1"/>
  <c r="AR22" i="1"/>
  <c r="AQ22" i="1"/>
  <c r="AP22" i="1"/>
  <c r="AT21" i="1"/>
  <c r="AS21" i="1"/>
  <c r="AR21" i="1"/>
  <c r="AQ21" i="1"/>
  <c r="AP21" i="1"/>
  <c r="AT20" i="1"/>
  <c r="AS20" i="1"/>
  <c r="AR20" i="1"/>
  <c r="AQ20" i="1"/>
  <c r="AP20" i="1"/>
  <c r="AT19" i="1"/>
  <c r="AS19" i="1"/>
  <c r="AR19" i="1"/>
  <c r="AQ19" i="1"/>
  <c r="AP19" i="1"/>
  <c r="AT10" i="1"/>
  <c r="AS10" i="1"/>
  <c r="AR10" i="1"/>
  <c r="AQ10" i="1"/>
  <c r="AP10" i="1"/>
  <c r="AT9" i="1"/>
  <c r="AS9" i="1"/>
  <c r="AR9" i="1"/>
  <c r="AQ9" i="1"/>
  <c r="AP9" i="1"/>
  <c r="AT8" i="1"/>
  <c r="AS8" i="1"/>
  <c r="AR8" i="1"/>
  <c r="AQ8" i="1"/>
  <c r="AP8" i="1"/>
  <c r="I7" i="1"/>
  <c r="J6" i="1"/>
  <c r="J7" i="1" s="1"/>
  <c r="K6" i="4" l="1"/>
  <c r="K6" i="3"/>
  <c r="K6" i="1"/>
  <c r="K8" i="4" l="1"/>
  <c r="L6" i="4"/>
  <c r="K7" i="3"/>
  <c r="L6" i="3"/>
  <c r="K7" i="1"/>
  <c r="L6" i="1"/>
  <c r="L8" i="4" l="1"/>
  <c r="M6" i="4"/>
  <c r="L7" i="3"/>
  <c r="M6" i="3"/>
  <c r="L7" i="1"/>
  <c r="M6" i="1"/>
  <c r="M8" i="4" l="1"/>
  <c r="N6" i="4"/>
  <c r="N6" i="3"/>
  <c r="M7" i="3"/>
  <c r="N6" i="1"/>
  <c r="M7" i="1"/>
  <c r="O6" i="4" l="1"/>
  <c r="N8" i="4"/>
  <c r="O6" i="3"/>
  <c r="N7" i="3"/>
  <c r="O6" i="1"/>
  <c r="N7" i="1"/>
  <c r="P6" i="4" l="1"/>
  <c r="O8" i="4"/>
  <c r="P6" i="3"/>
  <c r="O7" i="3"/>
  <c r="P6" i="1"/>
  <c r="B3" i="1" s="1"/>
  <c r="O7" i="1"/>
  <c r="P8" i="4" l="1"/>
  <c r="Q6" i="4"/>
  <c r="P7" i="3"/>
  <c r="Q6" i="3"/>
  <c r="P7" i="1"/>
  <c r="Q6" i="1"/>
  <c r="Q8" i="4" l="1"/>
  <c r="R6" i="4"/>
  <c r="R6" i="3"/>
  <c r="Q7" i="3"/>
  <c r="Q7" i="1"/>
  <c r="R6" i="1"/>
  <c r="R8" i="4" l="1"/>
  <c r="S6" i="4"/>
  <c r="R7" i="3"/>
  <c r="S6" i="3"/>
  <c r="S6" i="1"/>
  <c r="R7" i="1"/>
  <c r="S8" i="4" l="1"/>
  <c r="T6" i="4"/>
  <c r="T6" i="3"/>
  <c r="S7" i="3"/>
  <c r="S7" i="1"/>
  <c r="T6" i="1"/>
  <c r="T8" i="4" l="1"/>
  <c r="U6" i="4"/>
  <c r="T7" i="3"/>
  <c r="U6" i="3"/>
  <c r="T7" i="1"/>
  <c r="U6" i="1"/>
  <c r="U8" i="4" l="1"/>
  <c r="V6" i="4"/>
  <c r="V6" i="3"/>
  <c r="U7" i="3"/>
  <c r="V6" i="1"/>
  <c r="U7" i="1"/>
  <c r="W6" i="4" l="1"/>
  <c r="V8" i="4"/>
  <c r="V7" i="3"/>
  <c r="W6" i="3"/>
  <c r="W6" i="1"/>
  <c r="V7" i="1"/>
  <c r="X6" i="4" l="1"/>
  <c r="W8" i="4"/>
  <c r="X6" i="3"/>
  <c r="W7" i="3"/>
  <c r="X6" i="1"/>
  <c r="W7" i="1"/>
  <c r="Y6" i="4" l="1"/>
  <c r="X8" i="4"/>
  <c r="X7" i="3"/>
  <c r="Y6" i="3"/>
  <c r="Y6" i="1"/>
  <c r="X7" i="1"/>
  <c r="Y8" i="4" l="1"/>
  <c r="Z6" i="4"/>
  <c r="Y7" i="3"/>
  <c r="Z6" i="3"/>
  <c r="Y7" i="1"/>
  <c r="Z6" i="1"/>
  <c r="Z8" i="4" l="1"/>
  <c r="AA6" i="4"/>
  <c r="Z7" i="3"/>
  <c r="AA6" i="3"/>
  <c r="Z7" i="1"/>
  <c r="AA6" i="1"/>
  <c r="AA8" i="4" l="1"/>
  <c r="AB6" i="4"/>
  <c r="AA7" i="3"/>
  <c r="AB6" i="3"/>
  <c r="AA7" i="1"/>
  <c r="AB6" i="1"/>
  <c r="AB8" i="4" l="1"/>
  <c r="AC6" i="4"/>
  <c r="AB7" i="3"/>
  <c r="AC6" i="3"/>
  <c r="AB7" i="1"/>
  <c r="AC6" i="1"/>
  <c r="AG8" i="4" l="1"/>
  <c r="AD6" i="4"/>
  <c r="AC8" i="4"/>
  <c r="AD6" i="3"/>
  <c r="AC7" i="3"/>
  <c r="AD6" i="1"/>
  <c r="AC7" i="1"/>
  <c r="AI8" i="4" l="1"/>
  <c r="AH8" i="4"/>
  <c r="AE6" i="4"/>
  <c r="AD8" i="4"/>
  <c r="AE6" i="3"/>
  <c r="AD7" i="3"/>
  <c r="AE6" i="1"/>
  <c r="AD7" i="1"/>
  <c r="AF6" i="4" l="1"/>
  <c r="AE8" i="4"/>
  <c r="AF6" i="3"/>
  <c r="AG6" i="3" s="1"/>
  <c r="AE7" i="3"/>
  <c r="AF6" i="1"/>
  <c r="AG6" i="1" s="1"/>
  <c r="AE7" i="1"/>
  <c r="AG7" i="1" l="1"/>
  <c r="AH6" i="1"/>
  <c r="AH6" i="3"/>
  <c r="AG7" i="3"/>
  <c r="AF8" i="4"/>
  <c r="AF7" i="3"/>
  <c r="AF7" i="1"/>
  <c r="AI6" i="1" l="1"/>
  <c r="AH7" i="1"/>
  <c r="AI6" i="3"/>
  <c r="AH7" i="3"/>
  <c r="AJ8" i="4"/>
  <c r="AJ6" i="1" l="1"/>
  <c r="AI7" i="1"/>
  <c r="AI7" i="3"/>
  <c r="AJ6" i="3"/>
  <c r="AK8" i="4"/>
  <c r="AK6" i="1" l="1"/>
  <c r="AJ7" i="1"/>
  <c r="AK6" i="3"/>
  <c r="AJ7" i="3"/>
  <c r="AL8" i="4"/>
  <c r="AM8" i="4"/>
  <c r="AL6" i="1" l="1"/>
  <c r="AK7" i="1"/>
  <c r="AL6" i="3"/>
  <c r="AK7" i="3"/>
  <c r="AN38" i="4"/>
  <c r="AO38" i="4" s="1"/>
  <c r="AN34" i="4"/>
  <c r="AO34" i="4" s="1"/>
  <c r="I37" i="4"/>
  <c r="I36" i="4"/>
  <c r="I15" i="4"/>
  <c r="I31" i="4"/>
  <c r="AN10" i="1"/>
  <c r="AO9" i="4"/>
  <c r="AO15" i="4"/>
  <c r="AO21" i="4"/>
  <c r="AN9" i="4"/>
  <c r="J31" i="4"/>
  <c r="I37" i="3"/>
  <c r="I39" i="4" l="1"/>
  <c r="I17" i="4"/>
  <c r="I40" i="4"/>
  <c r="AM6" i="1"/>
  <c r="AM7" i="1" s="1"/>
  <c r="AL7" i="1"/>
  <c r="AM6" i="3"/>
  <c r="AM7" i="3" s="1"/>
  <c r="AL7" i="3"/>
  <c r="AM37" i="4"/>
  <c r="AM39" i="4" s="1"/>
  <c r="AL37" i="4"/>
  <c r="AL39" i="4" s="1"/>
  <c r="AK37" i="4"/>
  <c r="AK39" i="4" s="1"/>
  <c r="AJ37" i="4"/>
  <c r="AJ39" i="4" s="1"/>
  <c r="AF37" i="4"/>
  <c r="AF39" i="4" s="1"/>
  <c r="AE37" i="4"/>
  <c r="AE39" i="4" s="1"/>
  <c r="AD37" i="4"/>
  <c r="AD39" i="4" s="1"/>
  <c r="AC37" i="4"/>
  <c r="AC39" i="4" s="1"/>
  <c r="AB37" i="4"/>
  <c r="AB39" i="4" s="1"/>
  <c r="AA37" i="4"/>
  <c r="AA39" i="4" s="1"/>
  <c r="Z37" i="4"/>
  <c r="Z39" i="4" s="1"/>
  <c r="Y37" i="4"/>
  <c r="Y39" i="4" s="1"/>
  <c r="X37" i="4"/>
  <c r="X39" i="4" s="1"/>
  <c r="W37" i="4"/>
  <c r="W39" i="4" s="1"/>
  <c r="V37" i="4"/>
  <c r="V39" i="4" s="1"/>
  <c r="U37" i="4"/>
  <c r="U39" i="4" s="1"/>
  <c r="T37" i="4"/>
  <c r="T39" i="4" s="1"/>
  <c r="S37" i="4"/>
  <c r="S39" i="4" s="1"/>
  <c r="R37" i="4"/>
  <c r="Q37" i="4"/>
  <c r="Q39" i="4" s="1"/>
  <c r="P37" i="4"/>
  <c r="P39" i="4" s="1"/>
  <c r="O37" i="4"/>
  <c r="O39" i="4" s="1"/>
  <c r="N37" i="4"/>
  <c r="N39" i="4" s="1"/>
  <c r="M37" i="4"/>
  <c r="M39" i="4" s="1"/>
  <c r="L37" i="4"/>
  <c r="L39" i="4" s="1"/>
  <c r="K37" i="4"/>
  <c r="K39" i="4" s="1"/>
  <c r="J37" i="4"/>
  <c r="AM36" i="4"/>
  <c r="AL36" i="4"/>
  <c r="AK36" i="4"/>
  <c r="AJ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AM37" i="3"/>
  <c r="AL37" i="3"/>
  <c r="AK37" i="3"/>
  <c r="AJ37" i="3"/>
  <c r="AF37" i="3"/>
  <c r="AE37" i="3"/>
  <c r="AD37" i="3"/>
  <c r="AC37" i="3"/>
  <c r="AB37" i="3"/>
  <c r="AA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AK15" i="4"/>
  <c r="AJ15" i="4"/>
  <c r="AJ40" i="4" s="1"/>
  <c r="AM36" i="1"/>
  <c r="AM38" i="1" s="1"/>
  <c r="AL36" i="1"/>
  <c r="AL38" i="1" s="1"/>
  <c r="AK36" i="1"/>
  <c r="AJ36" i="1"/>
  <c r="AJ38" i="1" s="1"/>
  <c r="AF36" i="1"/>
  <c r="AF38" i="1" s="1"/>
  <c r="AE36" i="1"/>
  <c r="AE38" i="1" s="1"/>
  <c r="AD36" i="1"/>
  <c r="AD38" i="1" s="1"/>
  <c r="AC36" i="1"/>
  <c r="AC38" i="1" s="1"/>
  <c r="AB36" i="1"/>
  <c r="AB38" i="1" s="1"/>
  <c r="AA36" i="1"/>
  <c r="AA38" i="1" s="1"/>
  <c r="Z36" i="1"/>
  <c r="Z38" i="1" s="1"/>
  <c r="Y36" i="1"/>
  <c r="Y38" i="1" s="1"/>
  <c r="X36" i="1"/>
  <c r="X38" i="1" s="1"/>
  <c r="W36" i="1"/>
  <c r="W38" i="1" s="1"/>
  <c r="V36" i="1"/>
  <c r="U36" i="1"/>
  <c r="U38" i="1" s="1"/>
  <c r="T36" i="1"/>
  <c r="T38" i="1" s="1"/>
  <c r="S36" i="1"/>
  <c r="R36" i="1"/>
  <c r="Q36" i="1"/>
  <c r="Q38" i="1" s="1"/>
  <c r="P36" i="1"/>
  <c r="O36" i="1"/>
  <c r="N36" i="1"/>
  <c r="N38" i="1" s="1"/>
  <c r="M36" i="1"/>
  <c r="M38" i="1" s="1"/>
  <c r="L36" i="1"/>
  <c r="K36" i="1"/>
  <c r="J36" i="1"/>
  <c r="AM35" i="1"/>
  <c r="AL35" i="1"/>
  <c r="AK35" i="1"/>
  <c r="AJ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I30" i="1"/>
  <c r="AO10" i="1"/>
  <c r="AV10" i="1" s="1"/>
  <c r="AN9" i="1"/>
  <c r="AO9" i="1"/>
  <c r="AN37" i="4" l="1"/>
  <c r="AO37" i="4" s="1"/>
  <c r="AO39" i="4" s="1"/>
  <c r="AK40" i="4"/>
  <c r="R39" i="4"/>
  <c r="R40" i="4"/>
  <c r="I42" i="4"/>
  <c r="R41" i="3"/>
  <c r="R44" i="3" s="1"/>
  <c r="R38" i="1"/>
  <c r="R39" i="1"/>
  <c r="R41" i="1" s="1"/>
  <c r="AK38" i="1"/>
  <c r="P38" i="1"/>
  <c r="O38" i="1"/>
  <c r="J38" i="1"/>
  <c r="S38" i="1"/>
  <c r="V38" i="1"/>
  <c r="K38" i="1"/>
  <c r="L38" i="1"/>
  <c r="BA9" i="1"/>
  <c r="AZ9" i="1"/>
  <c r="AY9" i="1"/>
  <c r="AX9" i="1"/>
  <c r="AV9" i="1"/>
  <c r="BB9" i="1"/>
  <c r="AY10" i="1"/>
  <c r="AZ10" i="1"/>
  <c r="AX10" i="1"/>
  <c r="BA10" i="1"/>
  <c r="BB10" i="1"/>
  <c r="AN36" i="4"/>
  <c r="J39" i="4"/>
  <c r="AN39" i="4" s="1"/>
  <c r="I38" i="1"/>
  <c r="R42" i="3" l="1"/>
  <c r="K31" i="4" l="1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J31" i="4"/>
  <c r="AK31" i="4"/>
  <c r="AL31" i="4"/>
  <c r="AM31" i="4"/>
  <c r="J30" i="1" l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J30" i="1"/>
  <c r="AK30" i="1"/>
  <c r="AL30" i="1"/>
  <c r="AM30" i="1"/>
  <c r="AN11" i="4" l="1"/>
  <c r="AO11" i="4"/>
  <c r="AO9" i="3" l="1"/>
  <c r="AO8" i="3"/>
  <c r="AO11" i="3" l="1"/>
  <c r="AN35" i="4" l="1"/>
  <c r="AO35" i="4" s="1"/>
  <c r="AO22" i="4" l="1"/>
  <c r="AO23" i="4"/>
  <c r="AO24" i="4"/>
  <c r="AO25" i="4"/>
  <c r="AO26" i="4"/>
  <c r="AO27" i="4"/>
  <c r="AO28" i="4"/>
  <c r="AO29" i="4"/>
  <c r="AO30" i="4"/>
  <c r="AO20" i="4"/>
  <c r="AN21" i="4"/>
  <c r="AN22" i="4"/>
  <c r="AN23" i="4"/>
  <c r="AN24" i="4"/>
  <c r="AN25" i="4"/>
  <c r="AN26" i="4"/>
  <c r="AN27" i="4"/>
  <c r="AN28" i="4"/>
  <c r="AN29" i="4"/>
  <c r="AN30" i="4"/>
  <c r="AN20" i="4"/>
  <c r="AN16" i="4"/>
  <c r="AO10" i="4"/>
  <c r="AN10" i="4"/>
  <c r="AN39" i="3"/>
  <c r="AN36" i="3"/>
  <c r="AN35" i="3"/>
  <c r="AO20" i="3"/>
  <c r="AO21" i="3"/>
  <c r="AO22" i="3"/>
  <c r="AO23" i="3"/>
  <c r="AO24" i="3"/>
  <c r="AO25" i="3"/>
  <c r="AO27" i="3"/>
  <c r="AO19" i="3"/>
  <c r="AN20" i="3"/>
  <c r="AN21" i="3"/>
  <c r="AN22" i="3"/>
  <c r="AN23" i="3"/>
  <c r="AN24" i="3"/>
  <c r="AN25" i="3"/>
  <c r="AN26" i="3"/>
  <c r="AN27" i="3"/>
  <c r="AN28" i="3"/>
  <c r="AN29" i="3"/>
  <c r="AN19" i="3"/>
  <c r="AN34" i="1"/>
  <c r="AN37" i="1"/>
  <c r="AN33" i="1"/>
  <c r="AO20" i="1"/>
  <c r="AO21" i="1"/>
  <c r="AO22" i="1"/>
  <c r="AO23" i="1"/>
  <c r="AO24" i="1"/>
  <c r="AO25" i="1"/>
  <c r="AO26" i="1"/>
  <c r="AO27" i="1"/>
  <c r="AO28" i="1"/>
  <c r="AO29" i="1"/>
  <c r="AO19" i="1"/>
  <c r="AN20" i="1"/>
  <c r="AN21" i="1"/>
  <c r="AN22" i="1"/>
  <c r="AN23" i="1"/>
  <c r="AN24" i="1"/>
  <c r="AN25" i="1"/>
  <c r="AN26" i="1"/>
  <c r="AN27" i="1"/>
  <c r="AN28" i="1"/>
  <c r="AN29" i="1"/>
  <c r="AN19" i="1"/>
  <c r="AN15" i="1"/>
  <c r="AO8" i="1"/>
  <c r="AN8" i="1"/>
  <c r="BA19" i="1" l="1"/>
  <c r="AZ19" i="1"/>
  <c r="BB19" i="1"/>
  <c r="AY19" i="1"/>
  <c r="AX19" i="1"/>
  <c r="AV19" i="1"/>
  <c r="AZ23" i="1"/>
  <c r="AY23" i="1"/>
  <c r="AX23" i="1"/>
  <c r="AV23" i="1"/>
  <c r="BA23" i="1"/>
  <c r="BB23" i="1"/>
  <c r="BB24" i="1"/>
  <c r="BA24" i="1"/>
  <c r="AZ24" i="1"/>
  <c r="AV24" i="1"/>
  <c r="AY24" i="1"/>
  <c r="AX24" i="1"/>
  <c r="AX29" i="1"/>
  <c r="AV29" i="1"/>
  <c r="BB29" i="1"/>
  <c r="BA29" i="1"/>
  <c r="AZ29" i="1"/>
  <c r="AY29" i="1"/>
  <c r="BB28" i="1"/>
  <c r="BA28" i="1"/>
  <c r="AZ28" i="1"/>
  <c r="AY28" i="1"/>
  <c r="AX28" i="1"/>
  <c r="AV28" i="1"/>
  <c r="BB26" i="1"/>
  <c r="BA26" i="1"/>
  <c r="AZ26" i="1"/>
  <c r="AY26" i="1"/>
  <c r="AV26" i="1"/>
  <c r="AX26" i="1"/>
  <c r="AV22" i="1"/>
  <c r="BB22" i="1"/>
  <c r="AX22" i="1"/>
  <c r="BA22" i="1"/>
  <c r="AZ22" i="1"/>
  <c r="AY22" i="1"/>
  <c r="BA21" i="1"/>
  <c r="AZ21" i="1"/>
  <c r="AY21" i="1"/>
  <c r="AX21" i="1"/>
  <c r="AV21" i="1"/>
  <c r="BB21" i="1"/>
  <c r="AV20" i="1"/>
  <c r="AX20" i="1"/>
  <c r="BB20" i="1"/>
  <c r="BA20" i="1"/>
  <c r="AZ20" i="1"/>
  <c r="AY20" i="1"/>
  <c r="AY27" i="1"/>
  <c r="AX27" i="1"/>
  <c r="AV27" i="1"/>
  <c r="AZ27" i="1"/>
  <c r="BB27" i="1"/>
  <c r="BA27" i="1"/>
  <c r="AV8" i="1"/>
  <c r="BB8" i="1"/>
  <c r="BA8" i="1"/>
  <c r="AZ8" i="1"/>
  <c r="AY8" i="1"/>
  <c r="AX8" i="1"/>
  <c r="AZ25" i="1"/>
  <c r="AY25" i="1"/>
  <c r="AX25" i="1"/>
  <c r="AV25" i="1"/>
  <c r="BA25" i="1"/>
  <c r="BB25" i="1"/>
  <c r="AO31" i="4"/>
  <c r="AO30" i="1"/>
  <c r="AN32" i="3"/>
  <c r="AN30" i="1"/>
  <c r="AN31" i="4"/>
  <c r="AN11" i="1"/>
  <c r="AN11" i="3"/>
  <c r="AO11" i="1"/>
  <c r="AO12" i="4"/>
  <c r="AO40" i="4" s="1"/>
  <c r="AN12" i="4"/>
  <c r="AO32" i="3"/>
  <c r="AO36" i="4" l="1"/>
  <c r="J14" i="3"/>
  <c r="J41" i="3" s="1"/>
  <c r="J44" i="3" s="1"/>
  <c r="K14" i="3"/>
  <c r="K41" i="3" s="1"/>
  <c r="K44" i="3" s="1"/>
  <c r="L14" i="3"/>
  <c r="L41" i="3" s="1"/>
  <c r="L44" i="3" s="1"/>
  <c r="M14" i="3"/>
  <c r="M41" i="3" s="1"/>
  <c r="M44" i="3" s="1"/>
  <c r="N14" i="3"/>
  <c r="N41" i="3" s="1"/>
  <c r="N44" i="3" s="1"/>
  <c r="O14" i="3"/>
  <c r="O41" i="3" s="1"/>
  <c r="O44" i="3" s="1"/>
  <c r="P14" i="3"/>
  <c r="P41" i="3" s="1"/>
  <c r="P44" i="3" s="1"/>
  <c r="Q14" i="3"/>
  <c r="Q41" i="3" s="1"/>
  <c r="Q44" i="3" s="1"/>
  <c r="S14" i="3"/>
  <c r="S41" i="3" s="1"/>
  <c r="S44" i="3" s="1"/>
  <c r="T14" i="3"/>
  <c r="T41" i="3" s="1"/>
  <c r="T44" i="3" s="1"/>
  <c r="U14" i="3"/>
  <c r="U41" i="3" s="1"/>
  <c r="U44" i="3" s="1"/>
  <c r="V14" i="3"/>
  <c r="V41" i="3" s="1"/>
  <c r="V44" i="3" s="1"/>
  <c r="W14" i="3"/>
  <c r="W41" i="3" s="1"/>
  <c r="W44" i="3" s="1"/>
  <c r="X14" i="3"/>
  <c r="X41" i="3" s="1"/>
  <c r="X44" i="3" s="1"/>
  <c r="Y14" i="3"/>
  <c r="Y41" i="3" s="1"/>
  <c r="Y44" i="3" s="1"/>
  <c r="Z14" i="3"/>
  <c r="Z41" i="3" s="1"/>
  <c r="Z44" i="3" s="1"/>
  <c r="AA14" i="3"/>
  <c r="AA41" i="3" s="1"/>
  <c r="AA44" i="3" s="1"/>
  <c r="AB14" i="3"/>
  <c r="AB41" i="3" s="1"/>
  <c r="AB44" i="3" s="1"/>
  <c r="AC14" i="3"/>
  <c r="AC41" i="3" s="1"/>
  <c r="AC44" i="3" s="1"/>
  <c r="AD14" i="3"/>
  <c r="AD41" i="3" s="1"/>
  <c r="AD44" i="3" s="1"/>
  <c r="AE14" i="3"/>
  <c r="AE41" i="3" s="1"/>
  <c r="AE44" i="3" s="1"/>
  <c r="AF14" i="3"/>
  <c r="AF41" i="3" s="1"/>
  <c r="AF44" i="3" s="1"/>
  <c r="AJ14" i="3"/>
  <c r="AJ41" i="3" s="1"/>
  <c r="AJ44" i="3" s="1"/>
  <c r="AK14" i="3"/>
  <c r="AK41" i="3" s="1"/>
  <c r="AK44" i="3" s="1"/>
  <c r="AL14" i="3"/>
  <c r="AL41" i="3" s="1"/>
  <c r="AL44" i="3" s="1"/>
  <c r="AM14" i="3"/>
  <c r="AM41" i="3" s="1"/>
  <c r="AM44" i="3" s="1"/>
  <c r="I14" i="3"/>
  <c r="I41" i="3" s="1"/>
  <c r="I44" i="3" s="1"/>
  <c r="Z42" i="3" l="1"/>
  <c r="AJ42" i="3"/>
  <c r="U42" i="3"/>
  <c r="AF42" i="3"/>
  <c r="T42" i="3"/>
  <c r="AE42" i="3"/>
  <c r="S42" i="3"/>
  <c r="AD42" i="3"/>
  <c r="Q42" i="3"/>
  <c r="AC42" i="3"/>
  <c r="P42" i="3"/>
  <c r="AB42" i="3"/>
  <c r="O42" i="3"/>
  <c r="AA42" i="3"/>
  <c r="N42" i="3"/>
  <c r="M42" i="3"/>
  <c r="I42" i="3"/>
  <c r="AN44" i="3"/>
  <c r="AO44" i="3" s="1"/>
  <c r="Y42" i="3"/>
  <c r="L42" i="3"/>
  <c r="AM42" i="3"/>
  <c r="X42" i="3"/>
  <c r="K42" i="3"/>
  <c r="AL42" i="3"/>
  <c r="W42" i="3"/>
  <c r="J42" i="3"/>
  <c r="AK42" i="3"/>
  <c r="V42" i="3"/>
  <c r="AN41" i="3"/>
  <c r="AN14" i="3"/>
  <c r="AN36" i="1"/>
  <c r="AO36" i="1" s="1"/>
  <c r="AN38" i="3" l="1"/>
  <c r="AO38" i="3" s="1"/>
  <c r="AO15" i="1" l="1"/>
  <c r="AM15" i="4" l="1"/>
  <c r="AM40" i="4" s="1"/>
  <c r="AL15" i="4"/>
  <c r="AL40" i="4" s="1"/>
  <c r="AF15" i="4"/>
  <c r="AF40" i="4" s="1"/>
  <c r="AE15" i="4"/>
  <c r="AE40" i="4" s="1"/>
  <c r="AD15" i="4"/>
  <c r="AD40" i="4" s="1"/>
  <c r="AC15" i="4"/>
  <c r="AC40" i="4" s="1"/>
  <c r="AC42" i="4" s="1"/>
  <c r="AB15" i="4"/>
  <c r="AB40" i="4" s="1"/>
  <c r="AB42" i="4" s="1"/>
  <c r="AA15" i="4"/>
  <c r="AA40" i="4" s="1"/>
  <c r="AA42" i="4" s="1"/>
  <c r="Z15" i="4"/>
  <c r="Z40" i="4" s="1"/>
  <c r="Y15" i="4"/>
  <c r="Y40" i="4" s="1"/>
  <c r="X15" i="4"/>
  <c r="X40" i="4" s="1"/>
  <c r="W15" i="4"/>
  <c r="W40" i="4" s="1"/>
  <c r="V15" i="4"/>
  <c r="V40" i="4" s="1"/>
  <c r="V42" i="4" s="1"/>
  <c r="U15" i="4"/>
  <c r="U40" i="4" s="1"/>
  <c r="U42" i="4" s="1"/>
  <c r="T15" i="4"/>
  <c r="T40" i="4" s="1"/>
  <c r="T42" i="4" s="1"/>
  <c r="S15" i="4"/>
  <c r="S40" i="4" s="1"/>
  <c r="S42" i="4" s="1"/>
  <c r="Q15" i="4"/>
  <c r="Q40" i="4" s="1"/>
  <c r="P15" i="4"/>
  <c r="P40" i="4" s="1"/>
  <c r="O15" i="4"/>
  <c r="O40" i="4" s="1"/>
  <c r="N15" i="4"/>
  <c r="N40" i="4" s="1"/>
  <c r="M15" i="4"/>
  <c r="M40" i="4" s="1"/>
  <c r="L15" i="4"/>
  <c r="L40" i="4" s="1"/>
  <c r="L42" i="4" s="1"/>
  <c r="K15" i="4"/>
  <c r="K40" i="4" s="1"/>
  <c r="J15" i="4"/>
  <c r="J40" i="4" s="1"/>
  <c r="AM14" i="1"/>
  <c r="AM39" i="1" s="1"/>
  <c r="AM41" i="1" s="1"/>
  <c r="AL14" i="1"/>
  <c r="AL39" i="1" s="1"/>
  <c r="AL41" i="1" s="1"/>
  <c r="AK14" i="1"/>
  <c r="AK39" i="1" s="1"/>
  <c r="AK41" i="1" s="1"/>
  <c r="AJ14" i="1"/>
  <c r="AJ39" i="1" s="1"/>
  <c r="AJ41" i="1" s="1"/>
  <c r="AF14" i="1"/>
  <c r="AF39" i="1" s="1"/>
  <c r="AF41" i="1" s="1"/>
  <c r="AE14" i="1"/>
  <c r="AE39" i="1" s="1"/>
  <c r="AE41" i="1" s="1"/>
  <c r="AD14" i="1"/>
  <c r="AD39" i="1" s="1"/>
  <c r="AD41" i="1" s="1"/>
  <c r="AC14" i="1"/>
  <c r="AC39" i="1" s="1"/>
  <c r="AC41" i="1" s="1"/>
  <c r="AB14" i="1"/>
  <c r="AB39" i="1" s="1"/>
  <c r="AB41" i="1" s="1"/>
  <c r="AA14" i="1"/>
  <c r="AA39" i="1" s="1"/>
  <c r="AA41" i="1" s="1"/>
  <c r="Z14" i="1"/>
  <c r="Z39" i="1" s="1"/>
  <c r="Z41" i="1" s="1"/>
  <c r="Y14" i="1"/>
  <c r="Y39" i="1" s="1"/>
  <c r="Y41" i="1" s="1"/>
  <c r="X14" i="1"/>
  <c r="X39" i="1" s="1"/>
  <c r="X41" i="1" s="1"/>
  <c r="W14" i="1"/>
  <c r="W39" i="1" s="1"/>
  <c r="W41" i="1" s="1"/>
  <c r="V14" i="1"/>
  <c r="V39" i="1" s="1"/>
  <c r="V41" i="1" s="1"/>
  <c r="U14" i="1"/>
  <c r="U39" i="1" s="1"/>
  <c r="U41" i="1" s="1"/>
  <c r="T14" i="1"/>
  <c r="T39" i="1" s="1"/>
  <c r="T41" i="1" s="1"/>
  <c r="S14" i="1"/>
  <c r="S39" i="1" s="1"/>
  <c r="S41" i="1" s="1"/>
  <c r="Q14" i="1"/>
  <c r="Q39" i="1" s="1"/>
  <c r="Q41" i="1" s="1"/>
  <c r="P14" i="1"/>
  <c r="P39" i="1" s="1"/>
  <c r="P41" i="1" s="1"/>
  <c r="O14" i="1"/>
  <c r="O39" i="1" s="1"/>
  <c r="O41" i="1" s="1"/>
  <c r="N14" i="1"/>
  <c r="N39" i="1" s="1"/>
  <c r="N41" i="1" s="1"/>
  <c r="M14" i="1"/>
  <c r="M39" i="1" s="1"/>
  <c r="M41" i="1" s="1"/>
  <c r="L14" i="1"/>
  <c r="L39" i="1" s="1"/>
  <c r="L41" i="1" s="1"/>
  <c r="K14" i="1"/>
  <c r="K39" i="1" s="1"/>
  <c r="K41" i="1" s="1"/>
  <c r="J14" i="1"/>
  <c r="J39" i="1" s="1"/>
  <c r="J41" i="1" s="1"/>
  <c r="I14" i="1"/>
  <c r="I39" i="1" s="1"/>
  <c r="AO15" i="3"/>
  <c r="M42" i="4"/>
  <c r="N42" i="4"/>
  <c r="O42" i="4"/>
  <c r="P42" i="4"/>
  <c r="Q42" i="4"/>
  <c r="R42" i="4"/>
  <c r="W42" i="4"/>
  <c r="X42" i="4"/>
  <c r="Y42" i="4"/>
  <c r="Z42" i="4"/>
  <c r="AD42" i="4"/>
  <c r="AE42" i="4"/>
  <c r="AF42" i="4"/>
  <c r="AJ42" i="4"/>
  <c r="AK42" i="4"/>
  <c r="AL42" i="4"/>
  <c r="AM42" i="4"/>
  <c r="AO16" i="4"/>
  <c r="AN40" i="4" l="1"/>
  <c r="J42" i="4"/>
  <c r="AO17" i="4"/>
  <c r="AO41" i="4"/>
  <c r="AN39" i="1"/>
  <c r="I41" i="1"/>
  <c r="AN41" i="1" s="1"/>
  <c r="AO41" i="1" s="1"/>
  <c r="AN15" i="4"/>
  <c r="K42" i="4"/>
  <c r="AN42" i="4" s="1"/>
  <c r="AN14" i="1"/>
  <c r="AO14" i="1" s="1"/>
  <c r="AO39" i="3" l="1"/>
  <c r="AO36" i="3" l="1"/>
  <c r="AO43" i="3" s="1"/>
  <c r="AO37" i="1" l="1"/>
  <c r="AO34" i="1" l="1"/>
  <c r="AO40" i="1" s="1"/>
  <c r="B3" i="3" l="1"/>
  <c r="B3" i="4" l="1"/>
  <c r="AU7" i="4" l="1"/>
  <c r="AU23" i="3" l="1"/>
  <c r="AW23" i="3" s="1"/>
  <c r="AU19" i="3"/>
  <c r="AW19" i="3" s="1"/>
  <c r="AU28" i="3"/>
  <c r="AW28" i="3" s="1"/>
  <c r="AU26" i="3"/>
  <c r="AW26" i="3" s="1"/>
  <c r="AU24" i="3"/>
  <c r="AW24" i="3" s="1"/>
  <c r="AU22" i="3"/>
  <c r="AW22" i="3" s="1"/>
  <c r="AU20" i="3"/>
  <c r="AW20" i="3" s="1"/>
  <c r="AU10" i="3"/>
  <c r="AW10" i="3" s="1"/>
  <c r="AU25" i="3"/>
  <c r="AW25" i="3" s="1"/>
  <c r="AU8" i="3"/>
  <c r="AW8" i="3" s="1"/>
  <c r="AU21" i="3"/>
  <c r="AW21" i="3" s="1"/>
  <c r="AU9" i="3"/>
  <c r="AW9" i="3" s="1"/>
  <c r="AU27" i="3"/>
  <c r="AW27" i="3" s="1"/>
  <c r="AU29" i="3"/>
  <c r="AW29" i="3" s="1"/>
  <c r="AU28" i="4"/>
  <c r="AW28" i="4" s="1"/>
  <c r="AU26" i="4"/>
  <c r="AW26" i="4" s="1"/>
  <c r="AU24" i="4"/>
  <c r="AW24" i="4" s="1"/>
  <c r="AU22" i="4"/>
  <c r="AW22" i="4" s="1"/>
  <c r="AU20" i="4"/>
  <c r="AW20" i="4" s="1"/>
  <c r="AU10" i="4"/>
  <c r="AW10" i="4" s="1"/>
  <c r="AU29" i="4"/>
  <c r="AW29" i="4" s="1"/>
  <c r="AU9" i="4"/>
  <c r="AW9" i="4" s="1"/>
  <c r="AU27" i="4"/>
  <c r="AW27" i="4" s="1"/>
  <c r="AU25" i="4"/>
  <c r="AW25" i="4" s="1"/>
  <c r="AU23" i="4"/>
  <c r="AW23" i="4" s="1"/>
  <c r="AU21" i="4"/>
  <c r="AW21" i="4" s="1"/>
  <c r="AU30" i="4"/>
  <c r="AW30" i="4" s="1"/>
  <c r="AU11" i="4"/>
  <c r="AW11" i="4" s="1"/>
  <c r="AU24" i="1"/>
  <c r="AW24" i="1" s="1"/>
  <c r="AU8" i="1"/>
  <c r="AW8" i="1" s="1"/>
  <c r="AU29" i="1"/>
  <c r="AW29" i="1" s="1"/>
  <c r="AU19" i="1"/>
  <c r="AW19" i="1" s="1"/>
  <c r="AU23" i="1"/>
  <c r="AW23" i="1" s="1"/>
  <c r="AU21" i="1"/>
  <c r="AW21" i="1" s="1"/>
  <c r="AU22" i="1"/>
  <c r="AW22" i="1" s="1"/>
  <c r="AU27" i="1"/>
  <c r="AW27" i="1" s="1"/>
  <c r="AU10" i="1"/>
  <c r="AW10" i="1" s="1"/>
  <c r="AU28" i="1"/>
  <c r="AW28" i="1" s="1"/>
  <c r="AU20" i="1"/>
  <c r="AW20" i="1" s="1"/>
  <c r="AU9" i="1"/>
  <c r="AW9" i="1" s="1"/>
  <c r="AU26" i="1"/>
  <c r="AW26" i="1" s="1"/>
  <c r="AU25" i="1"/>
  <c r="AW25" i="1" s="1"/>
  <c r="I16" i="1"/>
  <c r="AJ16" i="1" l="1"/>
  <c r="Q16" i="1"/>
  <c r="AK16" i="1"/>
  <c r="Z16" i="1"/>
  <c r="N16" i="1"/>
  <c r="U16" i="1"/>
  <c r="AC16" i="1"/>
  <c r="Y16" i="1"/>
  <c r="M16" i="1"/>
  <c r="AD16" i="1"/>
  <c r="V16" i="1"/>
  <c r="AE16" i="1"/>
  <c r="S16" i="1"/>
  <c r="O16" i="1"/>
  <c r="K16" i="1"/>
  <c r="AM16" i="1"/>
  <c r="J16" i="1"/>
  <c r="AL16" i="1"/>
  <c r="AA16" i="1"/>
  <c r="W16" i="1"/>
  <c r="X16" i="1"/>
  <c r="T16" i="1"/>
  <c r="P16" i="1"/>
  <c r="L16" i="1"/>
  <c r="AF16" i="1"/>
  <c r="AB16" i="1"/>
  <c r="AN16" i="1" l="1"/>
  <c r="AO16" i="1" s="1"/>
  <c r="AN35" i="1" l="1"/>
  <c r="AO35" i="1" s="1"/>
  <c r="AN38" i="1"/>
  <c r="AO38" i="1" s="1"/>
  <c r="AO33" i="1"/>
  <c r="AO39" i="1" s="1"/>
  <c r="I16" i="3" l="1"/>
  <c r="X16" i="3" l="1"/>
  <c r="K16" i="3"/>
  <c r="O16" i="3"/>
  <c r="AA16" i="3"/>
  <c r="Z16" i="3"/>
  <c r="W16" i="3"/>
  <c r="AL16" i="3"/>
  <c r="U16" i="3"/>
  <c r="P16" i="3"/>
  <c r="AF16" i="3"/>
  <c r="AD16" i="3"/>
  <c r="AK16" i="3"/>
  <c r="AE16" i="3"/>
  <c r="AJ16" i="3"/>
  <c r="AC16" i="3"/>
  <c r="Y16" i="3"/>
  <c r="J16" i="3"/>
  <c r="Q16" i="3"/>
  <c r="AM16" i="3"/>
  <c r="L16" i="3"/>
  <c r="S16" i="3"/>
  <c r="N16" i="3"/>
  <c r="M16" i="3"/>
  <c r="V16" i="3"/>
  <c r="T16" i="3"/>
  <c r="AB16" i="3"/>
  <c r="AN16" i="3" l="1"/>
  <c r="AO16" i="3" s="1"/>
  <c r="AO14" i="3"/>
  <c r="AN40" i="3" l="1"/>
  <c r="AN37" i="3" l="1"/>
  <c r="AO37" i="3" s="1"/>
  <c r="AO40" i="3"/>
  <c r="AO35" i="3"/>
  <c r="AO41" i="3" s="1"/>
  <c r="N17" i="4" l="1"/>
  <c r="Y17" i="4"/>
  <c r="AM17" i="4"/>
  <c r="W17" i="4"/>
  <c r="Z17" i="4"/>
  <c r="V17" i="4"/>
  <c r="P17" i="4"/>
  <c r="L17" i="4"/>
  <c r="Q17" i="4"/>
  <c r="AE17" i="4"/>
  <c r="AC17" i="4"/>
  <c r="M17" i="4"/>
  <c r="X17" i="4"/>
  <c r="AA17" i="4"/>
  <c r="AF17" i="4"/>
  <c r="AD17" i="4"/>
  <c r="AJ17" i="4"/>
  <c r="S17" i="4"/>
  <c r="AB17" i="4"/>
  <c r="J17" i="4"/>
  <c r="U17" i="4"/>
  <c r="AK17" i="4"/>
  <c r="T17" i="4"/>
  <c r="AL17" i="4"/>
  <c r="K17" i="4"/>
  <c r="O17" i="4"/>
  <c r="AN17" i="4" l="1"/>
  <c r="AO42" i="4"/>
</calcChain>
</file>

<file path=xl/sharedStrings.xml><?xml version="1.0" encoding="utf-8"?>
<sst xmlns="http://schemas.openxmlformats.org/spreadsheetml/2006/main" count="772" uniqueCount="182">
  <si>
    <t>SH</t>
    <phoneticPr fontId="1" type="noConversion"/>
  </si>
  <si>
    <t>Pacific Extend Properties Management Limited</t>
    <phoneticPr fontId="2" type="noConversion"/>
  </si>
  <si>
    <t>(C - 352108)</t>
  </si>
  <si>
    <t>RD</t>
    <phoneticPr fontId="2" type="noConversion"/>
  </si>
  <si>
    <t>NP</t>
    <phoneticPr fontId="2" type="noConversion"/>
  </si>
  <si>
    <t>SL</t>
    <phoneticPr fontId="2" type="noConversion"/>
  </si>
  <si>
    <t>AL</t>
    <phoneticPr fontId="2" type="noConversion"/>
  </si>
  <si>
    <t>OT</t>
    <phoneticPr fontId="2" type="noConversion"/>
  </si>
  <si>
    <t>NP</t>
    <phoneticPr fontId="4" type="noConversion"/>
  </si>
  <si>
    <t>AL</t>
    <phoneticPr fontId="4" type="noConversion"/>
  </si>
  <si>
    <t>NC</t>
    <phoneticPr fontId="4" type="noConversion"/>
  </si>
  <si>
    <t>已放年假</t>
    <phoneticPr fontId="1" type="noConversion"/>
  </si>
  <si>
    <t>Rank</t>
    <phoneticPr fontId="1" type="noConversion"/>
  </si>
  <si>
    <t>法定假期</t>
    <phoneticPr fontId="2" type="noConversion"/>
  </si>
  <si>
    <t>例假</t>
    <phoneticPr fontId="2" type="noConversion"/>
  </si>
  <si>
    <t>無薪假</t>
    <phoneticPr fontId="2" type="noConversion"/>
  </si>
  <si>
    <t>病假</t>
    <phoneticPr fontId="2" type="noConversion"/>
  </si>
  <si>
    <t>年假</t>
    <phoneticPr fontId="2" type="noConversion"/>
  </si>
  <si>
    <t>享有</t>
    <phoneticPr fontId="2" type="noConversion"/>
  </si>
  <si>
    <t>已放</t>
  </si>
  <si>
    <t>M01</t>
    <phoneticPr fontId="2" type="noConversion"/>
  </si>
  <si>
    <t>GS</t>
    <phoneticPr fontId="2" type="noConversion"/>
  </si>
  <si>
    <t>SECU_SUPR</t>
  </si>
  <si>
    <t>M02</t>
    <phoneticPr fontId="2" type="noConversion"/>
  </si>
  <si>
    <t>M06</t>
  </si>
  <si>
    <t>SG/G</t>
  </si>
  <si>
    <t>SECU_G(D)</t>
  </si>
  <si>
    <t>M07</t>
  </si>
  <si>
    <t>M03</t>
  </si>
  <si>
    <t>M05</t>
  </si>
  <si>
    <t xml:space="preserve"> </t>
    <phoneticPr fontId="1" type="noConversion"/>
  </si>
  <si>
    <t>M08</t>
  </si>
  <si>
    <t>M09</t>
  </si>
  <si>
    <t>M10</t>
  </si>
  <si>
    <t>M11</t>
  </si>
  <si>
    <t>M12</t>
  </si>
  <si>
    <t>M13</t>
  </si>
  <si>
    <t>M14</t>
  </si>
  <si>
    <t>SG</t>
    <phoneticPr fontId="2" type="noConversion"/>
  </si>
  <si>
    <t>G</t>
    <phoneticPr fontId="2" type="noConversion"/>
  </si>
  <si>
    <t xml:space="preserve"> GS=Guard Supervisor     SG=Special Guard      G=Security Guard</t>
    <phoneticPr fontId="2" type="noConversion"/>
  </si>
  <si>
    <t>RD</t>
  </si>
  <si>
    <t>NC</t>
    <phoneticPr fontId="1" type="noConversion"/>
  </si>
  <si>
    <t>D01</t>
    <phoneticPr fontId="1" type="noConversion"/>
  </si>
  <si>
    <t>D02</t>
    <phoneticPr fontId="1" type="noConversion"/>
  </si>
  <si>
    <t>SECU_G(M)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</si>
  <si>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</si>
  <si>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</si>
  <si>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</si>
  <si>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</si>
  <si>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</si>
  <si>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</si>
  <si>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</si>
  <si>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</si>
  <si>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</si>
  <si>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</si>
  <si>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</si>
  <si>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 xml:space="preserve">  </t>
    <phoneticPr fontId="1" type="noConversion"/>
  </si>
  <si>
    <t>N01</t>
    <phoneticPr fontId="1" type="noConversion"/>
  </si>
  <si>
    <t>N02</t>
    <phoneticPr fontId="1" type="noConversion"/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</si>
  <si>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</si>
  <si>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</si>
  <si>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</si>
  <si>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</si>
  <si>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</si>
  <si>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</si>
  <si>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</si>
  <si>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</si>
  <si>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</si>
  <si>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</si>
  <si>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</si>
  <si>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M04</t>
    <phoneticPr fontId="1" type="noConversion"/>
  </si>
  <si>
    <t>GS</t>
    <phoneticPr fontId="1" type="noConversion"/>
  </si>
  <si>
    <t>SG</t>
    <phoneticPr fontId="1" type="noConversion"/>
  </si>
  <si>
    <r>
      <rPr>
        <b/>
        <sz val="16"/>
        <rFont val="Microsoft JhengHei UI"/>
        <family val="2"/>
        <charset val="136"/>
      </rPr>
      <t>泓</t>
    </r>
    <r>
      <rPr>
        <b/>
        <sz val="16"/>
        <rFont val="Calibri"/>
        <family val="2"/>
      </rPr>
      <t xml:space="preserve"> </t>
    </r>
    <r>
      <rPr>
        <b/>
        <sz val="16"/>
        <rFont val="Microsoft JhengHei UI"/>
        <family val="2"/>
        <charset val="136"/>
      </rPr>
      <t>建</t>
    </r>
    <r>
      <rPr>
        <b/>
        <sz val="16"/>
        <rFont val="Calibri"/>
        <family val="2"/>
      </rPr>
      <t xml:space="preserve"> </t>
    </r>
    <r>
      <rPr>
        <b/>
        <sz val="16"/>
        <rFont val="Microsoft JhengHei UI"/>
        <family val="2"/>
        <charset val="136"/>
      </rPr>
      <t>物</t>
    </r>
    <r>
      <rPr>
        <b/>
        <sz val="16"/>
        <rFont val="Calibri"/>
        <family val="2"/>
      </rPr>
      <t xml:space="preserve"> </t>
    </r>
    <r>
      <rPr>
        <b/>
        <sz val="16"/>
        <rFont val="Microsoft JhengHei UI"/>
        <family val="2"/>
        <charset val="136"/>
      </rPr>
      <t>業</t>
    </r>
    <r>
      <rPr>
        <b/>
        <sz val="16"/>
        <rFont val="Calibri"/>
        <family val="2"/>
      </rPr>
      <t xml:space="preserve"> </t>
    </r>
    <r>
      <rPr>
        <b/>
        <sz val="16"/>
        <rFont val="Microsoft JhengHei UI"/>
        <family val="2"/>
        <charset val="136"/>
      </rPr>
      <t>管</t>
    </r>
    <r>
      <rPr>
        <b/>
        <sz val="16"/>
        <rFont val="Calibri"/>
        <family val="2"/>
      </rPr>
      <t xml:space="preserve"> </t>
    </r>
    <r>
      <rPr>
        <b/>
        <sz val="16"/>
        <rFont val="Microsoft JhengHei UI"/>
        <family val="2"/>
        <charset val="136"/>
      </rPr>
      <t>理</t>
    </r>
    <r>
      <rPr>
        <b/>
        <sz val="16"/>
        <rFont val="Calibri"/>
        <family val="2"/>
      </rPr>
      <t xml:space="preserve"> </t>
    </r>
    <r>
      <rPr>
        <b/>
        <sz val="16"/>
        <rFont val="Microsoft JhengHei UI"/>
        <family val="2"/>
        <charset val="136"/>
      </rPr>
      <t>有</t>
    </r>
    <r>
      <rPr>
        <b/>
        <sz val="16"/>
        <rFont val="Calibri"/>
        <family val="2"/>
      </rPr>
      <t xml:space="preserve"> </t>
    </r>
    <r>
      <rPr>
        <b/>
        <sz val="16"/>
        <rFont val="Microsoft JhengHei UI"/>
        <family val="2"/>
        <charset val="136"/>
      </rPr>
      <t>限</t>
    </r>
    <r>
      <rPr>
        <b/>
        <sz val="16"/>
        <rFont val="Calibri"/>
        <family val="2"/>
      </rPr>
      <t xml:space="preserve"> </t>
    </r>
    <r>
      <rPr>
        <b/>
        <sz val="16"/>
        <rFont val="Microsoft JhengHei UI"/>
        <family val="2"/>
        <charset val="136"/>
      </rPr>
      <t>公</t>
    </r>
    <r>
      <rPr>
        <b/>
        <sz val="16"/>
        <rFont val="Calibri"/>
        <family val="2"/>
      </rPr>
      <t xml:space="preserve"> </t>
    </r>
    <r>
      <rPr>
        <b/>
        <sz val="16"/>
        <rFont val="Microsoft JhengHei UI"/>
        <family val="2"/>
        <charset val="136"/>
      </rPr>
      <t>司</t>
    </r>
    <phoneticPr fontId="2" type="noConversion"/>
  </si>
  <si>
    <r>
      <t xml:space="preserve">1. </t>
    </r>
    <r>
      <rPr>
        <sz val="16"/>
        <color theme="1"/>
        <rFont val="Microsoft JhengHei UI"/>
        <family val="2"/>
        <charset val="136"/>
      </rPr>
      <t>保安主管出勤時數</t>
    </r>
    <phoneticPr fontId="2" type="noConversion"/>
  </si>
  <si>
    <t>NSH</t>
  </si>
  <si>
    <t>GS</t>
  </si>
  <si>
    <t>工作時數</t>
  </si>
  <si>
    <t>SECU_G(N)</t>
    <phoneticPr fontId="2" type="noConversion"/>
  </si>
  <si>
    <t>SH / NSH</t>
    <phoneticPr fontId="1" type="noConversion"/>
  </si>
  <si>
    <t>NP</t>
  </si>
  <si>
    <t xml:space="preserve">RD </t>
  </si>
  <si>
    <t>蕭榮新</t>
    <phoneticPr fontId="1" type="noConversion"/>
  </si>
  <si>
    <t>陳志明</t>
  </si>
  <si>
    <t>NSH/SH</t>
    <phoneticPr fontId="1" type="noConversion"/>
  </si>
  <si>
    <r>
      <rPr>
        <sz val="15"/>
        <rFont val="Microsoft JhengHei UI"/>
        <family val="2"/>
        <charset val="136"/>
      </rPr>
      <t>法定假期</t>
    </r>
    <phoneticPr fontId="2" type="noConversion"/>
  </si>
  <si>
    <r>
      <rPr>
        <sz val="15"/>
        <rFont val="Microsoft JhengHei UI"/>
        <family val="2"/>
        <charset val="136"/>
      </rPr>
      <t>例假</t>
    </r>
    <phoneticPr fontId="2" type="noConversion"/>
  </si>
  <si>
    <r>
      <rPr>
        <sz val="15"/>
        <rFont val="Microsoft JhengHei UI"/>
        <family val="2"/>
        <charset val="136"/>
      </rPr>
      <t>無薪假</t>
    </r>
    <phoneticPr fontId="2" type="noConversion"/>
  </si>
  <si>
    <r>
      <rPr>
        <sz val="15"/>
        <rFont val="Microsoft JhengHei UI"/>
        <family val="2"/>
        <charset val="136"/>
      </rPr>
      <t>病假</t>
    </r>
    <phoneticPr fontId="2" type="noConversion"/>
  </si>
  <si>
    <r>
      <rPr>
        <sz val="15"/>
        <rFont val="Microsoft JhengHei UI"/>
        <family val="2"/>
        <charset val="136"/>
      </rPr>
      <t>年假</t>
    </r>
    <phoneticPr fontId="2" type="noConversion"/>
  </si>
  <si>
    <t>H</t>
    <phoneticPr fontId="1" type="noConversion"/>
  </si>
  <si>
    <t>東匯邨</t>
    <phoneticPr fontId="1" type="noConversion"/>
  </si>
  <si>
    <r>
      <t xml:space="preserve">1. </t>
    </r>
    <r>
      <rPr>
        <sz val="14"/>
        <color theme="1"/>
        <rFont val="Microsoft JhengHei UI"/>
        <family val="2"/>
        <charset val="136"/>
      </rPr>
      <t>保安主管出勤時數</t>
    </r>
    <phoneticPr fontId="2" type="noConversion"/>
  </si>
  <si>
    <r>
      <rPr>
        <sz val="14"/>
        <rFont val="Microsoft JhengHei UI"/>
        <family val="2"/>
        <charset val="136"/>
      </rPr>
      <t>工作總
日數</t>
    </r>
    <phoneticPr fontId="2" type="noConversion"/>
  </si>
  <si>
    <r>
      <rPr>
        <sz val="14"/>
        <rFont val="Microsoft JhengHei UI"/>
        <family val="2"/>
        <charset val="136"/>
      </rPr>
      <t>排位</t>
    </r>
    <phoneticPr fontId="1" type="noConversion"/>
  </si>
  <si>
    <r>
      <rPr>
        <sz val="14"/>
        <rFont val="Microsoft JhengHei UI"/>
        <family val="2"/>
        <charset val="136"/>
      </rPr>
      <t>員工編號</t>
    </r>
    <phoneticPr fontId="1" type="noConversion"/>
  </si>
  <si>
    <r>
      <rPr>
        <sz val="14"/>
        <rFont val="Microsoft JhengHei UI"/>
        <family val="2"/>
        <charset val="136"/>
      </rPr>
      <t>姓名</t>
    </r>
    <phoneticPr fontId="1" type="noConversion"/>
  </si>
  <si>
    <r>
      <rPr>
        <sz val="14"/>
        <rFont val="Microsoft JhengHei UI"/>
        <family val="2"/>
        <charset val="136"/>
      </rPr>
      <t>職銜</t>
    </r>
    <phoneticPr fontId="1" type="noConversion"/>
  </si>
  <si>
    <r>
      <rPr>
        <sz val="14"/>
        <rFont val="Microsoft JhengHei UI"/>
        <family val="2"/>
        <charset val="136"/>
      </rPr>
      <t>工作時數</t>
    </r>
    <phoneticPr fontId="1" type="noConversion"/>
  </si>
  <si>
    <r>
      <rPr>
        <sz val="14"/>
        <rFont val="Microsoft JhengHei UI"/>
        <family val="2"/>
        <charset val="136"/>
      </rPr>
      <t>更份</t>
    </r>
    <phoneticPr fontId="1" type="noConversion"/>
  </si>
  <si>
    <r>
      <rPr>
        <sz val="14"/>
        <color theme="1"/>
        <rFont val="Microsoft JhengHei UI"/>
        <family val="2"/>
        <charset val="136"/>
      </rPr>
      <t>葉榮駿</t>
    </r>
    <phoneticPr fontId="1" type="noConversion"/>
  </si>
  <si>
    <r>
      <rPr>
        <sz val="14"/>
        <rFont val="微軟正黑體"/>
        <family val="2"/>
        <charset val="136"/>
      </rPr>
      <t>早</t>
    </r>
    <phoneticPr fontId="1" type="noConversion"/>
  </si>
  <si>
    <r>
      <rPr>
        <sz val="14"/>
        <color theme="1"/>
        <rFont val="Microsoft YaHei"/>
        <family val="2"/>
        <charset val="134"/>
      </rPr>
      <t>鄧</t>
    </r>
    <r>
      <rPr>
        <sz val="14"/>
        <color theme="1"/>
        <rFont val="Microsoft JhengHei UI"/>
        <family val="2"/>
        <charset val="136"/>
      </rPr>
      <t>華媚</t>
    </r>
    <phoneticPr fontId="1" type="noConversion"/>
  </si>
  <si>
    <r>
      <rPr>
        <sz val="14"/>
        <rFont val="細明體"/>
        <family val="3"/>
        <charset val="136"/>
      </rPr>
      <t>成小紅</t>
    </r>
  </si>
  <si>
    <r>
      <rPr>
        <sz val="14"/>
        <rFont val="Microsoft JhengHei UI"/>
        <family val="2"/>
        <charset val="136"/>
      </rPr>
      <t>總日數</t>
    </r>
  </si>
  <si>
    <r>
      <rPr>
        <sz val="14"/>
        <rFont val="Microsoft JhengHei UI"/>
        <family val="2"/>
        <charset val="136"/>
      </rPr>
      <t>總時數</t>
    </r>
  </si>
  <si>
    <r>
      <rPr>
        <sz val="14"/>
        <rFont val="Microsoft JhengHei UI"/>
        <family val="2"/>
        <charset val="136"/>
      </rPr>
      <t>保安主任每日工作</t>
    </r>
    <r>
      <rPr>
        <sz val="14"/>
        <rFont val="Calibri"/>
        <family val="2"/>
      </rPr>
      <t>(</t>
    </r>
    <r>
      <rPr>
        <sz val="14"/>
        <rFont val="Microsoft JhengHei UI"/>
        <family val="2"/>
        <charset val="136"/>
      </rPr>
      <t>實際</t>
    </r>
    <r>
      <rPr>
        <sz val="14"/>
        <rFont val="Calibri"/>
        <family val="2"/>
      </rPr>
      <t>)</t>
    </r>
    <r>
      <rPr>
        <sz val="14"/>
        <rFont val="Microsoft JhengHei UI"/>
        <family val="2"/>
        <charset val="136"/>
      </rPr>
      <t>總人數</t>
    </r>
    <phoneticPr fontId="2" type="noConversion"/>
  </si>
  <si>
    <r>
      <rPr>
        <sz val="14"/>
        <rFont val="Microsoft JhengHei UI"/>
        <family val="2"/>
        <charset val="136"/>
      </rPr>
      <t>保安主任每日工作</t>
    </r>
    <r>
      <rPr>
        <sz val="14"/>
        <rFont val="Calibri"/>
        <family val="2"/>
      </rPr>
      <t>(</t>
    </r>
    <r>
      <rPr>
        <sz val="14"/>
        <rFont val="Microsoft JhengHei UI"/>
        <family val="2"/>
        <charset val="136"/>
      </rPr>
      <t>要求</t>
    </r>
    <r>
      <rPr>
        <sz val="14"/>
        <rFont val="Calibri"/>
        <family val="2"/>
      </rPr>
      <t>)</t>
    </r>
    <r>
      <rPr>
        <sz val="14"/>
        <rFont val="Microsoft JhengHei UI"/>
        <family val="2"/>
        <charset val="136"/>
      </rPr>
      <t>總人數</t>
    </r>
    <phoneticPr fontId="2" type="noConversion"/>
  </si>
  <si>
    <r>
      <rPr>
        <b/>
        <sz val="14"/>
        <rFont val="Microsoft JhengHei UI"/>
        <family val="2"/>
        <charset val="136"/>
      </rPr>
      <t>保安主任每日工作</t>
    </r>
    <r>
      <rPr>
        <b/>
        <sz val="14"/>
        <rFont val="Calibri"/>
        <family val="2"/>
      </rPr>
      <t>(</t>
    </r>
    <r>
      <rPr>
        <b/>
        <sz val="14"/>
        <rFont val="Microsoft JhengHei UI"/>
        <family val="2"/>
        <charset val="136"/>
      </rPr>
      <t>缺勤</t>
    </r>
    <r>
      <rPr>
        <b/>
        <sz val="14"/>
        <rFont val="Calibri"/>
        <family val="2"/>
      </rPr>
      <t>)</t>
    </r>
    <r>
      <rPr>
        <b/>
        <sz val="14"/>
        <rFont val="Microsoft JhengHei UI"/>
        <family val="2"/>
        <charset val="136"/>
      </rPr>
      <t>總人數</t>
    </r>
    <phoneticPr fontId="2" type="noConversion"/>
  </si>
  <si>
    <r>
      <t xml:space="preserve">2. </t>
    </r>
    <r>
      <rPr>
        <sz val="14"/>
        <color theme="1"/>
        <rFont val="Microsoft JhengHei UI"/>
        <family val="2"/>
        <charset val="136"/>
      </rPr>
      <t>特別保安員</t>
    </r>
    <r>
      <rPr>
        <sz val="14"/>
        <color theme="1"/>
        <rFont val="Calibri"/>
        <family val="2"/>
      </rPr>
      <t>/</t>
    </r>
    <r>
      <rPr>
        <sz val="14"/>
        <color theme="1"/>
        <rFont val="Microsoft JhengHei UI"/>
        <family val="2"/>
        <charset val="136"/>
      </rPr>
      <t>普通保安員出勤時數</t>
    </r>
    <phoneticPr fontId="2" type="noConversion"/>
  </si>
  <si>
    <r>
      <rPr>
        <sz val="14"/>
        <rFont val="Microsoft JhengHei UI"/>
        <family val="2"/>
        <charset val="136"/>
      </rPr>
      <t>早</t>
    </r>
    <phoneticPr fontId="1" type="noConversion"/>
  </si>
  <si>
    <r>
      <rPr>
        <sz val="14"/>
        <rFont val="Microsoft JhengHei UI"/>
        <family val="2"/>
        <charset val="136"/>
      </rPr>
      <t>熊少珍</t>
    </r>
    <phoneticPr fontId="1" type="noConversion"/>
  </si>
  <si>
    <r>
      <rPr>
        <sz val="14"/>
        <rFont val="Microsoft JhengHei UI"/>
        <family val="2"/>
        <charset val="136"/>
      </rPr>
      <t>陳潔貞</t>
    </r>
    <phoneticPr fontId="1" type="noConversion"/>
  </si>
  <si>
    <r>
      <rPr>
        <sz val="14"/>
        <rFont val="Microsoft JhengHei UI"/>
        <family val="2"/>
        <charset val="136"/>
      </rPr>
      <t>楊詠愉</t>
    </r>
    <phoneticPr fontId="1" type="noConversion"/>
  </si>
  <si>
    <r>
      <rPr>
        <sz val="14"/>
        <rFont val="Microsoft JhengHei UI"/>
        <family val="2"/>
        <charset val="136"/>
      </rPr>
      <t>叶武君</t>
    </r>
    <phoneticPr fontId="1" type="noConversion"/>
  </si>
  <si>
    <r>
      <rPr>
        <sz val="14"/>
        <rFont val="Microsoft JhengHei UI"/>
        <family val="2"/>
        <charset val="136"/>
      </rPr>
      <t>李文輝</t>
    </r>
    <phoneticPr fontId="1" type="noConversion"/>
  </si>
  <si>
    <r>
      <rPr>
        <sz val="14"/>
        <rFont val="細明體"/>
        <family val="3"/>
        <charset val="136"/>
      </rPr>
      <t>宋世傳</t>
    </r>
  </si>
  <si>
    <r>
      <rPr>
        <sz val="14"/>
        <rFont val="Microsoft JhengHei UI"/>
        <family val="2"/>
        <charset val="136"/>
      </rPr>
      <t>陳冰心</t>
    </r>
    <phoneticPr fontId="1" type="noConversion"/>
  </si>
  <si>
    <r>
      <rPr>
        <sz val="14"/>
        <rFont val="Microsoft JhengHei UI"/>
        <family val="2"/>
        <charset val="136"/>
      </rPr>
      <t>陳榮蓮</t>
    </r>
    <phoneticPr fontId="1" type="noConversion"/>
  </si>
  <si>
    <r>
      <rPr>
        <sz val="14"/>
        <rFont val="Microsoft JhengHei UI"/>
        <family val="2"/>
        <charset val="136"/>
      </rPr>
      <t>劉國崇</t>
    </r>
    <phoneticPr fontId="1" type="noConversion"/>
  </si>
  <si>
    <r>
      <rPr>
        <sz val="14"/>
        <rFont val="Microsoft JhengHei UI"/>
        <family val="2"/>
        <charset val="136"/>
      </rPr>
      <t>施少婷</t>
    </r>
    <phoneticPr fontId="1" type="noConversion"/>
  </si>
  <si>
    <r>
      <rPr>
        <sz val="14"/>
        <rFont val="Microsoft JhengHei UI"/>
        <family val="2"/>
        <charset val="136"/>
      </rPr>
      <t>項朝華</t>
    </r>
    <phoneticPr fontId="1" type="noConversion"/>
  </si>
  <si>
    <r>
      <rPr>
        <sz val="14"/>
        <rFont val="Microsoft JhengHei UI"/>
        <family val="2"/>
        <charset val="136"/>
      </rPr>
      <t>合約要求每日人數</t>
    </r>
    <r>
      <rPr>
        <sz val="14"/>
        <rFont val="Calibri"/>
        <family val="2"/>
      </rPr>
      <t>: 9</t>
    </r>
    <phoneticPr fontId="2" type="noConversion"/>
  </si>
  <si>
    <r>
      <rPr>
        <sz val="14"/>
        <rFont val="Microsoft JhengHei UI"/>
        <family val="2"/>
        <charset val="136"/>
      </rPr>
      <t>每日出勤人數</t>
    </r>
    <r>
      <rPr>
        <sz val="14"/>
        <rFont val="Calibri"/>
        <family val="2"/>
      </rPr>
      <t xml:space="preserve">:  </t>
    </r>
    <phoneticPr fontId="2" type="noConversion"/>
  </si>
  <si>
    <r>
      <rPr>
        <sz val="14"/>
        <color theme="1"/>
        <rFont val="Microsoft JhengHei UI"/>
        <family val="2"/>
        <charset val="136"/>
      </rPr>
      <t>總日數</t>
    </r>
    <phoneticPr fontId="2" type="noConversion"/>
  </si>
  <si>
    <r>
      <rPr>
        <sz val="14"/>
        <color theme="1"/>
        <rFont val="Microsoft JhengHei UI"/>
        <family val="2"/>
        <charset val="136"/>
      </rPr>
      <t>總時數</t>
    </r>
    <phoneticPr fontId="2" type="noConversion"/>
  </si>
  <si>
    <r>
      <rPr>
        <sz val="14"/>
        <rFont val="Microsoft JhengHei UI"/>
        <family val="2"/>
        <charset val="136"/>
      </rPr>
      <t>特別保安員每日工作</t>
    </r>
    <r>
      <rPr>
        <sz val="14"/>
        <rFont val="Calibri"/>
        <family val="2"/>
      </rPr>
      <t>(</t>
    </r>
    <r>
      <rPr>
        <sz val="14"/>
        <rFont val="Microsoft JhengHei UI"/>
        <family val="2"/>
        <charset val="136"/>
      </rPr>
      <t>實際</t>
    </r>
    <r>
      <rPr>
        <sz val="14"/>
        <rFont val="Calibri"/>
        <family val="2"/>
      </rPr>
      <t>)</t>
    </r>
    <r>
      <rPr>
        <sz val="14"/>
        <rFont val="Microsoft JhengHei UI"/>
        <family val="2"/>
        <charset val="136"/>
      </rPr>
      <t>總人數</t>
    </r>
    <phoneticPr fontId="2" type="noConversion"/>
  </si>
  <si>
    <r>
      <rPr>
        <sz val="14"/>
        <rFont val="Microsoft JhengHei UI"/>
        <family val="2"/>
        <charset val="136"/>
      </rPr>
      <t>特別保安員每日工作</t>
    </r>
    <r>
      <rPr>
        <sz val="14"/>
        <rFont val="Calibri"/>
        <family val="2"/>
      </rPr>
      <t>(</t>
    </r>
    <r>
      <rPr>
        <sz val="14"/>
        <rFont val="Microsoft JhengHei UI"/>
        <family val="2"/>
        <charset val="136"/>
      </rPr>
      <t>要求</t>
    </r>
    <r>
      <rPr>
        <sz val="14"/>
        <rFont val="Calibri"/>
        <family val="2"/>
      </rPr>
      <t>)</t>
    </r>
    <r>
      <rPr>
        <sz val="14"/>
        <rFont val="Microsoft JhengHei UI"/>
        <family val="2"/>
        <charset val="136"/>
      </rPr>
      <t>總人數</t>
    </r>
    <phoneticPr fontId="2" type="noConversion"/>
  </si>
  <si>
    <r>
      <rPr>
        <b/>
        <sz val="14"/>
        <rFont val="Microsoft JhengHei UI"/>
        <family val="2"/>
        <charset val="136"/>
      </rPr>
      <t>特別保安員每日工作</t>
    </r>
    <r>
      <rPr>
        <b/>
        <sz val="14"/>
        <rFont val="Calibri"/>
        <family val="2"/>
      </rPr>
      <t>(</t>
    </r>
    <r>
      <rPr>
        <b/>
        <sz val="14"/>
        <rFont val="Microsoft JhengHei UI"/>
        <family val="2"/>
        <charset val="136"/>
      </rPr>
      <t>缺勤</t>
    </r>
    <r>
      <rPr>
        <b/>
        <sz val="14"/>
        <rFont val="Calibri"/>
        <family val="2"/>
      </rPr>
      <t>)</t>
    </r>
    <r>
      <rPr>
        <b/>
        <sz val="14"/>
        <rFont val="Microsoft JhengHei UI"/>
        <family val="2"/>
        <charset val="136"/>
      </rPr>
      <t>總人數</t>
    </r>
    <phoneticPr fontId="2" type="noConversion"/>
  </si>
  <si>
    <r>
      <rPr>
        <sz val="14"/>
        <rFont val="Microsoft JhengHei UI"/>
        <family val="2"/>
        <charset val="136"/>
      </rPr>
      <t>普通保安每日工作</t>
    </r>
    <r>
      <rPr>
        <sz val="14"/>
        <rFont val="Calibri"/>
        <family val="2"/>
      </rPr>
      <t>(</t>
    </r>
    <r>
      <rPr>
        <sz val="14"/>
        <rFont val="Microsoft JhengHei UI"/>
        <family val="2"/>
        <charset val="136"/>
      </rPr>
      <t>實際</t>
    </r>
    <r>
      <rPr>
        <sz val="14"/>
        <rFont val="Calibri"/>
        <family val="2"/>
      </rPr>
      <t>)</t>
    </r>
    <r>
      <rPr>
        <sz val="14"/>
        <rFont val="Microsoft JhengHei UI"/>
        <family val="2"/>
        <charset val="136"/>
      </rPr>
      <t>總人數</t>
    </r>
    <phoneticPr fontId="2" type="noConversion"/>
  </si>
  <si>
    <r>
      <rPr>
        <sz val="14"/>
        <rFont val="Microsoft JhengHei UI"/>
        <family val="2"/>
        <charset val="136"/>
      </rPr>
      <t>普通保安每日工作</t>
    </r>
    <r>
      <rPr>
        <sz val="14"/>
        <rFont val="Calibri"/>
        <family val="2"/>
      </rPr>
      <t>(</t>
    </r>
    <r>
      <rPr>
        <sz val="14"/>
        <rFont val="Microsoft JhengHei UI"/>
        <family val="2"/>
        <charset val="136"/>
      </rPr>
      <t>要求</t>
    </r>
    <r>
      <rPr>
        <sz val="14"/>
        <rFont val="Calibri"/>
        <family val="2"/>
      </rPr>
      <t>)</t>
    </r>
    <r>
      <rPr>
        <sz val="14"/>
        <rFont val="Microsoft JhengHei UI"/>
        <family val="2"/>
        <charset val="136"/>
      </rPr>
      <t>總人數</t>
    </r>
    <phoneticPr fontId="2" type="noConversion"/>
  </si>
  <si>
    <r>
      <rPr>
        <b/>
        <sz val="14"/>
        <rFont val="Microsoft JhengHei UI"/>
        <family val="2"/>
        <charset val="136"/>
      </rPr>
      <t>普通保安每日工作</t>
    </r>
    <r>
      <rPr>
        <b/>
        <sz val="14"/>
        <rFont val="Calibri"/>
        <family val="2"/>
      </rPr>
      <t>(</t>
    </r>
    <r>
      <rPr>
        <b/>
        <sz val="14"/>
        <rFont val="Microsoft JhengHei UI"/>
        <family val="2"/>
        <charset val="136"/>
      </rPr>
      <t>缺勤</t>
    </r>
    <r>
      <rPr>
        <b/>
        <sz val="14"/>
        <rFont val="Calibri"/>
        <family val="2"/>
      </rPr>
      <t>)</t>
    </r>
    <r>
      <rPr>
        <b/>
        <sz val="14"/>
        <rFont val="Microsoft JhengHei UI"/>
        <family val="2"/>
        <charset val="136"/>
      </rPr>
      <t>總人數</t>
    </r>
    <phoneticPr fontId="2" type="noConversion"/>
  </si>
  <si>
    <r>
      <rPr>
        <sz val="14"/>
        <rFont val="Microsoft JhengHei UI"/>
        <family val="2"/>
        <charset val="136"/>
      </rPr>
      <t>保安每日工作</t>
    </r>
    <r>
      <rPr>
        <sz val="14"/>
        <rFont val="Calibri"/>
        <family val="2"/>
      </rPr>
      <t>(</t>
    </r>
    <r>
      <rPr>
        <sz val="14"/>
        <rFont val="Microsoft JhengHei UI"/>
        <family val="2"/>
        <charset val="136"/>
      </rPr>
      <t>實際</t>
    </r>
    <r>
      <rPr>
        <sz val="14"/>
        <rFont val="Calibri"/>
        <family val="2"/>
      </rPr>
      <t>)</t>
    </r>
    <r>
      <rPr>
        <sz val="14"/>
        <rFont val="Microsoft JhengHei UI"/>
        <family val="2"/>
        <charset val="136"/>
      </rPr>
      <t>總人數</t>
    </r>
    <phoneticPr fontId="2" type="noConversion"/>
  </si>
  <si>
    <r>
      <rPr>
        <sz val="14"/>
        <rFont val="Microsoft JhengHei UI"/>
        <family val="2"/>
        <charset val="136"/>
      </rPr>
      <t>保安每日工作</t>
    </r>
    <r>
      <rPr>
        <sz val="14"/>
        <rFont val="Calibri"/>
        <family val="2"/>
      </rPr>
      <t>(</t>
    </r>
    <r>
      <rPr>
        <sz val="14"/>
        <rFont val="Microsoft JhengHei UI"/>
        <family val="2"/>
        <charset val="136"/>
      </rPr>
      <t>要求</t>
    </r>
    <r>
      <rPr>
        <sz val="14"/>
        <rFont val="Calibri"/>
        <family val="2"/>
      </rPr>
      <t>)</t>
    </r>
    <r>
      <rPr>
        <sz val="14"/>
        <rFont val="Microsoft JhengHei UI"/>
        <family val="2"/>
        <charset val="136"/>
      </rPr>
      <t>總人數</t>
    </r>
    <phoneticPr fontId="2" type="noConversion"/>
  </si>
  <si>
    <r>
      <rPr>
        <sz val="14"/>
        <rFont val="Microsoft JhengHei UI"/>
        <family val="2"/>
        <charset val="136"/>
      </rPr>
      <t>保安每日工作</t>
    </r>
    <r>
      <rPr>
        <sz val="14"/>
        <rFont val="Calibri"/>
        <family val="2"/>
      </rPr>
      <t>(</t>
    </r>
    <r>
      <rPr>
        <sz val="14"/>
        <rFont val="Microsoft JhengHei UI"/>
        <family val="2"/>
        <charset val="136"/>
      </rPr>
      <t>缺勤</t>
    </r>
    <r>
      <rPr>
        <sz val="14"/>
        <rFont val="Calibri"/>
        <family val="2"/>
      </rPr>
      <t>)</t>
    </r>
    <r>
      <rPr>
        <sz val="14"/>
        <rFont val="Microsoft JhengHei UI"/>
        <family val="2"/>
        <charset val="136"/>
      </rPr>
      <t>總人數</t>
    </r>
    <phoneticPr fontId="2" type="noConversion"/>
  </si>
  <si>
    <r>
      <rPr>
        <sz val="14"/>
        <rFont val="Microsoft JhengHei UI"/>
        <family val="2"/>
        <charset val="136"/>
      </rPr>
      <t>備註：</t>
    </r>
  </si>
  <si>
    <r>
      <rPr>
        <sz val="14"/>
        <rFont val="Microsoft JhengHei UI"/>
        <family val="2"/>
        <charset val="136"/>
      </rPr>
      <t>【</t>
    </r>
    <r>
      <rPr>
        <sz val="14"/>
        <rFont val="Calibri"/>
        <family val="2"/>
      </rPr>
      <t>AL=</t>
    </r>
    <r>
      <rPr>
        <sz val="14"/>
        <rFont val="Microsoft JhengHei UI"/>
        <family val="2"/>
        <charset val="136"/>
      </rPr>
      <t>年假】【</t>
    </r>
    <r>
      <rPr>
        <sz val="14"/>
        <rFont val="Calibri"/>
        <family val="2"/>
      </rPr>
      <t>NP=</t>
    </r>
    <r>
      <rPr>
        <sz val="14"/>
        <rFont val="Microsoft JhengHei UI"/>
        <family val="2"/>
        <charset val="136"/>
      </rPr>
      <t>無薪假】【</t>
    </r>
    <r>
      <rPr>
        <sz val="14"/>
        <rFont val="Calibri"/>
        <family val="2"/>
      </rPr>
      <t>PH=</t>
    </r>
    <r>
      <rPr>
        <sz val="14"/>
        <rFont val="Microsoft JhengHei UI"/>
        <family val="2"/>
        <charset val="136"/>
      </rPr>
      <t>公眾假期】【</t>
    </r>
    <r>
      <rPr>
        <sz val="14"/>
        <rFont val="Calibri"/>
        <family val="2"/>
      </rPr>
      <t>PL=</t>
    </r>
    <r>
      <rPr>
        <sz val="14"/>
        <rFont val="Microsoft JhengHei UI"/>
        <family val="2"/>
        <charset val="136"/>
      </rPr>
      <t>其他有薪假】【</t>
    </r>
    <r>
      <rPr>
        <sz val="14"/>
        <rFont val="Calibri"/>
        <family val="2"/>
      </rPr>
      <t>RD=</t>
    </r>
    <r>
      <rPr>
        <sz val="14"/>
        <rFont val="Microsoft JhengHei UI"/>
        <family val="2"/>
        <charset val="136"/>
      </rPr>
      <t>例假】【</t>
    </r>
    <r>
      <rPr>
        <sz val="14"/>
        <rFont val="Calibri"/>
        <family val="2"/>
      </rPr>
      <t>SH=</t>
    </r>
    <r>
      <rPr>
        <sz val="14"/>
        <rFont val="Microsoft JhengHei UI"/>
        <family val="2"/>
        <charset val="136"/>
      </rPr>
      <t>法定假期】【</t>
    </r>
    <r>
      <rPr>
        <sz val="14"/>
        <rFont val="Calibri"/>
        <family val="2"/>
      </rPr>
      <t>NSH=</t>
    </r>
    <r>
      <rPr>
        <sz val="14"/>
        <rFont val="微軟正黑體"/>
        <family val="2"/>
        <charset val="136"/>
      </rPr>
      <t>無薪法定假期】</t>
    </r>
    <r>
      <rPr>
        <sz val="14"/>
        <rFont val="Microsoft JhengHei UI"/>
        <family val="2"/>
        <charset val="136"/>
      </rPr>
      <t>【</t>
    </r>
    <r>
      <rPr>
        <sz val="14"/>
        <rFont val="Calibri"/>
        <family val="2"/>
      </rPr>
      <t>SL=</t>
    </r>
    <r>
      <rPr>
        <sz val="14"/>
        <rFont val="Microsoft JhengHei UI"/>
        <family val="2"/>
        <charset val="136"/>
      </rPr>
      <t>病假】【</t>
    </r>
    <r>
      <rPr>
        <sz val="14"/>
        <rFont val="Calibri"/>
        <family val="2"/>
      </rPr>
      <t>NC=</t>
    </r>
    <r>
      <rPr>
        <sz val="14"/>
        <rFont val="Microsoft JhengHei UI"/>
        <family val="2"/>
        <charset val="136"/>
      </rPr>
      <t>非合約期】</t>
    </r>
    <phoneticPr fontId="2" type="noConversion"/>
  </si>
  <si>
    <r>
      <rPr>
        <sz val="14"/>
        <color theme="1"/>
        <rFont val="Microsoft JhengHei UI"/>
        <family val="2"/>
        <charset val="136"/>
      </rPr>
      <t>工作總
日數</t>
    </r>
    <phoneticPr fontId="2" type="noConversion"/>
  </si>
  <si>
    <r>
      <rPr>
        <sz val="14"/>
        <color theme="1"/>
        <rFont val="Microsoft JhengHei UI"/>
        <family val="2"/>
        <charset val="136"/>
      </rPr>
      <t>工作總
時數</t>
    </r>
    <phoneticPr fontId="2" type="noConversion"/>
  </si>
  <si>
    <r>
      <rPr>
        <sz val="14"/>
        <color theme="1"/>
        <rFont val="Microsoft JhengHei UI"/>
        <family val="2"/>
        <charset val="136"/>
      </rPr>
      <t>排位</t>
    </r>
    <phoneticPr fontId="1" type="noConversion"/>
  </si>
  <si>
    <r>
      <rPr>
        <sz val="14"/>
        <color theme="1"/>
        <rFont val="Microsoft JhengHei UI"/>
        <family val="2"/>
        <charset val="136"/>
      </rPr>
      <t>員工編號</t>
    </r>
    <phoneticPr fontId="1" type="noConversion"/>
  </si>
  <si>
    <r>
      <rPr>
        <sz val="14"/>
        <color theme="1"/>
        <rFont val="Microsoft JhengHei UI"/>
        <family val="2"/>
        <charset val="136"/>
      </rPr>
      <t>姓名</t>
    </r>
    <phoneticPr fontId="1" type="noConversion"/>
  </si>
  <si>
    <r>
      <rPr>
        <sz val="14"/>
        <color theme="1"/>
        <rFont val="Microsoft JhengHei UI"/>
        <family val="2"/>
        <charset val="136"/>
      </rPr>
      <t>職銜</t>
    </r>
    <phoneticPr fontId="1" type="noConversion"/>
  </si>
  <si>
    <r>
      <rPr>
        <sz val="14"/>
        <color theme="1"/>
        <rFont val="Microsoft JhengHei UI"/>
        <family val="2"/>
        <charset val="136"/>
      </rPr>
      <t>李瑞青</t>
    </r>
    <phoneticPr fontId="1" type="noConversion"/>
  </si>
  <si>
    <r>
      <rPr>
        <sz val="14"/>
        <rFont val="細明體"/>
        <family val="2"/>
        <charset val="136"/>
      </rPr>
      <t>中</t>
    </r>
    <phoneticPr fontId="1" type="noConversion"/>
  </si>
  <si>
    <r>
      <rPr>
        <sz val="14"/>
        <color theme="1"/>
        <rFont val="Microsoft JhengHei UI"/>
        <family val="2"/>
        <charset val="134"/>
      </rPr>
      <t>麥藝峰</t>
    </r>
    <phoneticPr fontId="1" type="noConversion"/>
  </si>
  <si>
    <r>
      <rPr>
        <sz val="14"/>
        <color theme="1"/>
        <rFont val="Microsoft JhengHei UI"/>
        <family val="2"/>
        <charset val="136"/>
      </rPr>
      <t>袁葵興</t>
    </r>
    <phoneticPr fontId="1" type="noConversion"/>
  </si>
  <si>
    <r>
      <rPr>
        <sz val="14"/>
        <color theme="1"/>
        <rFont val="Microsoft JhengHei UI"/>
        <family val="2"/>
        <charset val="136"/>
      </rPr>
      <t>中</t>
    </r>
    <phoneticPr fontId="1" type="noConversion"/>
  </si>
  <si>
    <r>
      <rPr>
        <sz val="14"/>
        <color theme="1"/>
        <rFont val="Microsoft JhengHei UI"/>
        <family val="2"/>
        <charset val="136"/>
      </rPr>
      <t>陳青霞</t>
    </r>
    <phoneticPr fontId="1" type="noConversion"/>
  </si>
  <si>
    <r>
      <rPr>
        <sz val="14"/>
        <color theme="1"/>
        <rFont val="Microsoft JhengHei UI"/>
        <family val="2"/>
        <charset val="136"/>
      </rPr>
      <t>郭仕花</t>
    </r>
    <phoneticPr fontId="1" type="noConversion"/>
  </si>
  <si>
    <r>
      <rPr>
        <sz val="14"/>
        <color theme="1"/>
        <rFont val="Microsoft JhengHei UI"/>
        <family val="2"/>
        <charset val="136"/>
      </rPr>
      <t>陳小莉</t>
    </r>
    <phoneticPr fontId="1" type="noConversion"/>
  </si>
  <si>
    <r>
      <rPr>
        <sz val="14"/>
        <color theme="1"/>
        <rFont val="Microsoft JhengHei UI"/>
        <family val="2"/>
        <charset val="136"/>
      </rPr>
      <t>陳賽娟</t>
    </r>
    <phoneticPr fontId="1" type="noConversion"/>
  </si>
  <si>
    <r>
      <rPr>
        <sz val="14"/>
        <color theme="1"/>
        <rFont val="Microsoft JhengHei UI"/>
        <family val="2"/>
        <charset val="136"/>
      </rPr>
      <t>王育紅</t>
    </r>
    <phoneticPr fontId="1" type="noConversion"/>
  </si>
  <si>
    <r>
      <rPr>
        <sz val="14"/>
        <color theme="1"/>
        <rFont val="Microsoft JhengHei UI"/>
        <family val="2"/>
        <charset val="136"/>
      </rPr>
      <t>葉玨瑩</t>
    </r>
    <phoneticPr fontId="1" type="noConversion"/>
  </si>
  <si>
    <r>
      <rPr>
        <sz val="14"/>
        <color theme="1"/>
        <rFont val="Microsoft JhengHei UI"/>
        <family val="2"/>
        <charset val="136"/>
      </rPr>
      <t>何双清</t>
    </r>
    <phoneticPr fontId="1" type="noConversion"/>
  </si>
  <si>
    <r>
      <rPr>
        <sz val="14"/>
        <color theme="1"/>
        <rFont val="Microsoft JhengHei UI"/>
        <family val="2"/>
        <charset val="136"/>
      </rPr>
      <t>方其揚</t>
    </r>
    <phoneticPr fontId="1" type="noConversion"/>
  </si>
  <si>
    <r>
      <rPr>
        <sz val="14"/>
        <color theme="1"/>
        <rFont val="Microsoft JhengHei UI"/>
        <family val="2"/>
        <charset val="136"/>
      </rPr>
      <t>李明清</t>
    </r>
    <phoneticPr fontId="1" type="noConversion"/>
  </si>
  <si>
    <r>
      <rPr>
        <sz val="14"/>
        <color theme="1"/>
        <rFont val="Microsoft JhengHei UI"/>
        <family val="2"/>
        <charset val="136"/>
      </rPr>
      <t>工作總日數</t>
    </r>
    <phoneticPr fontId="2" type="noConversion"/>
  </si>
  <si>
    <r>
      <rPr>
        <sz val="14"/>
        <color theme="1"/>
        <rFont val="Microsoft JhengHei UI"/>
        <family val="2"/>
        <charset val="136"/>
      </rPr>
      <t>工作總時數</t>
    </r>
    <phoneticPr fontId="2" type="noConversion"/>
  </si>
  <si>
    <r>
      <rPr>
        <sz val="14"/>
        <color theme="1"/>
        <rFont val="Microsoft JhengHei UI"/>
        <family val="2"/>
        <charset val="136"/>
      </rPr>
      <t>工作時數</t>
    </r>
    <phoneticPr fontId="1" type="noConversion"/>
  </si>
  <si>
    <r>
      <rPr>
        <sz val="14"/>
        <color theme="1"/>
        <rFont val="Microsoft JhengHei UI"/>
        <family val="2"/>
        <charset val="136"/>
      </rPr>
      <t>更份</t>
    </r>
    <phoneticPr fontId="1" type="noConversion"/>
  </si>
  <si>
    <r>
      <rPr>
        <sz val="14"/>
        <color theme="1"/>
        <rFont val="Microsoft JhengHei UI"/>
        <family val="2"/>
        <charset val="136"/>
      </rPr>
      <t>胡士元</t>
    </r>
    <phoneticPr fontId="1" type="noConversion"/>
  </si>
  <si>
    <r>
      <rPr>
        <sz val="14"/>
        <color theme="1"/>
        <rFont val="Microsoft JhengHei UI"/>
        <family val="2"/>
        <charset val="136"/>
      </rPr>
      <t>黃嬋女</t>
    </r>
    <phoneticPr fontId="1" type="noConversion"/>
  </si>
  <si>
    <r>
      <rPr>
        <sz val="14"/>
        <color theme="1"/>
        <rFont val="Microsoft JhengHei UI"/>
        <family val="2"/>
        <charset val="136"/>
      </rPr>
      <t>崔偉</t>
    </r>
    <phoneticPr fontId="1" type="noConversion"/>
  </si>
  <si>
    <r>
      <rPr>
        <sz val="14"/>
        <color theme="1"/>
        <rFont val="Microsoft JhengHei UI"/>
        <family val="2"/>
        <charset val="136"/>
      </rPr>
      <t>梁玉玲</t>
    </r>
    <phoneticPr fontId="1" type="noConversion"/>
  </si>
  <si>
    <r>
      <rPr>
        <sz val="14"/>
        <color theme="1"/>
        <rFont val="Microsoft JhengHei UI"/>
        <family val="2"/>
        <charset val="136"/>
      </rPr>
      <t>鍾國明</t>
    </r>
    <phoneticPr fontId="1" type="noConversion"/>
  </si>
  <si>
    <r>
      <rPr>
        <sz val="14"/>
        <color theme="1"/>
        <rFont val="Microsoft JhengHei UI"/>
        <family val="2"/>
        <charset val="136"/>
      </rPr>
      <t>陳菊花</t>
    </r>
    <phoneticPr fontId="1" type="noConversion"/>
  </si>
  <si>
    <r>
      <rPr>
        <sz val="14"/>
        <color theme="1"/>
        <rFont val="Microsoft JhengHei UI"/>
        <family val="2"/>
        <charset val="136"/>
      </rPr>
      <t>彭建強</t>
    </r>
    <phoneticPr fontId="1" type="noConversion"/>
  </si>
  <si>
    <r>
      <rPr>
        <sz val="14"/>
        <color theme="1"/>
        <rFont val="Microsoft JhengHei UI"/>
        <family val="2"/>
        <charset val="136"/>
      </rPr>
      <t>李鳳英</t>
    </r>
    <phoneticPr fontId="1" type="noConversion"/>
  </si>
  <si>
    <r>
      <rPr>
        <sz val="14"/>
        <color theme="1"/>
        <rFont val="Microsoft JhengHei UI"/>
        <family val="2"/>
        <charset val="136"/>
      </rPr>
      <t>張宏琴</t>
    </r>
    <phoneticPr fontId="1" type="noConversion"/>
  </si>
  <si>
    <r>
      <rPr>
        <sz val="14"/>
        <color theme="1"/>
        <rFont val="Microsoft JhengHei UI"/>
        <family val="2"/>
        <charset val="136"/>
      </rPr>
      <t>陳觀意</t>
    </r>
    <phoneticPr fontId="1" type="noConversion"/>
  </si>
  <si>
    <r>
      <rPr>
        <sz val="14"/>
        <color theme="1"/>
        <rFont val="Microsoft JhengHei UI"/>
        <family val="2"/>
        <charset val="136"/>
      </rPr>
      <t>龐雪宏</t>
    </r>
    <phoneticPr fontId="1" type="noConversion"/>
  </si>
  <si>
    <r>
      <rPr>
        <sz val="14"/>
        <rFont val="細明體"/>
        <family val="2"/>
        <charset val="136"/>
      </rPr>
      <t>夜</t>
    </r>
    <phoneticPr fontId="1" type="noConversion"/>
  </si>
  <si>
    <r>
      <rPr>
        <sz val="14"/>
        <color theme="1"/>
        <rFont val="細明體"/>
        <family val="3"/>
        <charset val="136"/>
      </rPr>
      <t>陳秀荣</t>
    </r>
  </si>
  <si>
    <t>工作總
時數</t>
    <phoneticPr fontId="2" type="noConversion"/>
  </si>
  <si>
    <r>
      <rPr>
        <sz val="14"/>
        <rFont val="微軟正黑體"/>
        <family val="2"/>
        <charset val="136"/>
      </rPr>
      <t>保安每日工作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實際</t>
    </r>
    <r>
      <rPr>
        <sz val="14"/>
        <rFont val="Calibri"/>
        <family val="2"/>
      </rPr>
      <t>)</t>
    </r>
    <r>
      <rPr>
        <sz val="14"/>
        <rFont val="微軟正黑體"/>
        <family val="2"/>
        <charset val="136"/>
      </rPr>
      <t>總人數</t>
    </r>
    <phoneticPr fontId="1" type="noConversion"/>
  </si>
  <si>
    <r>
      <rPr>
        <sz val="14"/>
        <rFont val="Microsoft JhengHei UI"/>
        <family val="2"/>
        <charset val="136"/>
      </rPr>
      <t>合約要求每日人數</t>
    </r>
    <r>
      <rPr>
        <sz val="14"/>
        <rFont val="Calibri"/>
        <family val="2"/>
      </rPr>
      <t>:10</t>
    </r>
  </si>
  <si>
    <t>S</t>
    <phoneticPr fontId="1" type="noConversion"/>
  </si>
  <si>
    <r>
      <rPr>
        <sz val="14"/>
        <rFont val="Microsoft JhengHei UI"/>
        <family val="2"/>
        <charset val="136"/>
      </rPr>
      <t>【</t>
    </r>
    <r>
      <rPr>
        <sz val="14"/>
        <rFont val="Calibri"/>
        <family val="2"/>
      </rPr>
      <t>AL=</t>
    </r>
    <r>
      <rPr>
        <sz val="14"/>
        <rFont val="Microsoft JhengHei UI"/>
        <family val="2"/>
        <charset val="136"/>
      </rPr>
      <t>年假】【</t>
    </r>
    <r>
      <rPr>
        <sz val="14"/>
        <rFont val="Calibri"/>
        <family val="2"/>
      </rPr>
      <t>NP=</t>
    </r>
    <r>
      <rPr>
        <sz val="14"/>
        <rFont val="Microsoft JhengHei UI"/>
        <family val="2"/>
        <charset val="136"/>
      </rPr>
      <t>無薪假】【</t>
    </r>
    <r>
      <rPr>
        <sz val="14"/>
        <rFont val="Calibri"/>
        <family val="2"/>
      </rPr>
      <t>PH=</t>
    </r>
    <r>
      <rPr>
        <sz val="14"/>
        <rFont val="Microsoft JhengHei UI"/>
        <family val="2"/>
        <charset val="136"/>
      </rPr>
      <t>公眾假期】【</t>
    </r>
    <r>
      <rPr>
        <sz val="14"/>
        <rFont val="Calibri"/>
        <family val="2"/>
      </rPr>
      <t>PL=</t>
    </r>
    <r>
      <rPr>
        <sz val="14"/>
        <rFont val="Microsoft JhengHei UI"/>
        <family val="2"/>
        <charset val="136"/>
      </rPr>
      <t>其他有薪假】【</t>
    </r>
    <r>
      <rPr>
        <sz val="14"/>
        <rFont val="Calibri"/>
        <family val="2"/>
      </rPr>
      <t>RD=</t>
    </r>
    <r>
      <rPr>
        <sz val="14"/>
        <rFont val="Microsoft JhengHei UI"/>
        <family val="2"/>
        <charset val="136"/>
      </rPr>
      <t>例假】【</t>
    </r>
    <r>
      <rPr>
        <sz val="14"/>
        <rFont val="Calibri"/>
        <family val="2"/>
      </rPr>
      <t>SH=</t>
    </r>
    <r>
      <rPr>
        <sz val="14"/>
        <rFont val="Microsoft JhengHei UI"/>
        <family val="2"/>
        <charset val="136"/>
      </rPr>
      <t>法定假期】【</t>
    </r>
    <r>
      <rPr>
        <sz val="14"/>
        <rFont val="Calibri"/>
        <family val="2"/>
      </rPr>
      <t>NSH=</t>
    </r>
    <r>
      <rPr>
        <sz val="14"/>
        <rFont val="微軟正黑體"/>
        <family val="2"/>
        <charset val="136"/>
      </rPr>
      <t>無薪法定假期】</t>
    </r>
    <r>
      <rPr>
        <sz val="14"/>
        <rFont val="Microsoft JhengHei UI"/>
        <family val="2"/>
        <charset val="136"/>
      </rPr>
      <t>【</t>
    </r>
    <r>
      <rPr>
        <sz val="14"/>
        <rFont val="Calibri"/>
        <family val="2"/>
      </rPr>
      <t>SL=</t>
    </r>
    <r>
      <rPr>
        <sz val="14"/>
        <rFont val="Microsoft JhengHei UI"/>
        <family val="2"/>
        <charset val="136"/>
      </rPr>
      <t>病假】【</t>
    </r>
    <r>
      <rPr>
        <sz val="14"/>
        <rFont val="Calibri"/>
        <family val="2"/>
      </rPr>
      <t>NC=</t>
    </r>
    <r>
      <rPr>
        <sz val="14"/>
        <rFont val="Microsoft JhengHei UI"/>
        <family val="2"/>
        <charset val="136"/>
      </rPr>
      <t>非合約期】【</t>
    </r>
    <r>
      <rPr>
        <sz val="14"/>
        <rFont val="Calibri"/>
        <family val="2"/>
      </rPr>
      <t>S=Secondment</t>
    </r>
    <r>
      <rPr>
        <sz val="14"/>
        <rFont val="細明體"/>
        <family val="2"/>
        <charset val="136"/>
      </rPr>
      <t>借調/其他更份</t>
    </r>
    <r>
      <rPr>
        <sz val="14"/>
        <rFont val="微軟正黑體"/>
        <family val="2"/>
        <charset val="136"/>
      </rPr>
      <t>】</t>
    </r>
    <phoneticPr fontId="2" type="noConversion"/>
  </si>
  <si>
    <t>S</t>
  </si>
  <si>
    <t>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</si>
</sst>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"/>
    <numFmt numFmtId="177" formatCode="0_ ;[Red]\-0\ "/>
    <numFmt numFmtId="178" formatCode="0_);[Red]\(0\)"/>
  </numFmts>
  <fonts count="48">
    <font>
      <sz val="12"/>
      <color theme="1"/>
      <name val="等线"/>
      <family val="2"/>
      <charset val="136"/>
      <scheme val="minor"/>
    </font>
    <font>
      <sz val="9"/>
      <name val="等线"/>
      <family val="2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1"/>
      <color theme="1"/>
      <name val="等线"/>
      <family val="2"/>
      <charset val="136"/>
      <scheme val="minor"/>
    </font>
    <font>
      <i/>
      <sz val="12"/>
      <color rgb="FF7F7F7F"/>
      <name val="等线"/>
      <family val="2"/>
      <charset val="136"/>
      <scheme val="minor"/>
    </font>
    <font>
      <sz val="11"/>
      <name val="Microsoft JhengHei UI"/>
      <family val="2"/>
      <charset val="136"/>
    </font>
    <font>
      <sz val="16"/>
      <color theme="1"/>
      <name val="Microsoft JhengHei UI"/>
      <family val="2"/>
      <charset val="136"/>
    </font>
    <font>
      <sz val="12"/>
      <name val="Microsoft JhengHei UI"/>
      <family val="2"/>
      <charset val="136"/>
    </font>
    <font>
      <sz val="9"/>
      <name val="Microsoft JhengHei UI"/>
      <family val="2"/>
      <charset val="136"/>
    </font>
    <font>
      <sz val="10"/>
      <name val="Microsoft JhengHei UI"/>
      <family val="2"/>
      <charset val="136"/>
    </font>
    <font>
      <sz val="11"/>
      <color theme="1"/>
      <name val="Microsoft JhengHei UI"/>
      <family val="2"/>
      <charset val="136"/>
    </font>
    <font>
      <sz val="11"/>
      <name val="Microsoft YaHei"/>
      <family val="2"/>
      <charset val="134"/>
    </font>
    <font>
      <sz val="12"/>
      <name val="Calibri"/>
      <family val="2"/>
    </font>
    <font>
      <sz val="16"/>
      <name val="Calibri"/>
      <family val="2"/>
    </font>
    <font>
      <b/>
      <sz val="16"/>
      <name val="Calibri"/>
      <family val="2"/>
    </font>
    <font>
      <b/>
      <sz val="16"/>
      <name val="Microsoft JhengHei UI"/>
      <family val="2"/>
      <charset val="136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rgb="FFFF0000"/>
      <name val="Calibri"/>
      <family val="2"/>
    </font>
    <font>
      <sz val="16"/>
      <color indexed="8"/>
      <name val="Calibri"/>
      <family val="2"/>
    </font>
    <font>
      <b/>
      <sz val="16"/>
      <color theme="1"/>
      <name val="微軟正黑體"/>
      <family val="2"/>
      <charset val="136"/>
    </font>
    <font>
      <sz val="11"/>
      <color theme="1"/>
      <name val="Microsoft JhengHei UI"/>
      <family val="2"/>
      <charset val="136"/>
    </font>
    <font>
      <sz val="15"/>
      <name val="Calibri"/>
      <family val="2"/>
    </font>
    <font>
      <sz val="15"/>
      <name val="Microsoft JhengHei UI"/>
      <family val="2"/>
      <charset val="136"/>
    </font>
    <font>
      <sz val="14"/>
      <color theme="1"/>
      <name val="Calibri"/>
      <family val="2"/>
    </font>
    <font>
      <sz val="14"/>
      <color theme="1"/>
      <name val="Microsoft JhengHei UI"/>
      <family val="2"/>
      <charset val="136"/>
    </font>
    <font>
      <sz val="14"/>
      <name val="Calibri"/>
      <family val="2"/>
    </font>
    <font>
      <b/>
      <sz val="14"/>
      <color theme="1"/>
      <name val="Calibri"/>
      <family val="2"/>
    </font>
    <font>
      <sz val="14"/>
      <name val="Microsoft JhengHei UI"/>
      <family val="2"/>
      <charset val="136"/>
    </font>
    <font>
      <sz val="14"/>
      <name val="微軟正黑體"/>
      <family val="2"/>
      <charset val="136"/>
    </font>
    <font>
      <sz val="14"/>
      <color theme="1"/>
      <name val="Microsoft YaHei"/>
      <family val="2"/>
      <charset val="134"/>
    </font>
    <font>
      <sz val="14"/>
      <name val="細明體"/>
      <family val="3"/>
      <charset val="136"/>
    </font>
    <font>
      <b/>
      <sz val="14"/>
      <name val="Calibri"/>
      <family val="2"/>
    </font>
    <font>
      <b/>
      <sz val="14"/>
      <name val="Microsoft JhengHei UI"/>
      <family val="2"/>
      <charset val="136"/>
    </font>
    <font>
      <sz val="14"/>
      <name val="細明體"/>
      <family val="2"/>
      <charset val="136"/>
    </font>
    <font>
      <sz val="14"/>
      <color theme="1"/>
      <name val="Microsoft JhengHei UI"/>
      <family val="2"/>
      <charset val="134"/>
    </font>
    <font>
      <sz val="14"/>
      <color theme="1"/>
      <name val="細明體"/>
      <family val="3"/>
      <charset val="136"/>
    </font>
    <font>
      <sz val="14"/>
      <color rgb="FFFF0000"/>
      <name val="Calibri"/>
      <family val="2"/>
    </font>
    <font>
      <sz val="14"/>
      <name val="Calibri"/>
      <family val="2"/>
      <charset val="136"/>
    </font>
    <font>
      <sz val="11"/>
      <name val="Microsoft JhengHei UI"/>
      <family val="2"/>
      <charset val="136"/>
    </font>
    <font>
      <sz val="14"/>
      <name val="Calibri"/>
      <family val="2"/>
    </font>
    <font>
      <sz val="14"/>
      <color theme="1"/>
      <name val="Calibri"/>
      <family val="2"/>
    </font>
    <font>
      <sz val="12"/>
      <name val="Microsoft JhengHei UI"/>
      <family val="2"/>
      <charset val="136"/>
    </font>
    <font>
      <sz val="12"/>
      <name val="Calibri"/>
      <family val="2"/>
    </font>
    <font>
      <b/>
      <sz val="14"/>
      <name val="Calibri"/>
      <family val="2"/>
    </font>
    <font>
      <sz val="11"/>
      <color theme="1"/>
      <name val="Microsoft JhengHei UI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DF98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</borders>
  <cellStyleXfs count="6">
    <xf numFmtId="0" fontId="0" fillId="0" borderId="0">
      <alignment vertical="center"/>
    </xf>
    <xf numFmtId="0" fontId="3" fillId="0" borderId="0"/>
    <xf numFmtId="0" fontId="5" fillId="0" borderId="0"/>
    <xf numFmtId="0" fontId="6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</cellStyleXfs>
  <cellXfs count="459">
    <xf numFmtId="0" fontId="0" fillId="0" borderId="0" xfId="0">
      <alignment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/>
    </xf>
    <xf numFmtId="0" fontId="7" fillId="2" borderId="9" xfId="3" applyFont="1" applyFill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/>
    </xf>
    <xf numFmtId="0" fontId="7" fillId="2" borderId="16" xfId="3" applyFont="1" applyFill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3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/>
    </xf>
    <xf numFmtId="0" fontId="9" fillId="0" borderId="12" xfId="3" applyFont="1" applyBorder="1" applyAlignment="1">
      <alignment horizontal="center" vertical="center" shrinkToFit="1"/>
    </xf>
    <xf numFmtId="0" fontId="7" fillId="0" borderId="6" xfId="3" applyFont="1" applyBorder="1" applyAlignment="1">
      <alignment horizontal="center" vertical="center" shrinkToFit="1"/>
    </xf>
    <xf numFmtId="0" fontId="7" fillId="2" borderId="6" xfId="3" applyFont="1" applyFill="1" applyBorder="1" applyAlignment="1">
      <alignment horizontal="center" vertical="center" shrinkToFit="1"/>
    </xf>
    <xf numFmtId="0" fontId="9" fillId="0" borderId="6" xfId="3" applyFont="1" applyBorder="1" applyAlignment="1">
      <alignment horizontal="center" vertical="center" shrinkToFit="1"/>
    </xf>
    <xf numFmtId="0" fontId="12" fillId="2" borderId="0" xfId="0" applyFont="1" applyFill="1">
      <alignment vertical="center"/>
    </xf>
    <xf numFmtId="0" fontId="9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2" borderId="3" xfId="3" applyFont="1" applyFill="1" applyBorder="1" applyAlignment="1">
      <alignment horizontal="center" vertical="center" shrinkToFit="1"/>
    </xf>
    <xf numFmtId="0" fontId="9" fillId="2" borderId="6" xfId="3" applyFont="1" applyFill="1" applyBorder="1" applyAlignment="1">
      <alignment horizontal="center" vertical="center" shrinkToFit="1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0" fontId="15" fillId="0" borderId="0" xfId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2" borderId="0" xfId="0" applyFont="1" applyFill="1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2" fontId="21" fillId="0" borderId="0" xfId="0" applyNumberFormat="1" applyFont="1" applyAlignment="1">
      <alignment horizontal="center" vertical="center" wrapText="1"/>
    </xf>
    <xf numFmtId="0" fontId="19" fillId="0" borderId="1" xfId="0" applyFont="1" applyBorder="1">
      <alignment vertical="center"/>
    </xf>
    <xf numFmtId="0" fontId="7" fillId="0" borderId="1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23" fillId="0" borderId="0" xfId="0" applyFont="1">
      <alignment vertical="center"/>
    </xf>
    <xf numFmtId="0" fontId="9" fillId="0" borderId="9" xfId="3" applyFont="1" applyBorder="1" applyAlignment="1">
      <alignment horizontal="center" vertical="center" shrinkToFit="1"/>
    </xf>
    <xf numFmtId="0" fontId="9" fillId="2" borderId="9" xfId="3" applyFont="1" applyFill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4" fillId="6" borderId="30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2" borderId="63" xfId="3" applyFont="1" applyFill="1" applyBorder="1" applyAlignment="1">
      <alignment horizontal="center" vertical="center" shrinkToFit="1"/>
    </xf>
    <xf numFmtId="0" fontId="14" fillId="6" borderId="71" xfId="0" applyFont="1" applyFill="1" applyBorder="1" applyAlignment="1">
      <alignment horizontal="center" vertical="center"/>
    </xf>
    <xf numFmtId="0" fontId="7" fillId="0" borderId="13" xfId="3" applyFont="1" applyBorder="1" applyAlignment="1">
      <alignment horizontal="center" vertical="center" shrinkToFit="1"/>
    </xf>
    <xf numFmtId="0" fontId="7" fillId="2" borderId="17" xfId="3" applyFont="1" applyFill="1" applyBorder="1" applyAlignment="1">
      <alignment horizontal="center" vertical="center" shrinkToFit="1"/>
    </xf>
    <xf numFmtId="0" fontId="7" fillId="2" borderId="72" xfId="3" applyFont="1" applyFill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7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9" fillId="6" borderId="30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71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22" fillId="0" borderId="0" xfId="0" applyFont="1">
      <alignment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0" xfId="0" applyFont="1">
      <alignment vertical="center"/>
    </xf>
    <xf numFmtId="0" fontId="28" fillId="0" borderId="18" xfId="0" applyFont="1" applyBorder="1">
      <alignment vertical="center"/>
    </xf>
    <xf numFmtId="0" fontId="28" fillId="0" borderId="18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176" fontId="29" fillId="2" borderId="3" xfId="0" applyNumberFormat="1" applyFont="1" applyFill="1" applyBorder="1" applyAlignment="1">
      <alignment horizontal="center" vertical="center" wrapText="1"/>
    </xf>
    <xf numFmtId="176" fontId="29" fillId="2" borderId="4" xfId="0" applyNumberFormat="1" applyFont="1" applyFill="1" applyBorder="1" applyAlignment="1">
      <alignment horizontal="center" vertical="center" wrapText="1"/>
    </xf>
    <xf numFmtId="176" fontId="29" fillId="2" borderId="9" xfId="0" applyNumberFormat="1" applyFont="1" applyFill="1" applyBorder="1" applyAlignment="1">
      <alignment horizontal="center" vertical="center" wrapText="1"/>
    </xf>
    <xf numFmtId="176" fontId="29" fillId="2" borderId="10" xfId="0" applyNumberFormat="1" applyFont="1" applyFill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176" fontId="29" fillId="2" borderId="6" xfId="0" applyNumberFormat="1" applyFont="1" applyFill="1" applyBorder="1" applyAlignment="1">
      <alignment horizontal="center" vertical="center"/>
    </xf>
    <xf numFmtId="176" fontId="29" fillId="2" borderId="7" xfId="0" applyNumberFormat="1" applyFont="1" applyFill="1" applyBorder="1" applyAlignment="1">
      <alignment horizontal="center" vertical="center"/>
    </xf>
    <xf numFmtId="0" fontId="28" fillId="0" borderId="57" xfId="0" applyFont="1" applyBorder="1" applyAlignment="1">
      <alignment horizontal="center" vertical="center"/>
    </xf>
    <xf numFmtId="0" fontId="28" fillId="0" borderId="58" xfId="0" applyFont="1" applyBorder="1" applyAlignment="1">
      <alignment horizontal="center" vertical="center"/>
    </xf>
    <xf numFmtId="0" fontId="28" fillId="0" borderId="59" xfId="0" applyFont="1" applyBorder="1" applyAlignment="1">
      <alignment horizontal="center" vertical="center"/>
    </xf>
    <xf numFmtId="0" fontId="28" fillId="0" borderId="68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3" xfId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9" xfId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 wrapText="1"/>
    </xf>
    <xf numFmtId="0" fontId="28" fillId="0" borderId="60" xfId="0" applyFont="1" applyBorder="1" applyAlignment="1">
      <alignment horizontal="center" vertical="center"/>
    </xf>
    <xf numFmtId="0" fontId="28" fillId="0" borderId="61" xfId="0" applyFont="1" applyBorder="1" applyAlignment="1">
      <alignment horizontal="center" vertical="center"/>
    </xf>
    <xf numFmtId="0" fontId="28" fillId="0" borderId="62" xfId="0" applyFont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28" fillId="0" borderId="5" xfId="1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 wrapText="1"/>
    </xf>
    <xf numFmtId="0" fontId="26" fillId="0" borderId="6" xfId="1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2" borderId="21" xfId="0" applyFont="1" applyFill="1" applyBorder="1">
      <alignment vertical="center"/>
    </xf>
    <xf numFmtId="0" fontId="28" fillId="2" borderId="22" xfId="0" applyFont="1" applyFill="1" applyBorder="1">
      <alignment vertical="center"/>
    </xf>
    <xf numFmtId="0" fontId="28" fillId="2" borderId="38" xfId="0" applyFont="1" applyFill="1" applyBorder="1">
      <alignment vertical="center"/>
    </xf>
    <xf numFmtId="0" fontId="28" fillId="2" borderId="18" xfId="0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1" fontId="28" fillId="2" borderId="18" xfId="0" applyNumberFormat="1" applyFont="1" applyFill="1" applyBorder="1" applyAlignment="1">
      <alignment horizontal="center" vertical="center"/>
    </xf>
    <xf numFmtId="0" fontId="28" fillId="2" borderId="38" xfId="0" applyFont="1" applyFill="1" applyBorder="1" applyAlignment="1">
      <alignment horizontal="center" vertical="center"/>
    </xf>
    <xf numFmtId="0" fontId="28" fillId="3" borderId="23" xfId="0" applyFont="1" applyFill="1" applyBorder="1">
      <alignment vertical="center"/>
    </xf>
    <xf numFmtId="0" fontId="28" fillId="3" borderId="15" xfId="0" applyFont="1" applyFill="1" applyBorder="1">
      <alignment vertical="center"/>
    </xf>
    <xf numFmtId="0" fontId="28" fillId="3" borderId="39" xfId="0" applyFont="1" applyFill="1" applyBorder="1">
      <alignment vertical="center"/>
    </xf>
    <xf numFmtId="0" fontId="28" fillId="3" borderId="11" xfId="0" applyFont="1" applyFill="1" applyBorder="1" applyAlignment="1">
      <alignment horizontal="center" vertical="center"/>
    </xf>
    <xf numFmtId="0" fontId="28" fillId="3" borderId="14" xfId="0" applyFont="1" applyFill="1" applyBorder="1" applyAlignment="1">
      <alignment horizontal="center" vertical="center"/>
    </xf>
    <xf numFmtId="0" fontId="28" fillId="3" borderId="9" xfId="0" applyFont="1" applyFill="1" applyBorder="1" applyAlignment="1">
      <alignment horizontal="center" vertical="center"/>
    </xf>
    <xf numFmtId="1" fontId="28" fillId="3" borderId="11" xfId="0" applyNumberFormat="1" applyFont="1" applyFill="1" applyBorder="1" applyAlignment="1">
      <alignment horizontal="center" vertical="center"/>
    </xf>
    <xf numFmtId="0" fontId="28" fillId="3" borderId="39" xfId="0" applyFont="1" applyFill="1" applyBorder="1" applyAlignment="1">
      <alignment horizontal="center" vertical="center"/>
    </xf>
    <xf numFmtId="0" fontId="34" fillId="2" borderId="24" xfId="0" applyFont="1" applyFill="1" applyBorder="1">
      <alignment vertical="center"/>
    </xf>
    <xf numFmtId="0" fontId="34" fillId="2" borderId="25" xfId="0" applyFont="1" applyFill="1" applyBorder="1">
      <alignment vertical="center"/>
    </xf>
    <xf numFmtId="0" fontId="34" fillId="2" borderId="40" xfId="0" applyFont="1" applyFill="1" applyBorder="1">
      <alignment vertical="center"/>
    </xf>
    <xf numFmtId="0" fontId="34" fillId="2" borderId="19" xfId="0" applyFont="1" applyFill="1" applyBorder="1" applyAlignment="1">
      <alignment horizontal="center" vertical="center"/>
    </xf>
    <xf numFmtId="177" fontId="34" fillId="2" borderId="13" xfId="0" applyNumberFormat="1" applyFont="1" applyFill="1" applyBorder="1" applyAlignment="1">
      <alignment horizontal="center" vertical="center"/>
    </xf>
    <xf numFmtId="177" fontId="34" fillId="2" borderId="6" xfId="0" applyNumberFormat="1" applyFont="1" applyFill="1" applyBorder="1" applyAlignment="1">
      <alignment horizontal="center" vertical="center"/>
    </xf>
    <xf numFmtId="1" fontId="26" fillId="2" borderId="19" xfId="0" applyNumberFormat="1" applyFont="1" applyFill="1" applyBorder="1" applyAlignment="1">
      <alignment horizontal="center" vertical="center"/>
    </xf>
    <xf numFmtId="177" fontId="29" fillId="2" borderId="40" xfId="0" applyNumberFormat="1" applyFont="1" applyFill="1" applyBorder="1" applyAlignment="1">
      <alignment horizontal="center" vertical="center"/>
    </xf>
    <xf numFmtId="0" fontId="34" fillId="0" borderId="0" xfId="0" applyFont="1">
      <alignment vertical="center"/>
    </xf>
    <xf numFmtId="0" fontId="34" fillId="0" borderId="0" xfId="0" applyFont="1" applyAlignment="1">
      <alignment horizontal="center" vertical="center"/>
    </xf>
    <xf numFmtId="177" fontId="34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28" fillId="6" borderId="21" xfId="0" applyFont="1" applyFill="1" applyBorder="1" applyAlignment="1">
      <alignment horizontal="center" vertical="center"/>
    </xf>
    <xf numFmtId="0" fontId="26" fillId="0" borderId="2" xfId="1" applyFont="1" applyBorder="1" applyAlignment="1">
      <alignment horizontal="center" vertical="center"/>
    </xf>
    <xf numFmtId="0" fontId="26" fillId="0" borderId="26" xfId="1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8" fillId="2" borderId="9" xfId="0" applyFont="1" applyFill="1" applyBorder="1" applyAlignment="1">
      <alignment horizontal="center" vertical="center"/>
    </xf>
    <xf numFmtId="0" fontId="28" fillId="2" borderId="28" xfId="0" applyFont="1" applyFill="1" applyBorder="1" applyAlignment="1">
      <alignment horizontal="center" vertical="center"/>
    </xf>
    <xf numFmtId="0" fontId="28" fillId="2" borderId="11" xfId="0" applyFont="1" applyFill="1" applyBorder="1" applyAlignment="1">
      <alignment horizontal="center" vertical="center"/>
    </xf>
    <xf numFmtId="0" fontId="26" fillId="0" borderId="8" xfId="1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6" fillId="0" borderId="5" xfId="1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0" fontId="28" fillId="2" borderId="26" xfId="0" applyFont="1" applyFill="1" applyBorder="1" applyAlignment="1">
      <alignment horizontal="center" vertical="center"/>
    </xf>
    <xf numFmtId="1" fontId="28" fillId="2" borderId="35" xfId="0" applyNumberFormat="1" applyFont="1" applyFill="1" applyBorder="1" applyAlignment="1">
      <alignment horizontal="center" vertical="center"/>
    </xf>
    <xf numFmtId="0" fontId="28" fillId="2" borderId="20" xfId="0" applyFont="1" applyFill="1" applyBorder="1" applyAlignment="1">
      <alignment horizontal="center" vertical="center"/>
    </xf>
    <xf numFmtId="0" fontId="28" fillId="3" borderId="28" xfId="0" applyFont="1" applyFill="1" applyBorder="1" applyAlignment="1">
      <alignment horizontal="center" vertical="center"/>
    </xf>
    <xf numFmtId="177" fontId="34" fillId="2" borderId="27" xfId="0" applyNumberFormat="1" applyFont="1" applyFill="1" applyBorder="1" applyAlignment="1">
      <alignment horizontal="center" vertical="center"/>
    </xf>
    <xf numFmtId="1" fontId="29" fillId="2" borderId="19" xfId="0" applyNumberFormat="1" applyFont="1" applyFill="1" applyBorder="1" applyAlignment="1">
      <alignment horizontal="center" vertical="center"/>
    </xf>
    <xf numFmtId="177" fontId="29" fillId="2" borderId="19" xfId="0" applyNumberFormat="1" applyFont="1" applyFill="1" applyBorder="1" applyAlignment="1">
      <alignment horizontal="center" vertical="center"/>
    </xf>
    <xf numFmtId="0" fontId="28" fillId="2" borderId="1" xfId="0" applyFont="1" applyFill="1" applyBorder="1">
      <alignment vertical="center"/>
    </xf>
    <xf numFmtId="0" fontId="34" fillId="2" borderId="31" xfId="0" applyFont="1" applyFill="1" applyBorder="1">
      <alignment vertical="center"/>
    </xf>
    <xf numFmtId="0" fontId="34" fillId="2" borderId="41" xfId="0" applyFont="1" applyFill="1" applyBorder="1" applyAlignment="1">
      <alignment horizontal="center" vertical="center"/>
    </xf>
    <xf numFmtId="177" fontId="34" fillId="2" borderId="41" xfId="0" applyNumberFormat="1" applyFont="1" applyFill="1" applyBorder="1" applyAlignment="1">
      <alignment horizontal="center" vertical="center"/>
    </xf>
    <xf numFmtId="177" fontId="29" fillId="2" borderId="41" xfId="0" applyNumberFormat="1" applyFont="1" applyFill="1" applyBorder="1" applyAlignment="1">
      <alignment horizontal="center" vertical="center"/>
    </xf>
    <xf numFmtId="0" fontId="28" fillId="4" borderId="22" xfId="0" applyFont="1" applyFill="1" applyBorder="1">
      <alignment vertical="center"/>
    </xf>
    <xf numFmtId="0" fontId="28" fillId="4" borderId="18" xfId="0" applyFont="1" applyFill="1" applyBorder="1" applyAlignment="1">
      <alignment horizontal="center" vertical="center"/>
    </xf>
    <xf numFmtId="0" fontId="28" fillId="4" borderId="17" xfId="0" applyFont="1" applyFill="1" applyBorder="1" applyAlignment="1">
      <alignment horizontal="center" vertical="center"/>
    </xf>
    <xf numFmtId="0" fontId="28" fillId="4" borderId="16" xfId="0" applyFont="1" applyFill="1" applyBorder="1" applyAlignment="1">
      <alignment horizontal="center" vertical="center"/>
    </xf>
    <xf numFmtId="0" fontId="28" fillId="4" borderId="74" xfId="0" applyFont="1" applyFill="1" applyBorder="1" applyAlignment="1">
      <alignment horizontal="center" vertical="center"/>
    </xf>
    <xf numFmtId="0" fontId="34" fillId="4" borderId="25" xfId="0" applyFont="1" applyFill="1" applyBorder="1">
      <alignment vertical="center"/>
    </xf>
    <xf numFmtId="0" fontId="34" fillId="4" borderId="19" xfId="0" applyFont="1" applyFill="1" applyBorder="1" applyAlignment="1">
      <alignment horizontal="center" vertical="center"/>
    </xf>
    <xf numFmtId="177" fontId="34" fillId="4" borderId="13" xfId="0" applyNumberFormat="1" applyFont="1" applyFill="1" applyBorder="1" applyAlignment="1">
      <alignment horizontal="center" vertical="center"/>
    </xf>
    <xf numFmtId="177" fontId="34" fillId="4" borderId="6" xfId="0" applyNumberFormat="1" applyFont="1" applyFill="1" applyBorder="1" applyAlignment="1">
      <alignment horizontal="center" vertical="center"/>
    </xf>
    <xf numFmtId="177" fontId="34" fillId="4" borderId="27" xfId="0" applyNumberFormat="1" applyFont="1" applyFill="1" applyBorder="1" applyAlignment="1">
      <alignment horizontal="center" vertical="center"/>
    </xf>
    <xf numFmtId="177" fontId="34" fillId="2" borderId="19" xfId="0" applyNumberFormat="1" applyFont="1" applyFill="1" applyBorder="1" applyAlignment="1">
      <alignment horizontal="center" vertical="center"/>
    </xf>
    <xf numFmtId="177" fontId="34" fillId="4" borderId="19" xfId="0" applyNumberFormat="1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0" fontId="28" fillId="0" borderId="0" xfId="0" applyFont="1" applyAlignment="1">
      <alignment horizontal="left" vertical="center"/>
    </xf>
    <xf numFmtId="178" fontId="28" fillId="0" borderId="0" xfId="0" applyNumberFormat="1" applyFont="1" applyAlignment="1">
      <alignment horizontal="center" vertical="center" wrapText="1"/>
    </xf>
    <xf numFmtId="0" fontId="28" fillId="8" borderId="9" xfId="1" applyFont="1" applyFill="1" applyBorder="1" applyAlignment="1">
      <alignment horizontal="center" vertical="center"/>
    </xf>
    <xf numFmtId="0" fontId="28" fillId="9" borderId="9" xfId="1" applyFont="1" applyFill="1" applyBorder="1" applyAlignment="1">
      <alignment horizontal="center" vertical="center"/>
    </xf>
    <xf numFmtId="2" fontId="28" fillId="5" borderId="9" xfId="0" applyNumberFormat="1" applyFont="1" applyFill="1" applyBorder="1" applyAlignment="1">
      <alignment horizontal="center" vertical="center" wrapText="1"/>
    </xf>
    <xf numFmtId="2" fontId="28" fillId="7" borderId="9" xfId="0" applyNumberFormat="1" applyFont="1" applyFill="1" applyBorder="1" applyAlignment="1">
      <alignment horizontal="center" vertical="center" wrapText="1"/>
    </xf>
    <xf numFmtId="0" fontId="28" fillId="2" borderId="9" xfId="1" applyFont="1" applyFill="1" applyBorder="1" applyAlignment="1">
      <alignment horizontal="center" vertical="center"/>
    </xf>
    <xf numFmtId="177" fontId="16" fillId="6" borderId="54" xfId="0" applyNumberFormat="1" applyFont="1" applyFill="1" applyBorder="1">
      <alignment vertical="center"/>
    </xf>
    <xf numFmtId="177" fontId="16" fillId="6" borderId="0" xfId="0" applyNumberFormat="1" applyFont="1" applyFill="1">
      <alignment vertical="center"/>
    </xf>
    <xf numFmtId="177" fontId="16" fillId="0" borderId="0" xfId="0" applyNumberFormat="1" applyFont="1" applyAlignment="1">
      <alignment horizontal="center" vertical="center"/>
    </xf>
    <xf numFmtId="0" fontId="26" fillId="0" borderId="18" xfId="0" applyFont="1" applyBorder="1">
      <alignment vertical="center"/>
    </xf>
    <xf numFmtId="0" fontId="26" fillId="0" borderId="18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64" xfId="0" applyFont="1" applyBorder="1">
      <alignment vertical="center"/>
    </xf>
    <xf numFmtId="0" fontId="26" fillId="0" borderId="67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56" xfId="0" applyFont="1" applyBorder="1" applyAlignment="1">
      <alignment horizontal="center" vertical="center"/>
    </xf>
    <xf numFmtId="0" fontId="26" fillId="0" borderId="42" xfId="0" applyFont="1" applyBorder="1" applyAlignment="1">
      <alignment horizontal="center" vertical="center"/>
    </xf>
    <xf numFmtId="0" fontId="26" fillId="2" borderId="0" xfId="0" applyFont="1" applyFill="1">
      <alignment vertical="center"/>
    </xf>
    <xf numFmtId="0" fontId="26" fillId="2" borderId="18" xfId="0" applyFont="1" applyFill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0" fontId="26" fillId="2" borderId="38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6" borderId="19" xfId="0" applyFont="1" applyFill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 wrapText="1"/>
    </xf>
    <xf numFmtId="0" fontId="26" fillId="2" borderId="6" xfId="1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177" fontId="34" fillId="2" borderId="5" xfId="0" applyNumberFormat="1" applyFont="1" applyFill="1" applyBorder="1" applyAlignment="1">
      <alignment horizontal="center" vertical="center"/>
    </xf>
    <xf numFmtId="0" fontId="28" fillId="2" borderId="19" xfId="0" applyFont="1" applyFill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6" fillId="2" borderId="12" xfId="1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 wrapText="1"/>
    </xf>
    <xf numFmtId="0" fontId="26" fillId="2" borderId="3" xfId="1" applyFont="1" applyFill="1" applyBorder="1" applyAlignment="1">
      <alignment horizontal="center" vertical="center"/>
    </xf>
    <xf numFmtId="0" fontId="26" fillId="2" borderId="4" xfId="1" applyFont="1" applyFill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2" borderId="14" xfId="1" applyFont="1" applyFill="1" applyBorder="1" applyAlignment="1">
      <alignment horizontal="center" vertical="center"/>
    </xf>
    <xf numFmtId="0" fontId="26" fillId="2" borderId="9" xfId="1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center" vertical="center" wrapText="1"/>
    </xf>
    <xf numFmtId="0" fontId="26" fillId="2" borderId="10" xfId="1" applyFont="1" applyFill="1" applyBorder="1" applyAlignment="1">
      <alignment horizontal="center" vertical="center"/>
    </xf>
    <xf numFmtId="0" fontId="26" fillId="2" borderId="14" xfId="0" applyFont="1" applyFill="1" applyBorder="1" applyAlignment="1">
      <alignment horizontal="center" vertical="center" wrapText="1"/>
    </xf>
    <xf numFmtId="0" fontId="26" fillId="2" borderId="23" xfId="0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0" fontId="26" fillId="2" borderId="10" xfId="0" applyFont="1" applyFill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177" fontId="28" fillId="2" borderId="16" xfId="0" applyNumberFormat="1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21" xfId="0" applyFont="1" applyBorder="1">
      <alignment vertical="center"/>
    </xf>
    <xf numFmtId="0" fontId="26" fillId="0" borderId="65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73" xfId="0" applyFont="1" applyBorder="1">
      <alignment vertical="center"/>
    </xf>
    <xf numFmtId="0" fontId="26" fillId="0" borderId="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6" fillId="0" borderId="7" xfId="1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1" fontId="28" fillId="3" borderId="39" xfId="0" applyNumberFormat="1" applyFont="1" applyFill="1" applyBorder="1" applyAlignment="1">
      <alignment horizontal="center" vertical="center"/>
    </xf>
    <xf numFmtId="0" fontId="26" fillId="6" borderId="39" xfId="0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10" xfId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0" fontId="28" fillId="4" borderId="46" xfId="0" applyFont="1" applyFill="1" applyBorder="1">
      <alignment vertical="center"/>
    </xf>
    <xf numFmtId="177" fontId="28" fillId="4" borderId="50" xfId="0" applyNumberFormat="1" applyFont="1" applyFill="1" applyBorder="1" applyAlignment="1">
      <alignment horizontal="center" vertical="center"/>
    </xf>
    <xf numFmtId="177" fontId="28" fillId="3" borderId="11" xfId="0" applyNumberFormat="1" applyFont="1" applyFill="1" applyBorder="1" applyAlignment="1">
      <alignment horizontal="center" vertical="center"/>
    </xf>
    <xf numFmtId="0" fontId="34" fillId="4" borderId="44" xfId="0" applyFont="1" applyFill="1" applyBorder="1">
      <alignment vertical="center"/>
    </xf>
    <xf numFmtId="0" fontId="39" fillId="0" borderId="0" xfId="0" applyFont="1" applyAlignment="1">
      <alignment horizontal="right" vertical="center"/>
    </xf>
    <xf numFmtId="0" fontId="39" fillId="0" borderId="0" xfId="0" applyFont="1">
      <alignment vertical="center"/>
    </xf>
    <xf numFmtId="0" fontId="39" fillId="0" borderId="0" xfId="0" applyFont="1" applyAlignment="1">
      <alignment horizontal="center" vertical="center"/>
    </xf>
    <xf numFmtId="0" fontId="28" fillId="2" borderId="0" xfId="0" applyFont="1" applyFill="1" applyAlignment="1">
      <alignment vertical="center" wrapText="1"/>
    </xf>
    <xf numFmtId="0" fontId="28" fillId="2" borderId="0" xfId="0" applyFont="1" applyFill="1" applyAlignment="1">
      <alignment horizontal="center" vertical="center" wrapText="1"/>
    </xf>
    <xf numFmtId="176" fontId="29" fillId="2" borderId="2" xfId="0" applyNumberFormat="1" applyFont="1" applyFill="1" applyBorder="1" applyAlignment="1">
      <alignment horizontal="center" vertical="center" wrapText="1"/>
    </xf>
    <xf numFmtId="176" fontId="29" fillId="2" borderId="8" xfId="0" applyNumberFormat="1" applyFont="1" applyFill="1" applyBorder="1" applyAlignment="1">
      <alignment horizontal="center" vertical="center" wrapText="1"/>
    </xf>
    <xf numFmtId="176" fontId="29" fillId="2" borderId="5" xfId="0" applyNumberFormat="1" applyFont="1" applyFill="1" applyBorder="1" applyAlignment="1">
      <alignment horizontal="center" vertical="center"/>
    </xf>
    <xf numFmtId="177" fontId="28" fillId="2" borderId="17" xfId="0" applyNumberFormat="1" applyFont="1" applyFill="1" applyBorder="1" applyAlignment="1">
      <alignment horizontal="center" vertical="center"/>
    </xf>
    <xf numFmtId="0" fontId="28" fillId="4" borderId="50" xfId="0" applyFont="1" applyFill="1" applyBorder="1" applyAlignment="1">
      <alignment horizontal="center" vertical="center"/>
    </xf>
    <xf numFmtId="177" fontId="28" fillId="2" borderId="74" xfId="0" applyNumberFormat="1" applyFont="1" applyFill="1" applyBorder="1" applyAlignment="1">
      <alignment horizontal="center" vertical="center"/>
    </xf>
    <xf numFmtId="177" fontId="28" fillId="4" borderId="75" xfId="0" applyNumberFormat="1" applyFont="1" applyFill="1" applyBorder="1" applyAlignment="1">
      <alignment horizontal="center" vertical="center"/>
    </xf>
    <xf numFmtId="0" fontId="28" fillId="0" borderId="76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6" fillId="2" borderId="55" xfId="0" applyFont="1" applyFill="1" applyBorder="1" applyAlignment="1">
      <alignment horizontal="center" vertical="center"/>
    </xf>
    <xf numFmtId="0" fontId="28" fillId="6" borderId="40" xfId="0" applyFont="1" applyFill="1" applyBorder="1" applyAlignment="1">
      <alignment horizontal="center" vertical="center"/>
    </xf>
    <xf numFmtId="0" fontId="26" fillId="6" borderId="11" xfId="0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74" xfId="0" applyFont="1" applyBorder="1" applyAlignment="1">
      <alignment horizontal="center" vertical="center"/>
    </xf>
    <xf numFmtId="1" fontId="28" fillId="0" borderId="20" xfId="0" applyNumberFormat="1" applyFont="1" applyBorder="1" applyAlignment="1">
      <alignment horizontal="center" vertical="center"/>
    </xf>
    <xf numFmtId="177" fontId="28" fillId="4" borderId="12" xfId="0" applyNumberFormat="1" applyFont="1" applyFill="1" applyBorder="1" applyAlignment="1">
      <alignment horizontal="center" vertical="center"/>
    </xf>
    <xf numFmtId="177" fontId="28" fillId="4" borderId="17" xfId="0" applyNumberFormat="1" applyFont="1" applyFill="1" applyBorder="1" applyAlignment="1">
      <alignment horizontal="center" vertical="center"/>
    </xf>
    <xf numFmtId="177" fontId="28" fillId="4" borderId="3" xfId="0" applyNumberFormat="1" applyFont="1" applyFill="1" applyBorder="1" applyAlignment="1">
      <alignment horizontal="center" vertical="center"/>
    </xf>
    <xf numFmtId="177" fontId="34" fillId="2" borderId="40" xfId="0" applyNumberFormat="1" applyFont="1" applyFill="1" applyBorder="1" applyAlignment="1">
      <alignment horizontal="center" vertical="center"/>
    </xf>
    <xf numFmtId="0" fontId="28" fillId="0" borderId="77" xfId="0" applyFont="1" applyBorder="1" applyAlignment="1">
      <alignment horizontal="center" vertical="center"/>
    </xf>
    <xf numFmtId="0" fontId="28" fillId="0" borderId="70" xfId="0" applyFont="1" applyBorder="1" applyAlignment="1">
      <alignment horizontal="center" vertical="center"/>
    </xf>
    <xf numFmtId="0" fontId="28" fillId="0" borderId="63" xfId="0" applyFont="1" applyBorder="1" applyAlignment="1">
      <alignment horizontal="center" vertical="center"/>
    </xf>
    <xf numFmtId="0" fontId="28" fillId="0" borderId="78" xfId="0" applyFont="1" applyBorder="1" applyAlignment="1">
      <alignment horizontal="center" vertical="center"/>
    </xf>
    <xf numFmtId="0" fontId="26" fillId="0" borderId="70" xfId="1" applyFont="1" applyBorder="1" applyAlignment="1">
      <alignment horizontal="center" vertical="center"/>
    </xf>
    <xf numFmtId="0" fontId="26" fillId="0" borderId="63" xfId="1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8" fillId="0" borderId="73" xfId="0" applyFont="1" applyBorder="1" applyAlignment="1">
      <alignment horizontal="center" vertical="center"/>
    </xf>
    <xf numFmtId="0" fontId="28" fillId="0" borderId="65" xfId="0" applyFont="1" applyBorder="1" applyAlignment="1">
      <alignment horizontal="center" vertical="center"/>
    </xf>
    <xf numFmtId="0" fontId="34" fillId="0" borderId="73" xfId="0" applyFont="1" applyBorder="1">
      <alignment vertical="center"/>
    </xf>
    <xf numFmtId="177" fontId="29" fillId="0" borderId="65" xfId="0" applyNumberFormat="1" applyFont="1" applyBorder="1" applyAlignment="1">
      <alignment horizontal="center" vertical="center"/>
    </xf>
    <xf numFmtId="0" fontId="26" fillId="0" borderId="73" xfId="0" applyFont="1" applyBorder="1" applyAlignment="1">
      <alignment horizontal="left" vertical="center"/>
    </xf>
    <xf numFmtId="0" fontId="28" fillId="0" borderId="21" xfId="0" applyFont="1" applyBorder="1" applyAlignment="1">
      <alignment horizontal="center" vertical="center"/>
    </xf>
    <xf numFmtId="0" fontId="28" fillId="2" borderId="23" xfId="0" applyFont="1" applyFill="1" applyBorder="1" applyAlignment="1">
      <alignment horizontal="center" vertical="center"/>
    </xf>
    <xf numFmtId="0" fontId="28" fillId="4" borderId="1" xfId="0" applyFont="1" applyFill="1" applyBorder="1">
      <alignment vertical="center"/>
    </xf>
    <xf numFmtId="0" fontId="28" fillId="4" borderId="20" xfId="0" applyFont="1" applyFill="1" applyBorder="1" applyAlignment="1">
      <alignment horizontal="center" vertical="center"/>
    </xf>
    <xf numFmtId="177" fontId="28" fillId="4" borderId="16" xfId="0" applyNumberFormat="1" applyFont="1" applyFill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0" fontId="44" fillId="0" borderId="17" xfId="0" applyFont="1" applyBorder="1" applyAlignment="1">
      <alignment horizontal="center" vertical="center"/>
    </xf>
    <xf numFmtId="0" fontId="41" fillId="2" borderId="9" xfId="3" applyFont="1" applyFill="1" applyBorder="1" applyAlignment="1">
      <alignment horizontal="center" vertical="center" shrinkToFit="1"/>
    </xf>
    <xf numFmtId="0" fontId="45" fillId="6" borderId="10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26" fillId="0" borderId="80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 wrapText="1"/>
    </xf>
    <xf numFmtId="0" fontId="26" fillId="2" borderId="56" xfId="0" applyFont="1" applyFill="1" applyBorder="1" applyAlignment="1">
      <alignment horizontal="center" vertical="center" wrapText="1"/>
    </xf>
    <xf numFmtId="0" fontId="26" fillId="2" borderId="56" xfId="1" applyFont="1" applyFill="1" applyBorder="1" applyAlignment="1">
      <alignment horizontal="center" vertical="center"/>
    </xf>
    <xf numFmtId="0" fontId="26" fillId="2" borderId="81" xfId="0" applyFont="1" applyFill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0" fontId="43" fillId="0" borderId="9" xfId="1" applyFont="1" applyBorder="1" applyAlignment="1">
      <alignment horizontal="center" vertical="center"/>
    </xf>
    <xf numFmtId="0" fontId="42" fillId="0" borderId="23" xfId="0" applyFont="1" applyBorder="1" applyAlignment="1">
      <alignment horizontal="center" vertical="center"/>
    </xf>
    <xf numFmtId="0" fontId="28" fillId="2" borderId="28" xfId="1" applyFont="1" applyFill="1" applyBorder="1" applyAlignment="1">
      <alignment horizontal="center" vertical="center"/>
    </xf>
    <xf numFmtId="0" fontId="26" fillId="15" borderId="9" xfId="0" applyFont="1" applyFill="1" applyBorder="1" applyAlignment="1">
      <alignment horizontal="center" vertical="center"/>
    </xf>
    <xf numFmtId="0" fontId="43" fillId="15" borderId="8" xfId="1" applyFont="1" applyFill="1" applyBorder="1" applyAlignment="1">
      <alignment horizontal="center" vertical="center"/>
    </xf>
    <xf numFmtId="0" fontId="43" fillId="15" borderId="9" xfId="1" applyFont="1" applyFill="1" applyBorder="1" applyAlignment="1">
      <alignment horizontal="center" vertical="center"/>
    </xf>
    <xf numFmtId="177" fontId="46" fillId="4" borderId="6" xfId="0" applyNumberFormat="1" applyFont="1" applyFill="1" applyBorder="1" applyAlignment="1">
      <alignment horizontal="center" vertical="center"/>
    </xf>
    <xf numFmtId="0" fontId="42" fillId="4" borderId="16" xfId="0" applyFont="1" applyFill="1" applyBorder="1" applyAlignment="1">
      <alignment horizontal="center" vertical="center"/>
    </xf>
    <xf numFmtId="0" fontId="42" fillId="4" borderId="3" xfId="0" applyFont="1" applyFill="1" applyBorder="1" applyAlignment="1">
      <alignment horizontal="center" vertical="center"/>
    </xf>
    <xf numFmtId="177" fontId="42" fillId="2" borderId="16" xfId="0" applyNumberFormat="1" applyFont="1" applyFill="1" applyBorder="1" applyAlignment="1">
      <alignment horizontal="center" vertical="center"/>
    </xf>
    <xf numFmtId="177" fontId="46" fillId="2" borderId="6" xfId="0" applyNumberFormat="1" applyFont="1" applyFill="1" applyBorder="1" applyAlignment="1">
      <alignment horizontal="center" vertical="center"/>
    </xf>
    <xf numFmtId="0" fontId="42" fillId="3" borderId="9" xfId="0" applyFont="1" applyFill="1" applyBorder="1" applyAlignment="1">
      <alignment horizontal="center" vertical="center"/>
    </xf>
    <xf numFmtId="0" fontId="47" fillId="0" borderId="0" xfId="0" applyFont="1">
      <alignment vertical="center"/>
    </xf>
    <xf numFmtId="0" fontId="43" fillId="0" borderId="0" xfId="0" applyFont="1">
      <alignment vertical="center"/>
    </xf>
    <xf numFmtId="0" fontId="43" fillId="0" borderId="0" xfId="0" applyFont="1" applyAlignment="1">
      <alignment horizontal="center" vertical="center"/>
    </xf>
    <xf numFmtId="0" fontId="42" fillId="0" borderId="0" xfId="0" applyFont="1" applyAlignment="1">
      <alignment horizontal="right" vertical="center"/>
    </xf>
    <xf numFmtId="0" fontId="42" fillId="0" borderId="0" xfId="0" applyFont="1" applyAlignment="1">
      <alignment horizontal="left" vertical="center"/>
    </xf>
    <xf numFmtId="178" fontId="42" fillId="0" borderId="0" xfId="0" applyNumberFormat="1" applyFont="1" applyAlignment="1">
      <alignment horizontal="center" vertical="center" wrapText="1"/>
    </xf>
    <xf numFmtId="0" fontId="42" fillId="8" borderId="9" xfId="1" applyFont="1" applyFill="1" applyBorder="1" applyAlignment="1">
      <alignment horizontal="center" vertical="center"/>
    </xf>
    <xf numFmtId="0" fontId="42" fillId="9" borderId="9" xfId="1" applyFont="1" applyFill="1" applyBorder="1" applyAlignment="1">
      <alignment horizontal="center" vertical="center"/>
    </xf>
    <xf numFmtId="2" fontId="42" fillId="5" borderId="9" xfId="0" applyNumberFormat="1" applyFont="1" applyFill="1" applyBorder="1" applyAlignment="1">
      <alignment horizontal="center" vertical="center" wrapText="1"/>
    </xf>
    <xf numFmtId="2" fontId="42" fillId="7" borderId="9" xfId="0" applyNumberFormat="1" applyFont="1" applyFill="1" applyBorder="1" applyAlignment="1">
      <alignment horizontal="center" vertical="center" wrapText="1"/>
    </xf>
    <xf numFmtId="0" fontId="42" fillId="2" borderId="9" xfId="1" applyFont="1" applyFill="1" applyBorder="1" applyAlignment="1">
      <alignment horizontal="center" vertical="center"/>
    </xf>
    <xf numFmtId="0" fontId="43" fillId="15" borderId="9" xfId="0" applyFont="1" applyFill="1" applyBorder="1" applyAlignment="1">
      <alignment horizontal="center" vertical="center"/>
    </xf>
    <xf numFmtId="0" fontId="42" fillId="0" borderId="0" xfId="0" applyFont="1">
      <alignment vertical="center"/>
    </xf>
    <xf numFmtId="0" fontId="26" fillId="15" borderId="6" xfId="1" applyFont="1" applyFill="1" applyBorder="1" applyAlignment="1">
      <alignment horizontal="center" vertical="center"/>
    </xf>
    <xf numFmtId="0" fontId="28" fillId="0" borderId="82" xfId="0" applyFont="1" applyBorder="1" applyAlignment="1">
      <alignment horizontal="center" vertical="center"/>
    </xf>
    <xf numFmtId="0" fontId="28" fillId="13" borderId="0" xfId="0" applyFont="1" applyFill="1" applyAlignment="1">
      <alignment horizontal="center" vertical="center"/>
    </xf>
    <xf numFmtId="0" fontId="28" fillId="14" borderId="0" xfId="0" applyFont="1" applyFill="1" applyAlignment="1">
      <alignment horizontal="center" vertical="center"/>
    </xf>
    <xf numFmtId="0" fontId="28" fillId="2" borderId="21" xfId="0" applyFont="1" applyFill="1" applyBorder="1">
      <alignment vertical="center"/>
    </xf>
    <xf numFmtId="0" fontId="28" fillId="2" borderId="22" xfId="0" applyFont="1" applyFill="1" applyBorder="1">
      <alignment vertical="center"/>
    </xf>
    <xf numFmtId="0" fontId="28" fillId="2" borderId="38" xfId="0" applyFont="1" applyFill="1" applyBorder="1">
      <alignment vertical="center"/>
    </xf>
    <xf numFmtId="0" fontId="28" fillId="3" borderId="23" xfId="0" applyFont="1" applyFill="1" applyBorder="1">
      <alignment vertical="center"/>
    </xf>
    <xf numFmtId="0" fontId="28" fillId="3" borderId="15" xfId="0" applyFont="1" applyFill="1" applyBorder="1">
      <alignment vertical="center"/>
    </xf>
    <xf numFmtId="0" fontId="28" fillId="3" borderId="39" xfId="0" applyFont="1" applyFill="1" applyBorder="1">
      <alignment vertical="center"/>
    </xf>
    <xf numFmtId="177" fontId="16" fillId="0" borderId="54" xfId="0" applyNumberFormat="1" applyFont="1" applyBorder="1" applyAlignment="1">
      <alignment horizontal="center" vertical="center"/>
    </xf>
    <xf numFmtId="0" fontId="42" fillId="10" borderId="28" xfId="1" applyFont="1" applyFill="1" applyBorder="1" applyAlignment="1">
      <alignment horizontal="center" vertical="center"/>
    </xf>
    <xf numFmtId="0" fontId="42" fillId="10" borderId="14" xfId="1" applyFont="1" applyFill="1" applyBorder="1" applyAlignment="1">
      <alignment horizontal="center" vertical="center"/>
    </xf>
    <xf numFmtId="0" fontId="34" fillId="2" borderId="24" xfId="0" applyFont="1" applyFill="1" applyBorder="1">
      <alignment vertical="center"/>
    </xf>
    <xf numFmtId="0" fontId="34" fillId="2" borderId="25" xfId="0" applyFont="1" applyFill="1" applyBorder="1">
      <alignment vertical="center"/>
    </xf>
    <xf numFmtId="0" fontId="34" fillId="2" borderId="40" xfId="0" applyFont="1" applyFill="1" applyBorder="1">
      <alignment vertical="center"/>
    </xf>
    <xf numFmtId="0" fontId="34" fillId="4" borderId="24" xfId="0" applyFont="1" applyFill="1" applyBorder="1">
      <alignment vertical="center"/>
    </xf>
    <xf numFmtId="0" fontId="34" fillId="4" borderId="25" xfId="0" applyFont="1" applyFill="1" applyBorder="1">
      <alignment vertical="center"/>
    </xf>
    <xf numFmtId="0" fontId="34" fillId="4" borderId="40" xfId="0" applyFont="1" applyFill="1" applyBorder="1">
      <alignment vertical="center"/>
    </xf>
    <xf numFmtId="0" fontId="28" fillId="4" borderId="21" xfId="0" applyFont="1" applyFill="1" applyBorder="1">
      <alignment vertical="center"/>
    </xf>
    <xf numFmtId="0" fontId="28" fillId="4" borderId="22" xfId="0" applyFont="1" applyFill="1" applyBorder="1">
      <alignment vertical="center"/>
    </xf>
    <xf numFmtId="0" fontId="28" fillId="4" borderId="38" xfId="0" applyFont="1" applyFill="1" applyBorder="1">
      <alignment vertical="center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176" fontId="28" fillId="0" borderId="35" xfId="0" applyNumberFormat="1" applyFont="1" applyBorder="1" applyAlignment="1">
      <alignment horizontal="center" vertical="center" wrapText="1"/>
    </xf>
    <xf numFmtId="176" fontId="28" fillId="0" borderId="36" xfId="0" applyNumberFormat="1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30" fillId="0" borderId="36" xfId="0" applyFont="1" applyBorder="1" applyAlignment="1">
      <alignment horizontal="center" vertical="center" wrapText="1"/>
    </xf>
    <xf numFmtId="0" fontId="28" fillId="10" borderId="28" xfId="1" applyFont="1" applyFill="1" applyBorder="1" applyAlignment="1">
      <alignment horizontal="center" vertical="center"/>
    </xf>
    <xf numFmtId="0" fontId="28" fillId="10" borderId="14" xfId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40" fillId="13" borderId="0" xfId="0" applyFont="1" applyFill="1" applyAlignment="1">
      <alignment horizontal="center" vertical="center"/>
    </xf>
    <xf numFmtId="0" fontId="28" fillId="12" borderId="0" xfId="0" applyFont="1" applyFill="1" applyAlignment="1">
      <alignment horizontal="center" vertical="center"/>
    </xf>
    <xf numFmtId="0" fontId="0" fillId="0" borderId="79" xfId="0" applyBorder="1">
      <alignment vertical="center"/>
    </xf>
    <xf numFmtId="0" fontId="0" fillId="0" borderId="73" xfId="0" applyBorder="1">
      <alignment vertical="center"/>
    </xf>
    <xf numFmtId="0" fontId="28" fillId="4" borderId="15" xfId="0" applyFont="1" applyFill="1" applyBorder="1" applyAlignment="1">
      <alignment horizontal="left" vertical="center"/>
    </xf>
    <xf numFmtId="0" fontId="28" fillId="4" borderId="39" xfId="0" applyFont="1" applyFill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6" fillId="0" borderId="18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39" fillId="0" borderId="0" xfId="0" applyFont="1" applyAlignment="1">
      <alignment horizontal="left" vertical="center"/>
    </xf>
    <xf numFmtId="0" fontId="39" fillId="2" borderId="0" xfId="0" applyFont="1" applyFill="1" applyAlignment="1">
      <alignment horizontal="left" vertical="center"/>
    </xf>
    <xf numFmtId="0" fontId="34" fillId="2" borderId="47" xfId="0" applyFont="1" applyFill="1" applyBorder="1">
      <alignment vertical="center"/>
    </xf>
    <xf numFmtId="0" fontId="34" fillId="2" borderId="44" xfId="0" applyFont="1" applyFill="1" applyBorder="1">
      <alignment vertical="center"/>
    </xf>
    <xf numFmtId="0" fontId="34" fillId="2" borderId="52" xfId="0" applyFont="1" applyFill="1" applyBorder="1">
      <alignment vertical="center"/>
    </xf>
    <xf numFmtId="0" fontId="28" fillId="4" borderId="45" xfId="0" applyFont="1" applyFill="1" applyBorder="1">
      <alignment vertical="center"/>
    </xf>
    <xf numFmtId="0" fontId="28" fillId="4" borderId="46" xfId="0" applyFont="1" applyFill="1" applyBorder="1">
      <alignment vertical="center"/>
    </xf>
    <xf numFmtId="0" fontId="28" fillId="4" borderId="53" xfId="0" applyFont="1" applyFill="1" applyBorder="1">
      <alignment vertical="center"/>
    </xf>
    <xf numFmtId="0" fontId="7" fillId="11" borderId="4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7" fillId="11" borderId="7" xfId="0" applyFont="1" applyFill="1" applyBorder="1" applyAlignment="1">
      <alignment horizontal="center" vertical="center" wrapText="1"/>
    </xf>
    <xf numFmtId="0" fontId="26" fillId="0" borderId="64" xfId="0" applyFont="1" applyBorder="1" applyAlignment="1">
      <alignment horizontal="center" vertical="center" wrapText="1"/>
    </xf>
    <xf numFmtId="176" fontId="29" fillId="2" borderId="26" xfId="0" applyNumberFormat="1" applyFont="1" applyFill="1" applyBorder="1" applyAlignment="1">
      <alignment horizontal="center" vertical="center" wrapText="1"/>
    </xf>
    <xf numFmtId="176" fontId="29" fillId="2" borderId="27" xfId="0" applyNumberFormat="1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176" fontId="26" fillId="0" borderId="18" xfId="0" applyNumberFormat="1" applyFont="1" applyBorder="1" applyAlignment="1">
      <alignment horizontal="center" vertical="center" wrapText="1"/>
    </xf>
    <xf numFmtId="176" fontId="26" fillId="0" borderId="19" xfId="0" applyNumberFormat="1" applyFont="1" applyBorder="1" applyAlignment="1">
      <alignment horizontal="center" vertical="center" wrapText="1"/>
    </xf>
    <xf numFmtId="176" fontId="26" fillId="0" borderId="21" xfId="0" applyNumberFormat="1" applyFont="1" applyBorder="1" applyAlignment="1">
      <alignment horizontal="center" vertical="center" wrapText="1"/>
    </xf>
    <xf numFmtId="176" fontId="26" fillId="0" borderId="73" xfId="0" applyNumberFormat="1" applyFont="1" applyBorder="1" applyAlignment="1">
      <alignment horizontal="center" vertical="center" wrapText="1"/>
    </xf>
    <xf numFmtId="176" fontId="26" fillId="0" borderId="24" xfId="0" applyNumberFormat="1" applyFont="1" applyBorder="1" applyAlignment="1">
      <alignment horizontal="center" vertical="center" wrapText="1"/>
    </xf>
    <xf numFmtId="1" fontId="26" fillId="0" borderId="76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2" borderId="18" xfId="0" applyNumberFormat="1" applyFont="1" applyFill="1" applyBorder="1" applyAlignment="1">
      <alignment horizontal="center" vertical="center"/>
    </xf>
    <xf numFmtId="1" fontId="26" fillId="2" borderId="11" xfId="0" applyNumberFormat="1" applyFont="1" applyFill="1" applyBorder="1" applyAlignment="1">
      <alignment horizontal="center" vertical="center"/>
    </xf>
    <xf numFmtId="1" fontId="26" fillId="0" borderId="11" xfId="0" applyNumberFormat="1" applyFont="1" applyBorder="1" applyAlignment="1">
      <alignment horizontal="center" vertical="center"/>
    </xf>
    <xf numFmtId="1" fontId="26" fillId="0" borderId="19" xfId="0" applyNumberFormat="1" applyFont="1" applyBorder="1" applyAlignment="1">
      <alignment horizontal="center" vertical="center"/>
    </xf>
  </cellXfs>
  <cellStyles count="6">
    <cellStyle name="Excel Built-in Normal" xfId="5" xr:uid="{111135D7-59C5-40A9-9B6E-95E24CB8B98D}"/>
    <cellStyle name="Normal 2 2" xfId="1" xr:uid="{18B20DA2-9727-485A-BB76-97FD1AC3277A}"/>
    <cellStyle name="常规" xfId="0" builtinId="0"/>
    <cellStyle name="解释性文本" xfId="3" builtinId="53"/>
    <cellStyle name="一般 10" xfId="4" xr:uid="{FAA505EF-71ED-4F6C-82AD-176C1DBB8A86}"/>
    <cellStyle name="一般 5" xfId="2" xr:uid="{9124C079-D754-4029-83E0-5C095399D411}"/>
  </cellStyles>
  <dxfs count="1363"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FF999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FF9999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FF999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FF9999"/>
        </patternFill>
      </fill>
    </dxf>
    <dxf>
      <font>
        <color rgb="FFBFBFBF"/>
      </font>
    </dxf>
    <dxf>
      <font>
        <color rgb="FFBFBFBF"/>
      </font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FF9999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6" tint="0.59996337778862885"/>
        </patternFill>
      </fill>
    </dxf>
    <dxf>
      <fill>
        <patternFill>
          <bgColor theme="7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color rgb="FFBFBFBF"/>
      </font>
    </dxf>
    <dxf>
      <font>
        <color rgb="FFBFBFBF"/>
      </font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FF999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>
    <mruColors>
      <color rgb="FF66FFFF"/>
      <color rgb="FF0099FF"/>
      <color rgb="FFFCE4D6"/>
      <color rgb="FFE6B8B7"/>
      <color rgb="FFEEFEA0"/>
      <color rgb="FFFFFFCC"/>
      <color rgb="FFF4A6A6"/>
      <color rgb="FFFF9999"/>
      <color rgb="FFFF3537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653143</xdr:colOff>
      <xdr:row>0</xdr:row>
      <xdr:rowOff>81642</xdr:rowOff>
    </xdr:from>
    <xdr:to>
      <xdr:col>3</xdr:col>
      <xdr:colOff>36763</xdr:colOff>
      <xdr:row>3</xdr:row>
      <xdr:rowOff>10797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56FBC16-3465-6886-B192-514836D61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607" y="81642"/>
          <a:ext cx="1438299" cy="7455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31750</xdr:colOff>
      <xdr:row>0</xdr:row>
      <xdr:rowOff>88446</xdr:rowOff>
    </xdr:from>
    <xdr:to>
      <xdr:col>2</xdr:col>
      <xdr:colOff>1488684</xdr:colOff>
      <xdr:row>2</xdr:row>
      <xdr:rowOff>259442</xdr:rowOff>
    </xdr:to>
    <xdr:pic>
      <xdr:nvPicPr>
        <xdr:cNvPr id="2" name="圖片 3">
          <a:extLst>
            <a:ext uri="{FF2B5EF4-FFF2-40B4-BE49-F238E27FC236}">
              <a16:creationId xmlns:a16="http://schemas.microsoft.com/office/drawing/2014/main" id="{550326B7-F42B-429D-BF3B-DD514928B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571" y="88446"/>
          <a:ext cx="1456934" cy="7152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621393</xdr:colOff>
      <xdr:row>0</xdr:row>
      <xdr:rowOff>104321</xdr:rowOff>
    </xdr:from>
    <xdr:to>
      <xdr:col>3</xdr:col>
      <xdr:colOff>76716</xdr:colOff>
      <xdr:row>3</xdr:row>
      <xdr:rowOff>6349</xdr:rowOff>
    </xdr:to>
    <xdr:pic>
      <xdr:nvPicPr>
        <xdr:cNvPr id="2" name="圖片 3">
          <a:extLst>
            <a:ext uri="{FF2B5EF4-FFF2-40B4-BE49-F238E27FC236}">
              <a16:creationId xmlns:a16="http://schemas.microsoft.com/office/drawing/2014/main" id="{3810247D-4A55-4F24-947A-FE7ABEC36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250" y="104321"/>
          <a:ext cx="1578037" cy="718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C31C-5F60-4271-9B54-00C629EC2180}">
  <sheetPr>
    <pageSetUpPr fitToPage="1"/>
  </sheetPr>
  <dimension ref="A1:BD137"/>
  <sheetViews>
    <sheetView tabSelected="1" view="pageBreakPreview" zoomScale="60" zoomScaleNormal="70" workbookViewId="0">
      <pane xSplit="8" ySplit="7" topLeftCell="I8" activePane="bottomRight" state="frozen"/>
      <selection pane="topRight" activeCell="H1" sqref="H1"/>
      <selection pane="bottomLeft" activeCell="A5" sqref="A5"/>
      <selection pane="bottomRight" activeCell="AK39" sqref="AK39"/>
    </sheetView>
  </sheetViews>
  <sheetFormatPr defaultColWidth="9" defaultRowHeight="21" outlineLevelCol="1"/>
  <cols>
    <col min="1" max="1" width="1.625" style="12" customWidth="1"/>
    <col min="2" max="2" width="9" style="31" customWidth="1"/>
    <col min="3" max="3" width="18" style="32" customWidth="1"/>
    <col min="4" max="4" width="19.25" style="32" customWidth="1"/>
    <col min="5" max="5" width="7.625" style="32" hidden="1" customWidth="1" outlineLevel="1"/>
    <col min="6" max="6" width="15.5" style="32" hidden="1" customWidth="1" outlineLevel="1"/>
    <col min="7" max="7" width="13.375" style="32" hidden="1" customWidth="1" outlineLevel="1"/>
    <col min="8" max="8" width="8.375" style="31" customWidth="1" collapsed="1"/>
    <col min="9" max="31" width="6.625" style="31" customWidth="1"/>
    <col min="32" max="35" width="6.625" style="38" customWidth="1"/>
    <col min="36" max="39" width="6.625" style="31" customWidth="1"/>
    <col min="40" max="41" width="9.625" style="32" customWidth="1"/>
    <col min="42" max="42" width="9.5" style="12" hidden="1" customWidth="1" outlineLevel="1"/>
    <col min="43" max="55" width="9" style="12" hidden="1" customWidth="1" outlineLevel="1"/>
    <col min="56" max="56" width="9" style="12" collapsed="1"/>
    <col min="57" max="16384" width="9" style="12"/>
  </cols>
  <sheetData>
    <row r="1" spans="2:55" ht="21.95" customHeight="1">
      <c r="B1" s="411" t="s">
        <v>74</v>
      </c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411"/>
      <c r="O1" s="411"/>
      <c r="P1" s="411"/>
      <c r="Q1" s="411"/>
      <c r="R1" s="411"/>
      <c r="S1" s="411"/>
      <c r="T1" s="411"/>
      <c r="U1" s="411"/>
      <c r="V1" s="411"/>
      <c r="W1" s="411"/>
      <c r="X1" s="411"/>
      <c r="Y1" s="411"/>
      <c r="Z1" s="411"/>
      <c r="AA1" s="411"/>
      <c r="AB1" s="411"/>
      <c r="AC1" s="411"/>
      <c r="AD1" s="411"/>
      <c r="AE1" s="411"/>
      <c r="AF1" s="411"/>
      <c r="AG1" s="411"/>
      <c r="AH1" s="411"/>
      <c r="AI1" s="411"/>
      <c r="AJ1" s="411"/>
      <c r="AK1" s="411"/>
      <c r="AL1" s="411"/>
      <c r="AM1" s="411"/>
      <c r="AN1" s="411"/>
      <c r="AO1" s="411"/>
    </row>
    <row r="2" spans="2:55" ht="21.95" customHeight="1">
      <c r="B2" s="411" t="s">
        <v>1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1"/>
      <c r="Z2" s="411"/>
      <c r="AA2" s="411"/>
      <c r="AB2" s="411"/>
      <c r="AC2" s="411"/>
      <c r="AD2" s="411"/>
      <c r="AE2" s="411"/>
      <c r="AF2" s="411"/>
      <c r="AG2" s="411"/>
      <c r="AH2" s="411"/>
      <c r="AI2" s="411"/>
      <c r="AJ2" s="411"/>
      <c r="AK2" s="411"/>
      <c r="AL2" s="411"/>
      <c r="AM2" s="411"/>
      <c r="AN2" s="411"/>
      <c r="AO2" s="411"/>
    </row>
    <row r="3" spans="2:55" ht="21.95" customHeight="1">
      <c r="B3" s="411" t="str">
        <f>YEAR(P6)&amp;"年"&amp;MONTH(P6)&amp;"月保安出勤及休假記錄  (早更 07:30 - 15:30)"</f>
        <v>2026年3月保安出勤及休假記錄  (早更 07:30 - 15:30)</v>
      </c>
      <c r="C3" s="411"/>
      <c r="D3" s="411"/>
      <c r="E3" s="411"/>
      <c r="F3" s="411"/>
      <c r="G3" s="411"/>
      <c r="H3" s="411"/>
      <c r="I3" s="411"/>
      <c r="J3" s="411"/>
      <c r="K3" s="411"/>
      <c r="L3" s="411"/>
      <c r="M3" s="411"/>
      <c r="N3" s="411"/>
      <c r="O3" s="411"/>
      <c r="P3" s="411"/>
      <c r="Q3" s="411"/>
      <c r="R3" s="411"/>
      <c r="S3" s="411"/>
      <c r="T3" s="411"/>
      <c r="U3" s="411"/>
      <c r="V3" s="411"/>
      <c r="W3" s="411"/>
      <c r="X3" s="411"/>
      <c r="Y3" s="411"/>
      <c r="Z3" s="411"/>
      <c r="AA3" s="411"/>
      <c r="AB3" s="411"/>
      <c r="AC3" s="411"/>
      <c r="AD3" s="411"/>
      <c r="AE3" s="411"/>
      <c r="AF3" s="411"/>
      <c r="AG3" s="411"/>
      <c r="AH3" s="411"/>
      <c r="AI3" s="411"/>
      <c r="AJ3" s="411"/>
      <c r="AK3" s="411"/>
      <c r="AL3" s="411"/>
      <c r="AM3" s="411"/>
      <c r="AN3" s="411"/>
      <c r="AO3" s="411"/>
    </row>
    <row r="4" spans="2:55" ht="21.95" customHeight="1">
      <c r="C4" s="33" t="s">
        <v>2</v>
      </c>
      <c r="I4" s="88"/>
      <c r="J4" s="88"/>
      <c r="K4" s="88"/>
      <c r="L4" s="88"/>
      <c r="M4" s="88"/>
      <c r="N4" s="88"/>
      <c r="O4" s="412" t="s">
        <v>92</v>
      </c>
      <c r="P4" s="412"/>
      <c r="Q4" s="412"/>
      <c r="R4" s="412"/>
      <c r="S4" s="412"/>
      <c r="T4" s="412"/>
      <c r="U4" s="412"/>
      <c r="V4" s="412"/>
      <c r="W4" s="412"/>
      <c r="X4" s="412"/>
      <c r="Y4" s="412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34"/>
      <c r="AO4" s="34"/>
    </row>
    <row r="5" spans="2:55" ht="21.95" customHeight="1" thickBot="1">
      <c r="B5" s="89" t="s">
        <v>93</v>
      </c>
      <c r="C5" s="90"/>
      <c r="D5" s="90"/>
      <c r="E5" s="90"/>
      <c r="F5" s="90"/>
      <c r="G5" s="90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0"/>
      <c r="AO5" s="90"/>
    </row>
    <row r="6" spans="2:55" ht="21.75" customHeight="1">
      <c r="B6" s="92"/>
      <c r="C6" s="93"/>
      <c r="D6" s="94"/>
      <c r="E6" s="95"/>
      <c r="F6" s="96"/>
      <c r="G6" s="97"/>
      <c r="H6" s="92"/>
      <c r="I6" s="98">
        <v>46082</v>
      </c>
      <c r="J6" s="98">
        <f>I6+1</f>
        <v>46083</v>
      </c>
      <c r="K6" s="98">
        <f t="shared" ref="K6:AF6" si="0">J6+1</f>
        <v>46084</v>
      </c>
      <c r="L6" s="98">
        <f t="shared" si="0"/>
        <v>46085</v>
      </c>
      <c r="M6" s="98">
        <f t="shared" si="0"/>
        <v>46086</v>
      </c>
      <c r="N6" s="98">
        <f t="shared" si="0"/>
        <v>46087</v>
      </c>
      <c r="O6" s="98">
        <f t="shared" si="0"/>
        <v>46088</v>
      </c>
      <c r="P6" s="98">
        <f t="shared" si="0"/>
        <v>46089</v>
      </c>
      <c r="Q6" s="98">
        <f t="shared" si="0"/>
        <v>46090</v>
      </c>
      <c r="R6" s="98">
        <f t="shared" si="0"/>
        <v>46091</v>
      </c>
      <c r="S6" s="98">
        <f>R6+1</f>
        <v>46092</v>
      </c>
      <c r="T6" s="98">
        <f t="shared" ref="T6:AC6" si="1">S6+1</f>
        <v>46093</v>
      </c>
      <c r="U6" s="98">
        <f t="shared" si="1"/>
        <v>46094</v>
      </c>
      <c r="V6" s="98">
        <f t="shared" si="1"/>
        <v>46095</v>
      </c>
      <c r="W6" s="98">
        <f t="shared" si="1"/>
        <v>46096</v>
      </c>
      <c r="X6" s="98">
        <f t="shared" si="1"/>
        <v>46097</v>
      </c>
      <c r="Y6" s="98">
        <f t="shared" si="1"/>
        <v>46098</v>
      </c>
      <c r="Z6" s="98">
        <f t="shared" si="1"/>
        <v>46099</v>
      </c>
      <c r="AA6" s="98">
        <f t="shared" si="1"/>
        <v>46100</v>
      </c>
      <c r="AB6" s="98">
        <f t="shared" si="1"/>
        <v>46101</v>
      </c>
      <c r="AC6" s="98">
        <f t="shared" si="1"/>
        <v>46102</v>
      </c>
      <c r="AD6" s="98">
        <f t="shared" si="0"/>
        <v>46103</v>
      </c>
      <c r="AE6" s="98">
        <f t="shared" si="0"/>
        <v>46104</v>
      </c>
      <c r="AF6" s="98">
        <f t="shared" si="0"/>
        <v>46105</v>
      </c>
      <c r="AG6" s="98">
        <f>AF6+1</f>
        <v>46106</v>
      </c>
      <c r="AH6" s="98">
        <f t="shared" ref="AH6:AM6" si="2">AG6+1</f>
        <v>46107</v>
      </c>
      <c r="AI6" s="98">
        <f t="shared" si="2"/>
        <v>46108</v>
      </c>
      <c r="AJ6" s="98">
        <f t="shared" si="2"/>
        <v>46109</v>
      </c>
      <c r="AK6" s="98">
        <f t="shared" si="2"/>
        <v>46110</v>
      </c>
      <c r="AL6" s="98">
        <f t="shared" si="2"/>
        <v>46111</v>
      </c>
      <c r="AM6" s="99">
        <f t="shared" si="2"/>
        <v>46112</v>
      </c>
      <c r="AN6" s="415" t="s">
        <v>94</v>
      </c>
      <c r="AO6" s="417" t="s">
        <v>175</v>
      </c>
      <c r="AP6" s="328" t="s">
        <v>85</v>
      </c>
      <c r="AQ6" s="57" t="s">
        <v>3</v>
      </c>
      <c r="AR6" s="57" t="s">
        <v>4</v>
      </c>
      <c r="AS6" s="57" t="s">
        <v>5</v>
      </c>
      <c r="AT6" s="79" t="s">
        <v>6</v>
      </c>
      <c r="AU6" s="43" t="s">
        <v>3</v>
      </c>
      <c r="AV6" s="16" t="s">
        <v>3</v>
      </c>
      <c r="AW6" s="29" t="s">
        <v>7</v>
      </c>
      <c r="AX6" s="16" t="s">
        <v>76</v>
      </c>
      <c r="AY6" s="17" t="s">
        <v>5</v>
      </c>
      <c r="AZ6" s="16" t="s">
        <v>8</v>
      </c>
      <c r="BA6" s="16" t="s">
        <v>9</v>
      </c>
      <c r="BB6" s="16" t="s">
        <v>10</v>
      </c>
      <c r="BC6" s="413" t="s">
        <v>11</v>
      </c>
    </row>
    <row r="7" spans="2:55" ht="21.95" customHeight="1" thickBot="1">
      <c r="B7" s="102" t="s">
        <v>95</v>
      </c>
      <c r="C7" s="102" t="s">
        <v>96</v>
      </c>
      <c r="D7" s="103" t="s">
        <v>97</v>
      </c>
      <c r="E7" s="104" t="s">
        <v>12</v>
      </c>
      <c r="F7" s="105" t="s">
        <v>98</v>
      </c>
      <c r="G7" s="106" t="s">
        <v>99</v>
      </c>
      <c r="H7" s="102" t="s">
        <v>100</v>
      </c>
      <c r="I7" s="107" t="str">
        <f t="shared" ref="I7:AM7" si="3">SUBSTITUTE(TEXT(I6,"aaa"),"週","")</f>
        <v>日</v>
      </c>
      <c r="J7" s="107" t="str">
        <f t="shared" si="3"/>
        <v>一</v>
      </c>
      <c r="K7" s="107" t="str">
        <f t="shared" si="3"/>
        <v>二</v>
      </c>
      <c r="L7" s="107" t="str">
        <f t="shared" si="3"/>
        <v>三</v>
      </c>
      <c r="M7" s="107" t="str">
        <f t="shared" si="3"/>
        <v>四</v>
      </c>
      <c r="N7" s="107" t="str">
        <f t="shared" si="3"/>
        <v>五</v>
      </c>
      <c r="O7" s="107" t="str">
        <f t="shared" si="3"/>
        <v>六</v>
      </c>
      <c r="P7" s="107" t="str">
        <f t="shared" si="3"/>
        <v>日</v>
      </c>
      <c r="Q7" s="107" t="str">
        <f t="shared" si="3"/>
        <v>一</v>
      </c>
      <c r="R7" s="107" t="str">
        <f t="shared" si="3"/>
        <v>二</v>
      </c>
      <c r="S7" s="107" t="str">
        <f t="shared" si="3"/>
        <v>三</v>
      </c>
      <c r="T7" s="107" t="str">
        <f t="shared" si="3"/>
        <v>四</v>
      </c>
      <c r="U7" s="107" t="str">
        <f t="shared" si="3"/>
        <v>五</v>
      </c>
      <c r="V7" s="107" t="str">
        <f t="shared" si="3"/>
        <v>六</v>
      </c>
      <c r="W7" s="107" t="str">
        <f t="shared" si="3"/>
        <v>日</v>
      </c>
      <c r="X7" s="107" t="str">
        <f t="shared" si="3"/>
        <v>一</v>
      </c>
      <c r="Y7" s="107" t="str">
        <f t="shared" si="3"/>
        <v>二</v>
      </c>
      <c r="Z7" s="107" t="str">
        <f t="shared" si="3"/>
        <v>三</v>
      </c>
      <c r="AA7" s="107" t="str">
        <f t="shared" si="3"/>
        <v>四</v>
      </c>
      <c r="AB7" s="107" t="str">
        <f t="shared" si="3"/>
        <v>五</v>
      </c>
      <c r="AC7" s="107" t="str">
        <f t="shared" si="3"/>
        <v>六</v>
      </c>
      <c r="AD7" s="107" t="str">
        <f t="shared" si="3"/>
        <v>日</v>
      </c>
      <c r="AE7" s="107" t="str">
        <f t="shared" si="3"/>
        <v>一</v>
      </c>
      <c r="AF7" s="107" t="str">
        <f t="shared" si="3"/>
        <v>二</v>
      </c>
      <c r="AG7" s="107" t="str">
        <f t="shared" ref="AG7:AI7" si="4">SUBSTITUTE(TEXT(AG6,"aaa"),"週","")</f>
        <v>三</v>
      </c>
      <c r="AH7" s="107" t="str">
        <f t="shared" si="4"/>
        <v>四</v>
      </c>
      <c r="AI7" s="107" t="str">
        <f t="shared" si="4"/>
        <v>五</v>
      </c>
      <c r="AJ7" s="107" t="str">
        <f t="shared" si="3"/>
        <v>六</v>
      </c>
      <c r="AK7" s="107" t="str">
        <f t="shared" si="3"/>
        <v>日</v>
      </c>
      <c r="AL7" s="107" t="str">
        <f t="shared" si="3"/>
        <v>一</v>
      </c>
      <c r="AM7" s="108" t="str">
        <f t="shared" si="3"/>
        <v>二</v>
      </c>
      <c r="AN7" s="416"/>
      <c r="AO7" s="418"/>
      <c r="AP7" s="329" t="s">
        <v>86</v>
      </c>
      <c r="AQ7" s="59" t="s">
        <v>87</v>
      </c>
      <c r="AR7" s="59" t="s">
        <v>88</v>
      </c>
      <c r="AS7" s="59" t="s">
        <v>89</v>
      </c>
      <c r="AT7" s="80" t="s">
        <v>90</v>
      </c>
      <c r="AU7" s="47" t="s">
        <v>18</v>
      </c>
      <c r="AV7" s="19" t="s">
        <v>19</v>
      </c>
      <c r="AW7" s="20"/>
      <c r="AX7" s="19" t="s">
        <v>19</v>
      </c>
      <c r="AY7" s="19" t="s">
        <v>19</v>
      </c>
      <c r="AZ7" s="21" t="s">
        <v>19</v>
      </c>
      <c r="BA7" s="21" t="s">
        <v>19</v>
      </c>
      <c r="BB7" s="21" t="s">
        <v>19</v>
      </c>
      <c r="BC7" s="414"/>
    </row>
    <row r="8" spans="2:55" s="1" customFormat="1" ht="21.95" customHeight="1">
      <c r="B8" s="308" t="s">
        <v>20</v>
      </c>
      <c r="C8" s="233">
        <v>4940</v>
      </c>
      <c r="D8" s="311" t="s">
        <v>101</v>
      </c>
      <c r="E8" s="109" t="s">
        <v>21</v>
      </c>
      <c r="F8" s="110" t="s">
        <v>22</v>
      </c>
      <c r="G8" s="111">
        <v>8</v>
      </c>
      <c r="H8" s="112" t="s">
        <v>102</v>
      </c>
      <c r="I8" s="113">
        <v>8</v>
      </c>
      <c r="J8" s="114">
        <v>8</v>
      </c>
      <c r="K8" s="114">
        <v>8</v>
      </c>
      <c r="L8" s="114">
        <v>8</v>
      </c>
      <c r="M8" s="114">
        <v>8</v>
      </c>
      <c r="N8" s="114" t="s">
        <v>41</v>
      </c>
      <c r="O8" s="114">
        <v>8</v>
      </c>
      <c r="P8" s="114">
        <v>8</v>
      </c>
      <c r="Q8" s="114">
        <v>8</v>
      </c>
      <c r="R8" s="114">
        <v>8</v>
      </c>
      <c r="S8" s="114">
        <v>8</v>
      </c>
      <c r="T8" s="114">
        <v>8</v>
      </c>
      <c r="U8" s="114">
        <v>8</v>
      </c>
      <c r="V8" s="114">
        <v>8</v>
      </c>
      <c r="W8" s="114">
        <v>8</v>
      </c>
      <c r="X8" s="114" t="s">
        <v>76</v>
      </c>
      <c r="Y8" s="114">
        <v>8</v>
      </c>
      <c r="Z8" s="114">
        <v>8</v>
      </c>
      <c r="AA8" s="114">
        <v>8</v>
      </c>
      <c r="AB8" s="114">
        <v>8</v>
      </c>
      <c r="AC8" s="114">
        <v>8</v>
      </c>
      <c r="AD8" s="114">
        <v>8</v>
      </c>
      <c r="AE8" s="115" t="s">
        <v>76</v>
      </c>
      <c r="AF8" s="114">
        <v>8</v>
      </c>
      <c r="AG8" s="114">
        <v>8</v>
      </c>
      <c r="AH8" s="114">
        <v>8</v>
      </c>
      <c r="AI8" s="114" t="s">
        <v>76</v>
      </c>
      <c r="AJ8" s="114">
        <v>8</v>
      </c>
      <c r="AK8" s="114">
        <v>8</v>
      </c>
      <c r="AL8" s="114" t="s">
        <v>76</v>
      </c>
      <c r="AM8" s="116">
        <v>8</v>
      </c>
      <c r="AN8" s="390">
        <f>COUNT(I8:AM8)</f>
        <v>26</v>
      </c>
      <c r="AO8" s="117">
        <f>SUM(I8:AM8)</f>
        <v>208</v>
      </c>
      <c r="AP8" s="330">
        <f>COUNTIFS($I8:$AM8,"SH")+COUNTIFS($I8:$AM8,"NSH")</f>
        <v>4</v>
      </c>
      <c r="AQ8" s="3">
        <f>COUNTIFS($I8:$AM8,#REF!)</f>
        <v>0</v>
      </c>
      <c r="AR8" s="3">
        <f>COUNTIFS($I8:$AM8,#REF!)</f>
        <v>0</v>
      </c>
      <c r="AS8" s="3">
        <f>COUNTIFS($I8:$AM8,#REF!)</f>
        <v>0</v>
      </c>
      <c r="AT8" s="76">
        <f>COUNTIFS($I8:$AM8,#REF!)</f>
        <v>0</v>
      </c>
      <c r="AU8" s="74" t="e">
        <f>#REF!</f>
        <v>#REF!</v>
      </c>
      <c r="AV8" s="6">
        <f>COUNTIF(W8:AO8,"RD")</f>
        <v>0</v>
      </c>
      <c r="AW8" s="6" t="e">
        <f t="shared" ref="AW8:AW10" si="5">AU8-AV8</f>
        <v>#REF!</v>
      </c>
      <c r="AX8" s="6">
        <f>COUNTIF(W8:AO8,"SH")</f>
        <v>0</v>
      </c>
      <c r="AY8" s="6">
        <f>COUNTIF(W8:AO8,"SL")</f>
        <v>0</v>
      </c>
      <c r="AZ8" s="6">
        <f>COUNTIF(W8:AO8,"np")</f>
        <v>0</v>
      </c>
      <c r="BA8" s="6">
        <f>COUNTIF(W8:AO8,"AL*")</f>
        <v>0</v>
      </c>
      <c r="BB8" s="6">
        <f>COUNTIF(W8:AO8,"NC*")</f>
        <v>0</v>
      </c>
      <c r="BC8" s="65"/>
    </row>
    <row r="9" spans="2:55" s="1" customFormat="1" ht="21.95" customHeight="1">
      <c r="B9" s="309" t="s">
        <v>23</v>
      </c>
      <c r="C9" s="237">
        <v>4950</v>
      </c>
      <c r="D9" s="240" t="s">
        <v>103</v>
      </c>
      <c r="E9" s="109" t="s">
        <v>21</v>
      </c>
      <c r="F9" s="110" t="s">
        <v>22</v>
      </c>
      <c r="G9" s="111">
        <v>8</v>
      </c>
      <c r="H9" s="112" t="s">
        <v>102</v>
      </c>
      <c r="I9" s="120" t="s">
        <v>41</v>
      </c>
      <c r="J9" s="121">
        <v>8</v>
      </c>
      <c r="K9" s="121">
        <v>8</v>
      </c>
      <c r="L9" s="121">
        <v>8</v>
      </c>
      <c r="M9" s="121">
        <v>8</v>
      </c>
      <c r="N9" s="121">
        <v>8</v>
      </c>
      <c r="O9" s="121">
        <v>8</v>
      </c>
      <c r="P9" s="121" t="s">
        <v>76</v>
      </c>
      <c r="Q9" s="121">
        <v>8</v>
      </c>
      <c r="R9" s="121">
        <v>8</v>
      </c>
      <c r="S9" s="121">
        <v>8</v>
      </c>
      <c r="T9" s="121">
        <v>8</v>
      </c>
      <c r="U9" s="121">
        <v>8</v>
      </c>
      <c r="V9" s="121" t="s">
        <v>76</v>
      </c>
      <c r="W9" s="121">
        <v>8</v>
      </c>
      <c r="X9" s="121">
        <v>8</v>
      </c>
      <c r="Y9" s="121">
        <v>8</v>
      </c>
      <c r="Z9" s="121">
        <v>8</v>
      </c>
      <c r="AA9" s="121">
        <v>8</v>
      </c>
      <c r="AB9" s="121">
        <v>8</v>
      </c>
      <c r="AC9" s="121">
        <v>8</v>
      </c>
      <c r="AD9" s="121">
        <v>8</v>
      </c>
      <c r="AE9" s="121">
        <v>8</v>
      </c>
      <c r="AF9" s="121">
        <v>8</v>
      </c>
      <c r="AG9" s="122" t="s">
        <v>76</v>
      </c>
      <c r="AH9" s="121">
        <v>8</v>
      </c>
      <c r="AI9" s="121">
        <v>8</v>
      </c>
      <c r="AJ9" s="122" t="s">
        <v>76</v>
      </c>
      <c r="AK9" s="121">
        <v>8</v>
      </c>
      <c r="AL9" s="121">
        <v>8</v>
      </c>
      <c r="AM9" s="123">
        <v>8</v>
      </c>
      <c r="AN9" s="390">
        <f>COUNT(I9:AM9)</f>
        <v>26</v>
      </c>
      <c r="AO9" s="117">
        <f>SUM(I9:AM9)</f>
        <v>208</v>
      </c>
      <c r="AP9" s="331">
        <f>COUNTIFS($I9:$AM9,"SH")+COUNTIFS($I9:$AM9,"NSH")</f>
        <v>4</v>
      </c>
      <c r="AQ9" s="7">
        <f>COUNTIFS($I9:$AM9,#REF!)</f>
        <v>0</v>
      </c>
      <c r="AR9" s="7">
        <f>COUNTIFS($I9:$AM9,#REF!)</f>
        <v>0</v>
      </c>
      <c r="AS9" s="7">
        <f>COUNTIFS($I9:$AM9,#REF!)</f>
        <v>0</v>
      </c>
      <c r="AT9" s="9">
        <f>COUNTIFS($I9:$AM9,#REF!)</f>
        <v>0</v>
      </c>
      <c r="AU9" s="46" t="e">
        <f>#REF!</f>
        <v>#REF!</v>
      </c>
      <c r="AV9" s="8">
        <f>COUNTIF(W9:AO9,"RD")</f>
        <v>0</v>
      </c>
      <c r="AW9" s="8" t="e">
        <f t="shared" si="5"/>
        <v>#REF!</v>
      </c>
      <c r="AX9" s="8">
        <f>COUNTIF(W9:AO9,"SH")</f>
        <v>0</v>
      </c>
      <c r="AY9" s="8">
        <f>COUNTIF(W9:AO9,"SL")</f>
        <v>0</v>
      </c>
      <c r="AZ9" s="8">
        <f>COUNTIF(W9:AO9,"np")</f>
        <v>0</v>
      </c>
      <c r="BA9" s="8">
        <f>COUNTIF(W9:AO9,"AL*")</f>
        <v>0</v>
      </c>
      <c r="BB9" s="8">
        <f>COUNTIF(W9:AO9,"NC*")</f>
        <v>0</v>
      </c>
      <c r="BC9" s="63"/>
    </row>
    <row r="10" spans="2:55" s="1" customFormat="1" ht="21.95" customHeight="1" thickBot="1">
      <c r="B10" s="310" t="s">
        <v>28</v>
      </c>
      <c r="C10" s="102">
        <v>4941</v>
      </c>
      <c r="D10" s="312" t="s">
        <v>104</v>
      </c>
      <c r="E10" s="124" t="s">
        <v>25</v>
      </c>
      <c r="F10" s="125" t="s">
        <v>26</v>
      </c>
      <c r="G10" s="126">
        <v>8</v>
      </c>
      <c r="H10" s="127" t="s">
        <v>102</v>
      </c>
      <c r="I10" s="128">
        <v>8</v>
      </c>
      <c r="J10" s="129" t="s">
        <v>73</v>
      </c>
      <c r="K10" s="130" t="s">
        <v>76</v>
      </c>
      <c r="L10" s="130" t="s">
        <v>76</v>
      </c>
      <c r="M10" s="130" t="s">
        <v>76</v>
      </c>
      <c r="N10" s="129">
        <v>8</v>
      </c>
      <c r="O10" s="129" t="s">
        <v>73</v>
      </c>
      <c r="P10" s="129">
        <v>8</v>
      </c>
      <c r="Q10" s="129" t="s">
        <v>73</v>
      </c>
      <c r="R10" s="129" t="s">
        <v>73</v>
      </c>
      <c r="S10" s="129" t="s">
        <v>73</v>
      </c>
      <c r="T10" s="129" t="s">
        <v>73</v>
      </c>
      <c r="U10" s="129" t="s">
        <v>73</v>
      </c>
      <c r="V10" s="129">
        <v>8</v>
      </c>
      <c r="W10" s="129" t="s">
        <v>73</v>
      </c>
      <c r="X10" s="129">
        <v>8</v>
      </c>
      <c r="Y10" s="129" t="s">
        <v>73</v>
      </c>
      <c r="Z10" s="129" t="s">
        <v>73</v>
      </c>
      <c r="AA10" s="129" t="s">
        <v>41</v>
      </c>
      <c r="AB10" s="129" t="s">
        <v>73</v>
      </c>
      <c r="AC10" s="129" t="s">
        <v>73</v>
      </c>
      <c r="AD10" s="129" t="s">
        <v>73</v>
      </c>
      <c r="AE10" s="129">
        <v>8</v>
      </c>
      <c r="AF10" s="129" t="s">
        <v>73</v>
      </c>
      <c r="AG10" s="129">
        <v>8</v>
      </c>
      <c r="AH10" s="129" t="s">
        <v>73</v>
      </c>
      <c r="AI10" s="129">
        <v>8</v>
      </c>
      <c r="AJ10" s="129">
        <v>8</v>
      </c>
      <c r="AK10" s="129" t="s">
        <v>73</v>
      </c>
      <c r="AL10" s="129">
        <v>8</v>
      </c>
      <c r="AM10" s="131" t="s">
        <v>73</v>
      </c>
      <c r="AN10" s="343">
        <f>COUNT(I10:AM10)</f>
        <v>10</v>
      </c>
      <c r="AO10" s="132">
        <f>SUM(I10:AM10)</f>
        <v>80</v>
      </c>
      <c r="AP10" s="332">
        <f>COUNTIFS($I10:$AM10,"SH")+COUNTIFS($I10:$AM10,"NSH")</f>
        <v>3</v>
      </c>
      <c r="AQ10" s="4">
        <f>COUNTIFS($I10:$AM10,#REF!)</f>
        <v>0</v>
      </c>
      <c r="AR10" s="4">
        <f>COUNTIFS($I10:$AM10,#REF!)</f>
        <v>0</v>
      </c>
      <c r="AS10" s="4">
        <f>COUNTIFS($I10:$AM10,#REF!)</f>
        <v>0</v>
      </c>
      <c r="AT10" s="81">
        <f>COUNTIFS($I10:$AM10,#REF!)</f>
        <v>0</v>
      </c>
      <c r="AU10" s="75" t="e">
        <f>#REF!</f>
        <v>#REF!</v>
      </c>
      <c r="AV10" s="20">
        <f>COUNTIF(W10:AO10,"RD")</f>
        <v>1</v>
      </c>
      <c r="AW10" s="20" t="e">
        <f t="shared" si="5"/>
        <v>#REF!</v>
      </c>
      <c r="AX10" s="20">
        <f>COUNTIF(W10:AO10,"SH")</f>
        <v>0</v>
      </c>
      <c r="AY10" s="20">
        <f>COUNTIF(W10:AO10,"SL")</f>
        <v>0</v>
      </c>
      <c r="AZ10" s="20">
        <f>COUNTIF(W10:AO10,"np")</f>
        <v>0</v>
      </c>
      <c r="BA10" s="20">
        <f>COUNTIF(W10:AO10,"AL*")</f>
        <v>0</v>
      </c>
      <c r="BB10" s="20">
        <f>COUNTIF(W10:AO10,"NC*")</f>
        <v>0</v>
      </c>
      <c r="BC10" s="64"/>
    </row>
    <row r="11" spans="2:55" s="1" customFormat="1" ht="21.95" customHeight="1" thickBot="1">
      <c r="B11" s="333"/>
      <c r="C11" s="90"/>
      <c r="D11" s="90"/>
      <c r="E11" s="90"/>
      <c r="F11" s="90"/>
      <c r="G11" s="90"/>
      <c r="H11" s="90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90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4">
        <f>SUM(AN8:AN10)</f>
        <v>62</v>
      </c>
      <c r="AO11" s="135">
        <f>SUM(AO8:AO10)</f>
        <v>496</v>
      </c>
    </row>
    <row r="12" spans="2:55" s="1" customFormat="1" ht="21.95" customHeight="1" thickBot="1">
      <c r="B12" s="333"/>
      <c r="C12" s="90"/>
      <c r="D12" s="90"/>
      <c r="E12" s="90"/>
      <c r="F12" s="90"/>
      <c r="G12" s="90"/>
      <c r="H12" s="90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90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90"/>
      <c r="AO12" s="334"/>
    </row>
    <row r="13" spans="2:55" s="1" customFormat="1" ht="21.95" customHeight="1" thickBot="1">
      <c r="B13" s="333"/>
      <c r="C13" s="90"/>
      <c r="D13" s="90"/>
      <c r="E13" s="90"/>
      <c r="F13" s="90"/>
      <c r="G13" s="90"/>
      <c r="H13" s="90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90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6" t="s">
        <v>105</v>
      </c>
      <c r="AO13" s="137" t="s">
        <v>106</v>
      </c>
    </row>
    <row r="14" spans="2:55" ht="21.95" customHeight="1">
      <c r="B14" s="138" t="s">
        <v>107</v>
      </c>
      <c r="C14" s="139"/>
      <c r="D14" s="140"/>
      <c r="E14" s="139"/>
      <c r="F14" s="139"/>
      <c r="G14" s="139"/>
      <c r="H14" s="141" t="s">
        <v>21</v>
      </c>
      <c r="I14" s="142">
        <f t="shared" ref="I14:AM14" si="6">COUNT(I8:I10)</f>
        <v>2</v>
      </c>
      <c r="J14" s="143">
        <f t="shared" si="6"/>
        <v>2</v>
      </c>
      <c r="K14" s="143">
        <f t="shared" si="6"/>
        <v>2</v>
      </c>
      <c r="L14" s="143">
        <f t="shared" si="6"/>
        <v>2</v>
      </c>
      <c r="M14" s="143">
        <f t="shared" si="6"/>
        <v>2</v>
      </c>
      <c r="N14" s="143">
        <f t="shared" si="6"/>
        <v>2</v>
      </c>
      <c r="O14" s="143">
        <f t="shared" si="6"/>
        <v>2</v>
      </c>
      <c r="P14" s="143">
        <f t="shared" si="6"/>
        <v>2</v>
      </c>
      <c r="Q14" s="143">
        <f t="shared" si="6"/>
        <v>2</v>
      </c>
      <c r="R14" s="143">
        <f t="shared" si="6"/>
        <v>2</v>
      </c>
      <c r="S14" s="143">
        <f t="shared" si="6"/>
        <v>2</v>
      </c>
      <c r="T14" s="143">
        <f t="shared" si="6"/>
        <v>2</v>
      </c>
      <c r="U14" s="143">
        <f t="shared" si="6"/>
        <v>2</v>
      </c>
      <c r="V14" s="143">
        <f t="shared" si="6"/>
        <v>2</v>
      </c>
      <c r="W14" s="143">
        <f t="shared" si="6"/>
        <v>2</v>
      </c>
      <c r="X14" s="143">
        <f t="shared" si="6"/>
        <v>2</v>
      </c>
      <c r="Y14" s="143">
        <f t="shared" si="6"/>
        <v>2</v>
      </c>
      <c r="Z14" s="143">
        <f t="shared" si="6"/>
        <v>2</v>
      </c>
      <c r="AA14" s="143">
        <f t="shared" si="6"/>
        <v>2</v>
      </c>
      <c r="AB14" s="143">
        <f t="shared" si="6"/>
        <v>2</v>
      </c>
      <c r="AC14" s="143">
        <f t="shared" si="6"/>
        <v>2</v>
      </c>
      <c r="AD14" s="143">
        <f t="shared" si="6"/>
        <v>2</v>
      </c>
      <c r="AE14" s="143">
        <f t="shared" si="6"/>
        <v>2</v>
      </c>
      <c r="AF14" s="143">
        <f t="shared" si="6"/>
        <v>2</v>
      </c>
      <c r="AG14" s="143">
        <f t="shared" ref="AG14:AI14" si="7">COUNT(AG8:AG10)</f>
        <v>2</v>
      </c>
      <c r="AH14" s="143">
        <f t="shared" si="7"/>
        <v>2</v>
      </c>
      <c r="AI14" s="143">
        <f t="shared" si="7"/>
        <v>2</v>
      </c>
      <c r="AJ14" s="143">
        <f t="shared" si="6"/>
        <v>2</v>
      </c>
      <c r="AK14" s="143">
        <f t="shared" si="6"/>
        <v>2</v>
      </c>
      <c r="AL14" s="143">
        <f t="shared" si="6"/>
        <v>2</v>
      </c>
      <c r="AM14" s="143">
        <f t="shared" si="6"/>
        <v>2</v>
      </c>
      <c r="AN14" s="144">
        <f>SUM(I14:AM14)</f>
        <v>62</v>
      </c>
      <c r="AO14" s="145">
        <f t="shared" ref="AO14:AO16" si="8">AN14*8</f>
        <v>496</v>
      </c>
    </row>
    <row r="15" spans="2:55" ht="21.95" customHeight="1">
      <c r="B15" s="146" t="s">
        <v>108</v>
      </c>
      <c r="C15" s="147"/>
      <c r="D15" s="148"/>
      <c r="E15" s="147"/>
      <c r="F15" s="147"/>
      <c r="G15" s="147"/>
      <c r="H15" s="149"/>
      <c r="I15" s="150">
        <v>2</v>
      </c>
      <c r="J15" s="151">
        <v>2</v>
      </c>
      <c r="K15" s="151">
        <v>2</v>
      </c>
      <c r="L15" s="151">
        <v>2</v>
      </c>
      <c r="M15" s="151">
        <v>2</v>
      </c>
      <c r="N15" s="151">
        <v>2</v>
      </c>
      <c r="O15" s="151">
        <v>2</v>
      </c>
      <c r="P15" s="151">
        <v>2</v>
      </c>
      <c r="Q15" s="151">
        <v>2</v>
      </c>
      <c r="R15" s="151">
        <v>2</v>
      </c>
      <c r="S15" s="151">
        <v>2</v>
      </c>
      <c r="T15" s="151">
        <v>2</v>
      </c>
      <c r="U15" s="151">
        <v>2</v>
      </c>
      <c r="V15" s="151">
        <v>2</v>
      </c>
      <c r="W15" s="151">
        <v>2</v>
      </c>
      <c r="X15" s="151">
        <v>2</v>
      </c>
      <c r="Y15" s="151">
        <v>2</v>
      </c>
      <c r="Z15" s="151">
        <v>2</v>
      </c>
      <c r="AA15" s="151">
        <v>2</v>
      </c>
      <c r="AB15" s="151">
        <v>2</v>
      </c>
      <c r="AC15" s="151">
        <v>2</v>
      </c>
      <c r="AD15" s="151">
        <v>2</v>
      </c>
      <c r="AE15" s="151">
        <v>2</v>
      </c>
      <c r="AF15" s="151">
        <v>2</v>
      </c>
      <c r="AG15" s="151">
        <v>2</v>
      </c>
      <c r="AH15" s="151">
        <v>2</v>
      </c>
      <c r="AI15" s="151">
        <v>2</v>
      </c>
      <c r="AJ15" s="151">
        <v>2</v>
      </c>
      <c r="AK15" s="151">
        <v>2</v>
      </c>
      <c r="AL15" s="151">
        <v>2</v>
      </c>
      <c r="AM15" s="151">
        <v>2</v>
      </c>
      <c r="AN15" s="152">
        <f>SUM(I15:AM15)</f>
        <v>62</v>
      </c>
      <c r="AO15" s="153">
        <f t="shared" si="8"/>
        <v>496</v>
      </c>
    </row>
    <row r="16" spans="2:55" ht="21.95" customHeight="1" thickBot="1">
      <c r="B16" s="154" t="s">
        <v>109</v>
      </c>
      <c r="C16" s="155"/>
      <c r="D16" s="156"/>
      <c r="E16" s="155"/>
      <c r="F16" s="155"/>
      <c r="G16" s="155"/>
      <c r="H16" s="157"/>
      <c r="I16" s="158">
        <f>IF((I14-I15)&lt;0,I14-I15,0)</f>
        <v>0</v>
      </c>
      <c r="J16" s="159">
        <f t="shared" ref="J16:AM16" si="9">IF((J14-J15)&lt;0,J14-J15,0)</f>
        <v>0</v>
      </c>
      <c r="K16" s="159">
        <f t="shared" si="9"/>
        <v>0</v>
      </c>
      <c r="L16" s="159">
        <f t="shared" si="9"/>
        <v>0</v>
      </c>
      <c r="M16" s="159">
        <f t="shared" si="9"/>
        <v>0</v>
      </c>
      <c r="N16" s="159">
        <f t="shared" si="9"/>
        <v>0</v>
      </c>
      <c r="O16" s="159">
        <f t="shared" si="9"/>
        <v>0</v>
      </c>
      <c r="P16" s="159">
        <f t="shared" si="9"/>
        <v>0</v>
      </c>
      <c r="Q16" s="159">
        <f t="shared" si="9"/>
        <v>0</v>
      </c>
      <c r="R16" s="159">
        <f>IF((RG14-RG15)&lt;0,RG14-RG15,0)</f>
        <v>0</v>
      </c>
      <c r="S16" s="159">
        <f t="shared" si="9"/>
        <v>0</v>
      </c>
      <c r="T16" s="159">
        <f t="shared" si="9"/>
        <v>0</v>
      </c>
      <c r="U16" s="159">
        <f t="shared" si="9"/>
        <v>0</v>
      </c>
      <c r="V16" s="159">
        <f t="shared" si="9"/>
        <v>0</v>
      </c>
      <c r="W16" s="159">
        <f t="shared" si="9"/>
        <v>0</v>
      </c>
      <c r="X16" s="159">
        <f t="shared" si="9"/>
        <v>0</v>
      </c>
      <c r="Y16" s="159">
        <f t="shared" si="9"/>
        <v>0</v>
      </c>
      <c r="Z16" s="159">
        <f t="shared" si="9"/>
        <v>0</v>
      </c>
      <c r="AA16" s="159">
        <f t="shared" si="9"/>
        <v>0</v>
      </c>
      <c r="AB16" s="159">
        <f t="shared" si="9"/>
        <v>0</v>
      </c>
      <c r="AC16" s="159">
        <f t="shared" si="9"/>
        <v>0</v>
      </c>
      <c r="AD16" s="159">
        <f t="shared" si="9"/>
        <v>0</v>
      </c>
      <c r="AE16" s="159">
        <f t="shared" si="9"/>
        <v>0</v>
      </c>
      <c r="AF16" s="159">
        <f t="shared" si="9"/>
        <v>0</v>
      </c>
      <c r="AG16" s="159">
        <f t="shared" ref="AG16:AI16" si="10">IF((AG14-AG15)&lt;0,AG14-AG15,0)</f>
        <v>0</v>
      </c>
      <c r="AH16" s="159">
        <f t="shared" si="10"/>
        <v>0</v>
      </c>
      <c r="AI16" s="159">
        <f t="shared" si="10"/>
        <v>0</v>
      </c>
      <c r="AJ16" s="159">
        <f t="shared" si="9"/>
        <v>0</v>
      </c>
      <c r="AK16" s="159">
        <f t="shared" si="9"/>
        <v>0</v>
      </c>
      <c r="AL16" s="159">
        <f t="shared" si="9"/>
        <v>0</v>
      </c>
      <c r="AM16" s="159">
        <f t="shared" si="9"/>
        <v>0</v>
      </c>
      <c r="AN16" s="160">
        <f>SUM(I16:AM16)</f>
        <v>0</v>
      </c>
      <c r="AO16" s="161">
        <f t="shared" si="8"/>
        <v>0</v>
      </c>
    </row>
    <row r="17" spans="1:55" ht="21.95" customHeight="1">
      <c r="B17" s="335"/>
      <c r="C17" s="162"/>
      <c r="D17" s="162"/>
      <c r="E17" s="162"/>
      <c r="F17" s="162"/>
      <c r="G17" s="162"/>
      <c r="H17" s="163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5"/>
      <c r="AO17" s="336"/>
    </row>
    <row r="18" spans="1:55" s="1" customFormat="1" ht="21.95" customHeight="1" thickBot="1">
      <c r="B18" s="337" t="s">
        <v>110</v>
      </c>
      <c r="C18" s="90"/>
      <c r="D18" s="90"/>
      <c r="E18" s="90"/>
      <c r="F18" s="90"/>
      <c r="G18" s="90"/>
      <c r="H18" s="90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90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90"/>
      <c r="AO18" s="334"/>
    </row>
    <row r="19" spans="1:55" s="1" customFormat="1" ht="21.95" customHeight="1">
      <c r="B19" s="166" t="s">
        <v>28</v>
      </c>
      <c r="C19" s="94">
        <v>4941</v>
      </c>
      <c r="D19" s="167" t="s">
        <v>104</v>
      </c>
      <c r="E19" s="95" t="s">
        <v>25</v>
      </c>
      <c r="F19" s="96" t="s">
        <v>26</v>
      </c>
      <c r="G19" s="97">
        <v>8</v>
      </c>
      <c r="H19" s="93" t="s">
        <v>111</v>
      </c>
      <c r="I19" s="168" t="s">
        <v>77</v>
      </c>
      <c r="J19" s="169">
        <v>8</v>
      </c>
      <c r="K19" s="169" t="s">
        <v>76</v>
      </c>
      <c r="L19" s="115" t="s">
        <v>76</v>
      </c>
      <c r="M19" s="115" t="s">
        <v>76</v>
      </c>
      <c r="N19" s="115" t="s">
        <v>77</v>
      </c>
      <c r="O19" s="115">
        <v>8</v>
      </c>
      <c r="P19" s="115" t="s">
        <v>77</v>
      </c>
      <c r="Q19" s="115">
        <v>8</v>
      </c>
      <c r="R19" s="115">
        <v>8</v>
      </c>
      <c r="S19" s="115">
        <v>8</v>
      </c>
      <c r="T19" s="115">
        <v>8</v>
      </c>
      <c r="U19" s="115">
        <v>8</v>
      </c>
      <c r="V19" s="115" t="s">
        <v>77</v>
      </c>
      <c r="W19" s="115">
        <v>8</v>
      </c>
      <c r="X19" s="115" t="s">
        <v>77</v>
      </c>
      <c r="Y19" s="115">
        <v>8</v>
      </c>
      <c r="Z19" s="115">
        <v>8</v>
      </c>
      <c r="AA19" s="115" t="s">
        <v>41</v>
      </c>
      <c r="AB19" s="115">
        <v>8</v>
      </c>
      <c r="AC19" s="115">
        <v>8</v>
      </c>
      <c r="AD19" s="115">
        <v>8</v>
      </c>
      <c r="AE19" s="115" t="s">
        <v>77</v>
      </c>
      <c r="AF19" s="115">
        <v>8</v>
      </c>
      <c r="AG19" s="115">
        <v>8</v>
      </c>
      <c r="AH19" s="115">
        <v>8</v>
      </c>
      <c r="AI19" s="115">
        <v>8</v>
      </c>
      <c r="AJ19" s="115" t="s">
        <v>77</v>
      </c>
      <c r="AK19" s="115">
        <v>8</v>
      </c>
      <c r="AL19" s="115" t="s">
        <v>77</v>
      </c>
      <c r="AM19" s="170">
        <v>8</v>
      </c>
      <c r="AN19" s="338">
        <f t="shared" ref="AN19:AN29" si="11">COUNT(I19:AM19)</f>
        <v>19</v>
      </c>
      <c r="AO19" s="93">
        <f t="shared" ref="AO19:AO29" si="12">SUM(I19:AM19)</f>
        <v>152</v>
      </c>
      <c r="AP19" s="330">
        <f>COUNTIFS($I19:$AM19,"SH")+COUNTIFS($I19:$AM19,"NSH")</f>
        <v>3</v>
      </c>
      <c r="AQ19" s="3">
        <f>COUNTIFS($I19:$AM19,#REF!)</f>
        <v>0</v>
      </c>
      <c r="AR19" s="3">
        <f>COUNTIFS($I19:$AM19,#REF!)</f>
        <v>0</v>
      </c>
      <c r="AS19" s="3">
        <f>COUNTIFS($I19:$AM19,#REF!)</f>
        <v>0</v>
      </c>
      <c r="AT19" s="76">
        <f>COUNTIFS($I19:$AM19,#REF!)</f>
        <v>0</v>
      </c>
      <c r="AU19" s="74" t="e">
        <f>#REF!</f>
        <v>#REF!</v>
      </c>
      <c r="AV19" s="6">
        <f t="shared" ref="AV19:AV29" si="13">COUNTIF(W19:AO19,"RD")</f>
        <v>1</v>
      </c>
      <c r="AW19" s="6" t="e">
        <f t="shared" ref="AW19" si="14">AU19-AV19</f>
        <v>#REF!</v>
      </c>
      <c r="AX19" s="6">
        <f t="shared" ref="AX19:AX29" si="15">COUNTIF(W19:AO19,"SH")</f>
        <v>0</v>
      </c>
      <c r="AY19" s="6">
        <f t="shared" ref="AY19:AY29" si="16">COUNTIF(W19:AO19,"SL")</f>
        <v>0</v>
      </c>
      <c r="AZ19" s="6">
        <f t="shared" ref="AZ19:AZ29" si="17">COUNTIF(W19:AO19,"np")</f>
        <v>0</v>
      </c>
      <c r="BA19" s="6">
        <f t="shared" ref="BA19:BA29" si="18">COUNTIF(W19:AO19,"AL*")</f>
        <v>0</v>
      </c>
      <c r="BB19" s="6">
        <f t="shared" ref="BB19:BB29" si="19">COUNTIF(W19:AO19,"NC*")</f>
        <v>0</v>
      </c>
      <c r="BC19" s="65"/>
    </row>
    <row r="20" spans="1:55" s="2" customFormat="1" ht="21.95" customHeight="1">
      <c r="B20" s="171" t="s">
        <v>71</v>
      </c>
      <c r="C20" s="172">
        <v>4945</v>
      </c>
      <c r="D20" s="173" t="s">
        <v>112</v>
      </c>
      <c r="E20" s="174" t="s">
        <v>25</v>
      </c>
      <c r="F20" s="175" t="s">
        <v>26</v>
      </c>
      <c r="G20" s="176">
        <v>8</v>
      </c>
      <c r="H20" s="177" t="s">
        <v>111</v>
      </c>
      <c r="I20" s="178">
        <v>8</v>
      </c>
      <c r="J20" s="122">
        <v>8</v>
      </c>
      <c r="K20" s="122" t="s">
        <v>41</v>
      </c>
      <c r="L20" s="122">
        <v>8</v>
      </c>
      <c r="M20" s="121">
        <v>8</v>
      </c>
      <c r="N20" s="122">
        <v>8</v>
      </c>
      <c r="O20" s="122">
        <v>8</v>
      </c>
      <c r="P20" s="122">
        <v>8</v>
      </c>
      <c r="Q20" s="122">
        <v>8</v>
      </c>
      <c r="R20" s="122">
        <v>8</v>
      </c>
      <c r="S20" s="122">
        <v>8</v>
      </c>
      <c r="T20" s="122">
        <v>8</v>
      </c>
      <c r="U20" s="122">
        <v>8</v>
      </c>
      <c r="V20" s="122">
        <v>8</v>
      </c>
      <c r="W20" s="122" t="s">
        <v>76</v>
      </c>
      <c r="X20" s="122" t="s">
        <v>76</v>
      </c>
      <c r="Y20" s="122">
        <v>8</v>
      </c>
      <c r="Z20" s="122">
        <v>8</v>
      </c>
      <c r="AA20" s="122">
        <v>8</v>
      </c>
      <c r="AB20" s="119">
        <v>8</v>
      </c>
      <c r="AC20" s="122">
        <v>8</v>
      </c>
      <c r="AD20" s="122" t="s">
        <v>76</v>
      </c>
      <c r="AE20" s="122">
        <v>8</v>
      </c>
      <c r="AF20" s="122">
        <v>8</v>
      </c>
      <c r="AG20" s="122">
        <v>8</v>
      </c>
      <c r="AH20" s="122">
        <v>8</v>
      </c>
      <c r="AI20" s="122">
        <v>8</v>
      </c>
      <c r="AJ20" s="122">
        <v>8</v>
      </c>
      <c r="AK20" s="122">
        <v>8</v>
      </c>
      <c r="AL20" s="122">
        <v>8</v>
      </c>
      <c r="AM20" s="122">
        <v>8</v>
      </c>
      <c r="AN20" s="339">
        <f t="shared" si="11"/>
        <v>27</v>
      </c>
      <c r="AO20" s="177">
        <f t="shared" si="12"/>
        <v>216</v>
      </c>
      <c r="AP20" s="331">
        <f t="shared" ref="AP20:AP29" si="20">COUNTIFS($I20:$AM20,"SH")+COUNTIFS($I20:$AM20,"NSH")</f>
        <v>3</v>
      </c>
      <c r="AQ20" s="7">
        <f>COUNTIFS($I20:$AM20,#REF!)</f>
        <v>0</v>
      </c>
      <c r="AR20" s="7">
        <f>COUNTIFS($I20:$AM20,#REF!)</f>
        <v>0</v>
      </c>
      <c r="AS20" s="7">
        <f>COUNTIFS($I20:$AM20,#REF!)</f>
        <v>0</v>
      </c>
      <c r="AT20" s="9">
        <f>COUNTIFS($I20:$AM20,#REF!)</f>
        <v>0</v>
      </c>
      <c r="AU20" s="46" t="e">
        <f>#REF!</f>
        <v>#REF!</v>
      </c>
      <c r="AV20" s="8">
        <f t="shared" si="13"/>
        <v>0</v>
      </c>
      <c r="AW20" s="8" t="e">
        <f t="shared" ref="AW20:AW29" si="21">AU20-AV20</f>
        <v>#REF!</v>
      </c>
      <c r="AX20" s="8">
        <f t="shared" si="15"/>
        <v>0</v>
      </c>
      <c r="AY20" s="8">
        <f t="shared" si="16"/>
        <v>0</v>
      </c>
      <c r="AZ20" s="8">
        <f t="shared" si="17"/>
        <v>0</v>
      </c>
      <c r="BA20" s="8">
        <f t="shared" si="18"/>
        <v>0</v>
      </c>
      <c r="BB20" s="8">
        <f t="shared" si="19"/>
        <v>0</v>
      </c>
      <c r="BC20" s="63"/>
    </row>
    <row r="21" spans="1:55" s="1" customFormat="1" ht="21.95" customHeight="1">
      <c r="A21" s="28" t="s">
        <v>30</v>
      </c>
      <c r="B21" s="171" t="s">
        <v>29</v>
      </c>
      <c r="C21" s="172">
        <v>4943</v>
      </c>
      <c r="D21" s="173" t="s">
        <v>113</v>
      </c>
      <c r="E21" s="118" t="s">
        <v>25</v>
      </c>
      <c r="F21" s="179" t="s">
        <v>26</v>
      </c>
      <c r="G21" s="180">
        <v>8</v>
      </c>
      <c r="H21" s="173" t="s">
        <v>111</v>
      </c>
      <c r="I21" s="178">
        <v>8</v>
      </c>
      <c r="J21" s="122" t="s">
        <v>41</v>
      </c>
      <c r="K21" s="122">
        <v>8</v>
      </c>
      <c r="L21" s="122">
        <v>8</v>
      </c>
      <c r="M21" s="122">
        <v>8</v>
      </c>
      <c r="N21" s="122">
        <v>8</v>
      </c>
      <c r="O21" s="122">
        <v>8</v>
      </c>
      <c r="P21" s="122">
        <v>8</v>
      </c>
      <c r="Q21" s="122" t="s">
        <v>76</v>
      </c>
      <c r="R21" s="122">
        <v>8</v>
      </c>
      <c r="S21" s="122">
        <v>8</v>
      </c>
      <c r="T21" s="122">
        <v>8</v>
      </c>
      <c r="U21" s="122" t="s">
        <v>76</v>
      </c>
      <c r="V21" s="122">
        <v>8</v>
      </c>
      <c r="W21" s="122">
        <v>8</v>
      </c>
      <c r="X21" s="122">
        <v>8</v>
      </c>
      <c r="Y21" s="122">
        <v>8</v>
      </c>
      <c r="Z21" s="122">
        <v>8</v>
      </c>
      <c r="AA21" s="122">
        <v>8</v>
      </c>
      <c r="AB21" s="122" t="s">
        <v>76</v>
      </c>
      <c r="AC21" s="122">
        <v>8</v>
      </c>
      <c r="AD21" s="122">
        <v>8</v>
      </c>
      <c r="AE21" s="122">
        <v>8</v>
      </c>
      <c r="AF21" s="122">
        <v>8</v>
      </c>
      <c r="AG21" s="122">
        <v>8</v>
      </c>
      <c r="AH21" s="122">
        <v>8</v>
      </c>
      <c r="AI21" s="122">
        <v>8</v>
      </c>
      <c r="AJ21" s="122">
        <v>8</v>
      </c>
      <c r="AK21" s="122">
        <v>8</v>
      </c>
      <c r="AL21" s="122">
        <v>8</v>
      </c>
      <c r="AM21" s="122">
        <v>8</v>
      </c>
      <c r="AN21" s="309">
        <f t="shared" si="11"/>
        <v>27</v>
      </c>
      <c r="AO21" s="173">
        <f t="shared" si="12"/>
        <v>216</v>
      </c>
      <c r="AP21" s="331">
        <f t="shared" si="20"/>
        <v>3</v>
      </c>
      <c r="AQ21" s="7">
        <f>COUNTIFS($I21:$AM21,#REF!)</f>
        <v>0</v>
      </c>
      <c r="AR21" s="7">
        <f>COUNTIFS($I21:$AM21,#REF!)</f>
        <v>0</v>
      </c>
      <c r="AS21" s="7">
        <f>COUNTIFS($I21:$AM21,#REF!)</f>
        <v>0</v>
      </c>
      <c r="AT21" s="9">
        <f>COUNTIFS($I21:$AM21,#REF!)</f>
        <v>0</v>
      </c>
      <c r="AU21" s="46" t="e">
        <f>#REF!</f>
        <v>#REF!</v>
      </c>
      <c r="AV21" s="8">
        <f t="shared" si="13"/>
        <v>0</v>
      </c>
      <c r="AW21" s="8" t="e">
        <f t="shared" si="21"/>
        <v>#REF!</v>
      </c>
      <c r="AX21" s="8">
        <f t="shared" si="15"/>
        <v>0</v>
      </c>
      <c r="AY21" s="8">
        <f t="shared" si="16"/>
        <v>0</v>
      </c>
      <c r="AZ21" s="8">
        <f t="shared" si="17"/>
        <v>0</v>
      </c>
      <c r="BA21" s="8">
        <f t="shared" si="18"/>
        <v>0</v>
      </c>
      <c r="BB21" s="8">
        <f t="shared" si="19"/>
        <v>0</v>
      </c>
      <c r="BC21" s="63"/>
    </row>
    <row r="22" spans="1:55" s="1" customFormat="1" ht="21.95" customHeight="1">
      <c r="B22" s="171" t="s">
        <v>24</v>
      </c>
      <c r="C22" s="172">
        <v>4949</v>
      </c>
      <c r="D22" s="173" t="s">
        <v>114</v>
      </c>
      <c r="E22" s="118" t="s">
        <v>25</v>
      </c>
      <c r="F22" s="179" t="s">
        <v>26</v>
      </c>
      <c r="G22" s="180">
        <v>8</v>
      </c>
      <c r="H22" s="173" t="s">
        <v>111</v>
      </c>
      <c r="I22" s="178">
        <v>8</v>
      </c>
      <c r="J22" s="122">
        <v>8</v>
      </c>
      <c r="K22" s="122">
        <v>8</v>
      </c>
      <c r="L22" s="122">
        <v>8</v>
      </c>
      <c r="M22" s="122">
        <v>8</v>
      </c>
      <c r="N22" s="122">
        <v>8</v>
      </c>
      <c r="O22" s="122">
        <v>8</v>
      </c>
      <c r="P22" s="122">
        <v>8</v>
      </c>
      <c r="Q22" s="122">
        <v>8</v>
      </c>
      <c r="R22" s="122">
        <v>8</v>
      </c>
      <c r="S22" s="122" t="s">
        <v>82</v>
      </c>
      <c r="T22" s="122">
        <v>8</v>
      </c>
      <c r="U22" s="122">
        <v>8</v>
      </c>
      <c r="V22" s="122">
        <v>8</v>
      </c>
      <c r="W22" s="122">
        <v>8</v>
      </c>
      <c r="X22" s="122">
        <v>8</v>
      </c>
      <c r="Y22" s="122">
        <v>8</v>
      </c>
      <c r="Z22" s="122">
        <v>8</v>
      </c>
      <c r="AA22" s="122" t="s">
        <v>76</v>
      </c>
      <c r="AB22" s="122">
        <v>8</v>
      </c>
      <c r="AC22" s="122">
        <v>8</v>
      </c>
      <c r="AD22" s="122">
        <v>8</v>
      </c>
      <c r="AE22" s="122" t="s">
        <v>76</v>
      </c>
      <c r="AF22" s="122">
        <v>8</v>
      </c>
      <c r="AG22" s="122">
        <v>8</v>
      </c>
      <c r="AH22" s="122">
        <v>8</v>
      </c>
      <c r="AI22" s="122">
        <v>8</v>
      </c>
      <c r="AJ22" s="122">
        <v>8</v>
      </c>
      <c r="AK22" s="122" t="s">
        <v>76</v>
      </c>
      <c r="AL22" s="122">
        <v>8</v>
      </c>
      <c r="AM22" s="122">
        <v>8</v>
      </c>
      <c r="AN22" s="309">
        <f t="shared" si="11"/>
        <v>27</v>
      </c>
      <c r="AO22" s="173">
        <f t="shared" si="12"/>
        <v>216</v>
      </c>
      <c r="AP22" s="331">
        <f t="shared" si="20"/>
        <v>3</v>
      </c>
      <c r="AQ22" s="7">
        <f>COUNTIFS($I22:$AM22,#REF!)</f>
        <v>0</v>
      </c>
      <c r="AR22" s="7">
        <f>COUNTIFS($I22:$AM22,#REF!)</f>
        <v>0</v>
      </c>
      <c r="AS22" s="7">
        <f>COUNTIFS($I22:$AM22,#REF!)</f>
        <v>0</v>
      </c>
      <c r="AT22" s="9">
        <f>COUNTIFS($I22:$AM22,#REF!)</f>
        <v>0</v>
      </c>
      <c r="AU22" s="46" t="e">
        <f>#REF!</f>
        <v>#REF!</v>
      </c>
      <c r="AV22" s="8">
        <f t="shared" si="13"/>
        <v>0</v>
      </c>
      <c r="AW22" s="8" t="e">
        <f t="shared" si="21"/>
        <v>#REF!</v>
      </c>
      <c r="AX22" s="8">
        <f t="shared" si="15"/>
        <v>0</v>
      </c>
      <c r="AY22" s="8">
        <f t="shared" si="16"/>
        <v>0</v>
      </c>
      <c r="AZ22" s="8">
        <f t="shared" si="17"/>
        <v>0</v>
      </c>
      <c r="BA22" s="8">
        <f t="shared" si="18"/>
        <v>0</v>
      </c>
      <c r="BB22" s="8">
        <f t="shared" si="19"/>
        <v>0</v>
      </c>
      <c r="BC22" s="63"/>
    </row>
    <row r="23" spans="1:55" s="1" customFormat="1" ht="21.95" customHeight="1">
      <c r="B23" s="171" t="s">
        <v>27</v>
      </c>
      <c r="C23" s="172">
        <v>4944</v>
      </c>
      <c r="D23" s="173" t="s">
        <v>115</v>
      </c>
      <c r="E23" s="118" t="s">
        <v>25</v>
      </c>
      <c r="F23" s="179" t="s">
        <v>26</v>
      </c>
      <c r="G23" s="180">
        <v>8</v>
      </c>
      <c r="H23" s="173" t="s">
        <v>111</v>
      </c>
      <c r="I23" s="178">
        <v>8</v>
      </c>
      <c r="J23" s="122">
        <v>8</v>
      </c>
      <c r="K23" s="122">
        <v>8</v>
      </c>
      <c r="L23" s="122">
        <v>8</v>
      </c>
      <c r="M23" s="122" t="s">
        <v>76</v>
      </c>
      <c r="N23" s="122">
        <v>8</v>
      </c>
      <c r="O23" s="122">
        <v>8</v>
      </c>
      <c r="P23" s="122">
        <v>8</v>
      </c>
      <c r="Q23" s="122">
        <v>8</v>
      </c>
      <c r="R23" s="122" t="s">
        <v>76</v>
      </c>
      <c r="S23" s="122">
        <v>8</v>
      </c>
      <c r="T23" s="122">
        <v>8</v>
      </c>
      <c r="U23" s="122">
        <v>8</v>
      </c>
      <c r="V23" s="122">
        <v>8</v>
      </c>
      <c r="W23" s="122">
        <v>8</v>
      </c>
      <c r="X23" s="122">
        <v>8</v>
      </c>
      <c r="Y23" s="122">
        <v>8</v>
      </c>
      <c r="Z23" s="122">
        <v>8</v>
      </c>
      <c r="AA23" s="122">
        <v>8</v>
      </c>
      <c r="AB23" s="122">
        <v>8</v>
      </c>
      <c r="AC23" s="122">
        <v>8</v>
      </c>
      <c r="AD23" s="122">
        <v>8</v>
      </c>
      <c r="AE23" s="122">
        <v>8</v>
      </c>
      <c r="AF23" s="122" t="s">
        <v>76</v>
      </c>
      <c r="AG23" s="122" t="s">
        <v>76</v>
      </c>
      <c r="AH23" s="122" t="s">
        <v>76</v>
      </c>
      <c r="AI23" s="122" t="s">
        <v>76</v>
      </c>
      <c r="AJ23" s="122">
        <v>8</v>
      </c>
      <c r="AK23" s="122">
        <v>8</v>
      </c>
      <c r="AL23" s="122">
        <v>8</v>
      </c>
      <c r="AM23" s="122">
        <v>8</v>
      </c>
      <c r="AN23" s="309">
        <f t="shared" si="11"/>
        <v>25</v>
      </c>
      <c r="AO23" s="173">
        <f t="shared" si="12"/>
        <v>200</v>
      </c>
      <c r="AP23" s="331">
        <f t="shared" si="20"/>
        <v>6</v>
      </c>
      <c r="AQ23" s="7">
        <f>COUNTIFS($I23:$AM23,#REF!)</f>
        <v>0</v>
      </c>
      <c r="AR23" s="7">
        <f>COUNTIFS($I23:$AM23,#REF!)</f>
        <v>0</v>
      </c>
      <c r="AS23" s="7">
        <f>COUNTIFS($I23:$AM23,#REF!)</f>
        <v>0</v>
      </c>
      <c r="AT23" s="9">
        <f>COUNTIFS($I23:$AM23,#REF!)</f>
        <v>0</v>
      </c>
      <c r="AU23" s="46" t="e">
        <f>#REF!</f>
        <v>#REF!</v>
      </c>
      <c r="AV23" s="8">
        <f t="shared" si="13"/>
        <v>0</v>
      </c>
      <c r="AW23" s="8" t="e">
        <f t="shared" si="21"/>
        <v>#REF!</v>
      </c>
      <c r="AX23" s="8">
        <f t="shared" si="15"/>
        <v>0</v>
      </c>
      <c r="AY23" s="8">
        <f t="shared" si="16"/>
        <v>0</v>
      </c>
      <c r="AZ23" s="8">
        <f t="shared" si="17"/>
        <v>0</v>
      </c>
      <c r="BA23" s="8">
        <f t="shared" si="18"/>
        <v>0</v>
      </c>
      <c r="BB23" s="8">
        <f t="shared" si="19"/>
        <v>0</v>
      </c>
      <c r="BC23" s="63"/>
    </row>
    <row r="24" spans="1:55" s="1" customFormat="1" ht="21.95" customHeight="1">
      <c r="B24" s="171" t="s">
        <v>31</v>
      </c>
      <c r="C24" s="172">
        <v>4942</v>
      </c>
      <c r="D24" s="173" t="s">
        <v>116</v>
      </c>
      <c r="E24" s="118" t="s">
        <v>25</v>
      </c>
      <c r="F24" s="179" t="s">
        <v>26</v>
      </c>
      <c r="G24" s="180">
        <v>8</v>
      </c>
      <c r="H24" s="173" t="s">
        <v>111</v>
      </c>
      <c r="I24" s="178">
        <v>8</v>
      </c>
      <c r="J24" s="122" t="s">
        <v>82</v>
      </c>
      <c r="K24" s="122">
        <v>8</v>
      </c>
      <c r="L24" s="122">
        <v>8</v>
      </c>
      <c r="M24" s="122">
        <v>8</v>
      </c>
      <c r="N24" s="122">
        <v>8</v>
      </c>
      <c r="O24" s="122">
        <v>8</v>
      </c>
      <c r="P24" s="122">
        <v>8</v>
      </c>
      <c r="Q24" s="122">
        <v>8</v>
      </c>
      <c r="R24" s="122">
        <v>8</v>
      </c>
      <c r="S24" s="122" t="s">
        <v>76</v>
      </c>
      <c r="T24" s="122">
        <v>8</v>
      </c>
      <c r="U24" s="122">
        <v>8</v>
      </c>
      <c r="V24" s="122">
        <v>8</v>
      </c>
      <c r="W24" s="122">
        <v>8</v>
      </c>
      <c r="X24" s="122">
        <v>8</v>
      </c>
      <c r="Y24" s="122">
        <v>8</v>
      </c>
      <c r="Z24" s="122">
        <v>8</v>
      </c>
      <c r="AA24" s="122">
        <v>8</v>
      </c>
      <c r="AB24" s="122" t="s">
        <v>76</v>
      </c>
      <c r="AC24" s="122" t="s">
        <v>76</v>
      </c>
      <c r="AD24" s="122">
        <v>8</v>
      </c>
      <c r="AE24" s="122">
        <v>8</v>
      </c>
      <c r="AF24" s="122">
        <v>8</v>
      </c>
      <c r="AG24" s="122">
        <v>8</v>
      </c>
      <c r="AH24" s="122">
        <v>8</v>
      </c>
      <c r="AI24" s="122">
        <v>8</v>
      </c>
      <c r="AJ24" s="122">
        <v>8</v>
      </c>
      <c r="AK24" s="122">
        <v>8</v>
      </c>
      <c r="AL24" s="122">
        <v>8</v>
      </c>
      <c r="AM24" s="122">
        <v>8</v>
      </c>
      <c r="AN24" s="309">
        <f t="shared" si="11"/>
        <v>27</v>
      </c>
      <c r="AO24" s="173">
        <f t="shared" si="12"/>
        <v>216</v>
      </c>
      <c r="AP24" s="331">
        <f t="shared" si="20"/>
        <v>3</v>
      </c>
      <c r="AQ24" s="7">
        <f>COUNTIFS($I24:$AM24,#REF!)</f>
        <v>0</v>
      </c>
      <c r="AR24" s="7">
        <f>COUNTIFS($I24:$AM24,#REF!)</f>
        <v>0</v>
      </c>
      <c r="AS24" s="7">
        <f>COUNTIFS($I24:$AM24,#REF!)</f>
        <v>0</v>
      </c>
      <c r="AT24" s="9">
        <f>COUNTIFS($I24:$AM24,#REF!)</f>
        <v>0</v>
      </c>
      <c r="AU24" s="46" t="e">
        <f>#REF!</f>
        <v>#REF!</v>
      </c>
      <c r="AV24" s="8">
        <f t="shared" si="13"/>
        <v>0</v>
      </c>
      <c r="AW24" s="8" t="e">
        <f t="shared" si="21"/>
        <v>#REF!</v>
      </c>
      <c r="AX24" s="8">
        <f t="shared" si="15"/>
        <v>0</v>
      </c>
      <c r="AY24" s="8">
        <f t="shared" si="16"/>
        <v>0</v>
      </c>
      <c r="AZ24" s="8">
        <f t="shared" si="17"/>
        <v>0</v>
      </c>
      <c r="BA24" s="8">
        <f t="shared" si="18"/>
        <v>0</v>
      </c>
      <c r="BB24" s="8">
        <f t="shared" si="19"/>
        <v>0</v>
      </c>
      <c r="BC24" s="63"/>
    </row>
    <row r="25" spans="1:55" s="1" customFormat="1" ht="21.95" customHeight="1">
      <c r="B25" s="171" t="s">
        <v>32</v>
      </c>
      <c r="C25" s="172">
        <v>4948</v>
      </c>
      <c r="D25" s="173" t="s">
        <v>117</v>
      </c>
      <c r="E25" s="118" t="s">
        <v>25</v>
      </c>
      <c r="F25" s="179" t="s">
        <v>26</v>
      </c>
      <c r="G25" s="180">
        <v>8</v>
      </c>
      <c r="H25" s="173" t="s">
        <v>111</v>
      </c>
      <c r="I25" s="178">
        <v>8</v>
      </c>
      <c r="J25" s="122">
        <v>8</v>
      </c>
      <c r="K25" s="122">
        <v>8</v>
      </c>
      <c r="L25" s="122">
        <v>8</v>
      </c>
      <c r="M25" s="122">
        <v>8</v>
      </c>
      <c r="N25" s="122">
        <v>8</v>
      </c>
      <c r="O25" s="122">
        <v>8</v>
      </c>
      <c r="P25" s="122" t="s">
        <v>82</v>
      </c>
      <c r="Q25" s="122" t="s">
        <v>76</v>
      </c>
      <c r="R25" s="122">
        <v>8</v>
      </c>
      <c r="S25" s="122">
        <v>8</v>
      </c>
      <c r="T25" s="122">
        <v>8</v>
      </c>
      <c r="U25" s="122">
        <v>8</v>
      </c>
      <c r="V25" s="122">
        <v>8</v>
      </c>
      <c r="W25" s="122">
        <v>8</v>
      </c>
      <c r="X25" s="122">
        <v>8</v>
      </c>
      <c r="Y25" s="122">
        <v>8</v>
      </c>
      <c r="Z25" s="122" t="s">
        <v>76</v>
      </c>
      <c r="AA25" s="122">
        <v>8</v>
      </c>
      <c r="AB25" s="122">
        <v>8</v>
      </c>
      <c r="AC25" s="119">
        <v>8</v>
      </c>
      <c r="AD25" s="122">
        <v>8</v>
      </c>
      <c r="AE25" s="122">
        <v>8</v>
      </c>
      <c r="AF25" s="122">
        <v>8</v>
      </c>
      <c r="AG25" s="122">
        <v>8</v>
      </c>
      <c r="AH25" s="122">
        <v>8</v>
      </c>
      <c r="AI25" s="122">
        <v>8</v>
      </c>
      <c r="AJ25" s="122">
        <v>8</v>
      </c>
      <c r="AK25" s="122">
        <v>8</v>
      </c>
      <c r="AL25" s="122">
        <v>8</v>
      </c>
      <c r="AM25" s="122" t="s">
        <v>76</v>
      </c>
      <c r="AN25" s="309">
        <f t="shared" si="11"/>
        <v>27</v>
      </c>
      <c r="AO25" s="173">
        <f t="shared" si="12"/>
        <v>216</v>
      </c>
      <c r="AP25" s="331">
        <f t="shared" si="20"/>
        <v>3</v>
      </c>
      <c r="AQ25" s="7">
        <f>COUNTIFS($I25:$AM25,#REF!)</f>
        <v>0</v>
      </c>
      <c r="AR25" s="7">
        <f>COUNTIFS($I25:$AM25,#REF!)</f>
        <v>0</v>
      </c>
      <c r="AS25" s="7">
        <f>COUNTIFS($I25:$AM25,#REF!)</f>
        <v>0</v>
      </c>
      <c r="AT25" s="9">
        <f>COUNTIFS($I25:$AM25,#REF!)</f>
        <v>0</v>
      </c>
      <c r="AU25" s="46" t="e">
        <f>#REF!</f>
        <v>#REF!</v>
      </c>
      <c r="AV25" s="8">
        <f t="shared" si="13"/>
        <v>0</v>
      </c>
      <c r="AW25" s="8" t="e">
        <f t="shared" si="21"/>
        <v>#REF!</v>
      </c>
      <c r="AX25" s="8">
        <f t="shared" si="15"/>
        <v>0</v>
      </c>
      <c r="AY25" s="8">
        <f t="shared" si="16"/>
        <v>0</v>
      </c>
      <c r="AZ25" s="8">
        <f t="shared" si="17"/>
        <v>0</v>
      </c>
      <c r="BA25" s="8">
        <f t="shared" si="18"/>
        <v>0</v>
      </c>
      <c r="BB25" s="8">
        <f t="shared" si="19"/>
        <v>0</v>
      </c>
      <c r="BC25" s="63"/>
    </row>
    <row r="26" spans="1:55" s="1" customFormat="1" ht="21.95" customHeight="1">
      <c r="B26" s="171" t="s">
        <v>33</v>
      </c>
      <c r="C26" s="172">
        <v>4947</v>
      </c>
      <c r="D26" s="173" t="s">
        <v>118</v>
      </c>
      <c r="E26" s="118" t="s">
        <v>25</v>
      </c>
      <c r="F26" s="179" t="s">
        <v>26</v>
      </c>
      <c r="G26" s="180">
        <v>8</v>
      </c>
      <c r="H26" s="173" t="s">
        <v>111</v>
      </c>
      <c r="I26" s="178">
        <v>8</v>
      </c>
      <c r="J26" s="122">
        <v>8</v>
      </c>
      <c r="K26" s="122">
        <v>8</v>
      </c>
      <c r="L26" s="122">
        <v>8</v>
      </c>
      <c r="M26" s="122">
        <v>8</v>
      </c>
      <c r="N26" s="122">
        <v>8</v>
      </c>
      <c r="O26" s="122">
        <v>8</v>
      </c>
      <c r="P26" s="122">
        <v>8</v>
      </c>
      <c r="Q26" s="122">
        <v>8</v>
      </c>
      <c r="R26" s="122" t="s">
        <v>76</v>
      </c>
      <c r="S26" s="122">
        <v>8</v>
      </c>
      <c r="T26" s="122" t="s">
        <v>76</v>
      </c>
      <c r="U26" s="122">
        <v>8</v>
      </c>
      <c r="V26" s="122">
        <v>8</v>
      </c>
      <c r="W26" s="122">
        <v>8</v>
      </c>
      <c r="X26" s="122">
        <v>8</v>
      </c>
      <c r="Y26" s="122">
        <v>8</v>
      </c>
      <c r="Z26" s="122" t="s">
        <v>76</v>
      </c>
      <c r="AA26" s="122">
        <v>8</v>
      </c>
      <c r="AB26" s="122">
        <v>8</v>
      </c>
      <c r="AC26" s="122">
        <v>8</v>
      </c>
      <c r="AD26" s="122">
        <v>8</v>
      </c>
      <c r="AE26" s="122">
        <v>8</v>
      </c>
      <c r="AF26" s="122">
        <v>8</v>
      </c>
      <c r="AG26" s="122">
        <v>8</v>
      </c>
      <c r="AH26" s="122">
        <v>8</v>
      </c>
      <c r="AI26" s="122">
        <v>8</v>
      </c>
      <c r="AJ26" s="122">
        <v>8</v>
      </c>
      <c r="AK26" s="122" t="s">
        <v>82</v>
      </c>
      <c r="AL26" s="122">
        <v>8</v>
      </c>
      <c r="AM26" s="122">
        <v>8</v>
      </c>
      <c r="AN26" s="309">
        <f t="shared" si="11"/>
        <v>27</v>
      </c>
      <c r="AO26" s="173">
        <f t="shared" si="12"/>
        <v>216</v>
      </c>
      <c r="AP26" s="331">
        <f t="shared" si="20"/>
        <v>3</v>
      </c>
      <c r="AQ26" s="7">
        <f>COUNTIFS($I26:$AM26,#REF!)</f>
        <v>0</v>
      </c>
      <c r="AR26" s="7">
        <f>COUNTIFS($I26:$AM26,#REF!)</f>
        <v>0</v>
      </c>
      <c r="AS26" s="7">
        <f>COUNTIFS($I26:$AM26,#REF!)</f>
        <v>0</v>
      </c>
      <c r="AT26" s="9">
        <f>COUNTIFS($I26:$AM26,#REF!)</f>
        <v>0</v>
      </c>
      <c r="AU26" s="46" t="e">
        <f>#REF!</f>
        <v>#REF!</v>
      </c>
      <c r="AV26" s="8">
        <f t="shared" si="13"/>
        <v>0</v>
      </c>
      <c r="AW26" s="8" t="e">
        <f t="shared" si="21"/>
        <v>#REF!</v>
      </c>
      <c r="AX26" s="8">
        <f t="shared" si="15"/>
        <v>0</v>
      </c>
      <c r="AY26" s="8">
        <f t="shared" si="16"/>
        <v>0</v>
      </c>
      <c r="AZ26" s="8">
        <f t="shared" si="17"/>
        <v>0</v>
      </c>
      <c r="BA26" s="8">
        <f t="shared" si="18"/>
        <v>0</v>
      </c>
      <c r="BB26" s="8">
        <f t="shared" si="19"/>
        <v>0</v>
      </c>
      <c r="BC26" s="63"/>
    </row>
    <row r="27" spans="1:55" s="1" customFormat="1" ht="21.75" customHeight="1">
      <c r="B27" s="171" t="s">
        <v>34</v>
      </c>
      <c r="C27" s="172">
        <v>4599</v>
      </c>
      <c r="D27" s="173" t="s">
        <v>119</v>
      </c>
      <c r="E27" s="118" t="s">
        <v>25</v>
      </c>
      <c r="F27" s="179" t="s">
        <v>26</v>
      </c>
      <c r="G27" s="180">
        <v>8</v>
      </c>
      <c r="H27" s="173" t="s">
        <v>111</v>
      </c>
      <c r="I27" s="178" t="s">
        <v>82</v>
      </c>
      <c r="J27" s="122">
        <v>8</v>
      </c>
      <c r="K27" s="122">
        <v>8</v>
      </c>
      <c r="L27" s="122">
        <v>8</v>
      </c>
      <c r="M27" s="122">
        <v>8</v>
      </c>
      <c r="N27" s="122">
        <v>8</v>
      </c>
      <c r="O27" s="122" t="s">
        <v>76</v>
      </c>
      <c r="P27" s="122">
        <v>8</v>
      </c>
      <c r="Q27" s="122">
        <v>8</v>
      </c>
      <c r="R27" s="122">
        <v>8</v>
      </c>
      <c r="S27" s="122">
        <v>8</v>
      </c>
      <c r="T27" s="122">
        <v>8</v>
      </c>
      <c r="U27" s="122">
        <v>8</v>
      </c>
      <c r="V27" s="122">
        <v>8</v>
      </c>
      <c r="W27" s="122">
        <v>8</v>
      </c>
      <c r="X27" s="122">
        <v>8</v>
      </c>
      <c r="Y27" s="122" t="s">
        <v>76</v>
      </c>
      <c r="Z27" s="122">
        <v>8</v>
      </c>
      <c r="AA27" s="122">
        <v>8</v>
      </c>
      <c r="AB27" s="122">
        <v>8</v>
      </c>
      <c r="AC27" s="122">
        <v>8</v>
      </c>
      <c r="AD27" s="122">
        <v>8</v>
      </c>
      <c r="AE27" s="122">
        <v>8</v>
      </c>
      <c r="AF27" s="122">
        <v>8</v>
      </c>
      <c r="AG27" s="122">
        <v>8</v>
      </c>
      <c r="AH27" s="122">
        <v>8</v>
      </c>
      <c r="AI27" s="122">
        <v>8</v>
      </c>
      <c r="AJ27" s="122" t="s">
        <v>76</v>
      </c>
      <c r="AK27" s="122">
        <v>8</v>
      </c>
      <c r="AL27" s="122">
        <v>8</v>
      </c>
      <c r="AM27" s="122">
        <v>8</v>
      </c>
      <c r="AN27" s="309">
        <f t="shared" si="11"/>
        <v>27</v>
      </c>
      <c r="AO27" s="173">
        <f t="shared" si="12"/>
        <v>216</v>
      </c>
      <c r="AP27" s="331">
        <f t="shared" si="20"/>
        <v>3</v>
      </c>
      <c r="AQ27" s="7">
        <f>COUNTIFS($I27:$AM27,#REF!)</f>
        <v>0</v>
      </c>
      <c r="AR27" s="7">
        <f>COUNTIFS($I27:$AM27,#REF!)</f>
        <v>0</v>
      </c>
      <c r="AS27" s="7">
        <f>COUNTIFS($I27:$AM27,#REF!)</f>
        <v>0</v>
      </c>
      <c r="AT27" s="9">
        <f>COUNTIFS($I27:$AM27,#REF!)</f>
        <v>0</v>
      </c>
      <c r="AU27" s="46" t="e">
        <f>#REF!</f>
        <v>#REF!</v>
      </c>
      <c r="AV27" s="8">
        <f t="shared" si="13"/>
        <v>0</v>
      </c>
      <c r="AW27" s="8" t="e">
        <f t="shared" si="21"/>
        <v>#REF!</v>
      </c>
      <c r="AX27" s="8">
        <f t="shared" si="15"/>
        <v>0</v>
      </c>
      <c r="AY27" s="8">
        <f t="shared" si="16"/>
        <v>0</v>
      </c>
      <c r="AZ27" s="8">
        <f t="shared" si="17"/>
        <v>0</v>
      </c>
      <c r="BA27" s="8">
        <f t="shared" si="18"/>
        <v>0</v>
      </c>
      <c r="BB27" s="8">
        <f t="shared" si="19"/>
        <v>0</v>
      </c>
      <c r="BC27" s="63"/>
    </row>
    <row r="28" spans="1:55" s="1" customFormat="1" ht="21.95" customHeight="1">
      <c r="B28" s="171" t="s">
        <v>35</v>
      </c>
      <c r="C28" s="172">
        <v>4952</v>
      </c>
      <c r="D28" s="173" t="s">
        <v>120</v>
      </c>
      <c r="E28" s="118" t="s">
        <v>25</v>
      </c>
      <c r="F28" s="179" t="s">
        <v>26</v>
      </c>
      <c r="G28" s="180">
        <v>8</v>
      </c>
      <c r="H28" s="173" t="s">
        <v>111</v>
      </c>
      <c r="I28" s="178">
        <v>8</v>
      </c>
      <c r="J28" s="122">
        <v>8</v>
      </c>
      <c r="K28" s="122">
        <v>8</v>
      </c>
      <c r="L28" s="122" t="s">
        <v>82</v>
      </c>
      <c r="M28" s="122">
        <v>8</v>
      </c>
      <c r="N28" s="122">
        <v>8</v>
      </c>
      <c r="O28" s="122">
        <v>8</v>
      </c>
      <c r="P28" s="122">
        <v>8</v>
      </c>
      <c r="Q28" s="122">
        <v>8</v>
      </c>
      <c r="R28" s="122">
        <v>8</v>
      </c>
      <c r="S28" s="122">
        <v>8</v>
      </c>
      <c r="T28" s="122" t="s">
        <v>76</v>
      </c>
      <c r="U28" s="122">
        <v>8</v>
      </c>
      <c r="V28" s="122">
        <v>8</v>
      </c>
      <c r="W28" s="122">
        <v>8</v>
      </c>
      <c r="X28" s="122">
        <v>8</v>
      </c>
      <c r="Y28" s="122" t="s">
        <v>76</v>
      </c>
      <c r="Z28" s="122">
        <v>8</v>
      </c>
      <c r="AA28" s="122">
        <v>8</v>
      </c>
      <c r="AB28" s="122">
        <v>8</v>
      </c>
      <c r="AC28" s="122">
        <v>8</v>
      </c>
      <c r="AD28" s="122">
        <v>8</v>
      </c>
      <c r="AE28" s="122">
        <v>8</v>
      </c>
      <c r="AF28" s="122" t="s">
        <v>76</v>
      </c>
      <c r="AG28" s="122" t="s">
        <v>76</v>
      </c>
      <c r="AH28" s="122" t="s">
        <v>76</v>
      </c>
      <c r="AI28" s="122" t="s">
        <v>76</v>
      </c>
      <c r="AJ28" s="122">
        <v>8</v>
      </c>
      <c r="AK28" s="122">
        <v>8</v>
      </c>
      <c r="AL28" s="122">
        <v>8</v>
      </c>
      <c r="AM28" s="122">
        <v>8</v>
      </c>
      <c r="AN28" s="309">
        <f t="shared" si="11"/>
        <v>24</v>
      </c>
      <c r="AO28" s="173">
        <f t="shared" si="12"/>
        <v>192</v>
      </c>
      <c r="AP28" s="331">
        <f t="shared" si="20"/>
        <v>6</v>
      </c>
      <c r="AQ28" s="7">
        <f>COUNTIFS($I28:$AM28,#REF!)</f>
        <v>0</v>
      </c>
      <c r="AR28" s="7">
        <f>COUNTIFS($I28:$AM28,#REF!)</f>
        <v>0</v>
      </c>
      <c r="AS28" s="7">
        <f>COUNTIFS($I28:$AM28,#REF!)</f>
        <v>0</v>
      </c>
      <c r="AT28" s="9">
        <f>COUNTIFS($I28:$AM28,#REF!)</f>
        <v>0</v>
      </c>
      <c r="AU28" s="46" t="e">
        <f>#REF!</f>
        <v>#REF!</v>
      </c>
      <c r="AV28" s="8">
        <f t="shared" si="13"/>
        <v>0</v>
      </c>
      <c r="AW28" s="8" t="e">
        <f t="shared" si="21"/>
        <v>#REF!</v>
      </c>
      <c r="AX28" s="8">
        <f t="shared" si="15"/>
        <v>0</v>
      </c>
      <c r="AY28" s="8">
        <f t="shared" si="16"/>
        <v>0</v>
      </c>
      <c r="AZ28" s="8">
        <f t="shared" si="17"/>
        <v>0</v>
      </c>
      <c r="BA28" s="8">
        <f t="shared" si="18"/>
        <v>0</v>
      </c>
      <c r="BB28" s="8">
        <f t="shared" si="19"/>
        <v>0</v>
      </c>
      <c r="BC28" s="63"/>
    </row>
    <row r="29" spans="1:55" s="1" customFormat="1" ht="21.95" customHeight="1" thickBot="1">
      <c r="B29" s="132" t="s">
        <v>36</v>
      </c>
      <c r="C29" s="103">
        <v>4946</v>
      </c>
      <c r="D29" s="102" t="s">
        <v>121</v>
      </c>
      <c r="E29" s="104" t="s">
        <v>25</v>
      </c>
      <c r="F29" s="105" t="s">
        <v>26</v>
      </c>
      <c r="G29" s="106">
        <v>8</v>
      </c>
      <c r="H29" s="102" t="s">
        <v>111</v>
      </c>
      <c r="I29" s="181">
        <v>8</v>
      </c>
      <c r="J29" s="130">
        <v>8</v>
      </c>
      <c r="K29" s="130">
        <v>8</v>
      </c>
      <c r="L29" s="130">
        <v>8</v>
      </c>
      <c r="M29" s="130">
        <v>8</v>
      </c>
      <c r="N29" s="389" t="s">
        <v>178</v>
      </c>
      <c r="O29" s="130" t="s">
        <v>82</v>
      </c>
      <c r="P29" s="130">
        <v>8</v>
      </c>
      <c r="Q29" s="130">
        <v>8</v>
      </c>
      <c r="R29" s="130">
        <v>8</v>
      </c>
      <c r="S29" s="130">
        <v>8</v>
      </c>
      <c r="T29" s="130">
        <v>8</v>
      </c>
      <c r="U29" s="389" t="s">
        <v>178</v>
      </c>
      <c r="V29" s="389" t="s">
        <v>178</v>
      </c>
      <c r="W29" s="130" t="s">
        <v>76</v>
      </c>
      <c r="X29" s="130">
        <v>8</v>
      </c>
      <c r="Y29" s="130">
        <v>8</v>
      </c>
      <c r="Z29" s="130">
        <v>8</v>
      </c>
      <c r="AA29" s="130">
        <v>8</v>
      </c>
      <c r="AB29" s="130">
        <v>8</v>
      </c>
      <c r="AC29" s="389" t="s">
        <v>178</v>
      </c>
      <c r="AD29" s="130" t="s">
        <v>76</v>
      </c>
      <c r="AE29" s="130">
        <v>8</v>
      </c>
      <c r="AF29" s="130">
        <v>8</v>
      </c>
      <c r="AG29" s="130">
        <v>8</v>
      </c>
      <c r="AH29" s="130">
        <v>8</v>
      </c>
      <c r="AI29" s="130">
        <v>8</v>
      </c>
      <c r="AJ29" s="130">
        <v>8</v>
      </c>
      <c r="AK29" s="130">
        <v>8</v>
      </c>
      <c r="AL29" s="389" t="s">
        <v>178</v>
      </c>
      <c r="AM29" s="130" t="s">
        <v>76</v>
      </c>
      <c r="AN29" s="310">
        <f t="shared" si="11"/>
        <v>22</v>
      </c>
      <c r="AO29" s="102">
        <f t="shared" si="12"/>
        <v>176</v>
      </c>
      <c r="AP29" s="331">
        <f t="shared" si="20"/>
        <v>3</v>
      </c>
      <c r="AQ29" s="7">
        <f>COUNTIFS($I29:$AM29,#REF!)</f>
        <v>0</v>
      </c>
      <c r="AR29" s="7">
        <f>COUNTIFS($I29:$AM29,#REF!)</f>
        <v>0</v>
      </c>
      <c r="AS29" s="7">
        <f>COUNTIFS($I29:$AM29,#REF!)</f>
        <v>0</v>
      </c>
      <c r="AT29" s="9">
        <f>COUNTIFS($I29:$AM29,#REF!)</f>
        <v>0</v>
      </c>
      <c r="AU29" s="46" t="e">
        <f>#REF!</f>
        <v>#REF!</v>
      </c>
      <c r="AV29" s="8">
        <f t="shared" si="13"/>
        <v>0</v>
      </c>
      <c r="AW29" s="8" t="e">
        <f t="shared" si="21"/>
        <v>#REF!</v>
      </c>
      <c r="AX29" s="8">
        <f t="shared" si="15"/>
        <v>0</v>
      </c>
      <c r="AY29" s="8">
        <f t="shared" si="16"/>
        <v>0</v>
      </c>
      <c r="AZ29" s="8">
        <f t="shared" si="17"/>
        <v>0</v>
      </c>
      <c r="BA29" s="8">
        <f t="shared" si="18"/>
        <v>0</v>
      </c>
      <c r="BB29" s="8">
        <f t="shared" si="19"/>
        <v>0</v>
      </c>
      <c r="BC29" s="63"/>
    </row>
    <row r="30" spans="1:55" s="1" customFormat="1" ht="21.95" customHeight="1" thickBot="1">
      <c r="B30" s="391" t="s">
        <v>123</v>
      </c>
      <c r="C30" s="391"/>
      <c r="D30" s="392" t="s">
        <v>124</v>
      </c>
      <c r="E30" s="392"/>
      <c r="F30" s="392"/>
      <c r="G30" s="392"/>
      <c r="H30" s="392"/>
      <c r="I30" s="90">
        <f t="shared" ref="I30:AM30" si="22">COUNTIF(I19:I29,"8")</f>
        <v>9</v>
      </c>
      <c r="J30" s="90">
        <f t="shared" si="22"/>
        <v>9</v>
      </c>
      <c r="K30" s="90">
        <f t="shared" si="22"/>
        <v>9</v>
      </c>
      <c r="L30" s="90">
        <f t="shared" si="22"/>
        <v>9</v>
      </c>
      <c r="M30" s="90">
        <f t="shared" si="22"/>
        <v>9</v>
      </c>
      <c r="N30" s="90">
        <f t="shared" si="22"/>
        <v>9</v>
      </c>
      <c r="O30" s="90">
        <f t="shared" si="22"/>
        <v>9</v>
      </c>
      <c r="P30" s="90">
        <f t="shared" si="22"/>
        <v>9</v>
      </c>
      <c r="Q30" s="90">
        <f t="shared" si="22"/>
        <v>9</v>
      </c>
      <c r="R30" s="90">
        <f t="shared" si="22"/>
        <v>9</v>
      </c>
      <c r="S30" s="90">
        <f t="shared" si="22"/>
        <v>9</v>
      </c>
      <c r="T30" s="90">
        <f t="shared" si="22"/>
        <v>9</v>
      </c>
      <c r="U30" s="90">
        <f t="shared" si="22"/>
        <v>9</v>
      </c>
      <c r="V30" s="90">
        <f t="shared" si="22"/>
        <v>9</v>
      </c>
      <c r="W30" s="90">
        <f t="shared" si="22"/>
        <v>9</v>
      </c>
      <c r="X30" s="90">
        <f t="shared" si="22"/>
        <v>9</v>
      </c>
      <c r="Y30" s="90">
        <f t="shared" si="22"/>
        <v>9</v>
      </c>
      <c r="Z30" s="90">
        <f t="shared" si="22"/>
        <v>9</v>
      </c>
      <c r="AA30" s="90">
        <f t="shared" si="22"/>
        <v>9</v>
      </c>
      <c r="AB30" s="90">
        <f t="shared" si="22"/>
        <v>9</v>
      </c>
      <c r="AC30" s="90">
        <f t="shared" si="22"/>
        <v>9</v>
      </c>
      <c r="AD30" s="90">
        <f t="shared" si="22"/>
        <v>9</v>
      </c>
      <c r="AE30" s="90">
        <f t="shared" si="22"/>
        <v>9</v>
      </c>
      <c r="AF30" s="90">
        <f t="shared" si="22"/>
        <v>9</v>
      </c>
      <c r="AG30" s="90">
        <f t="shared" ref="AG30:AI30" si="23">COUNTIF(AG19:AG29,"8")</f>
        <v>9</v>
      </c>
      <c r="AH30" s="90">
        <f t="shared" si="23"/>
        <v>9</v>
      </c>
      <c r="AI30" s="90">
        <f t="shared" si="23"/>
        <v>9</v>
      </c>
      <c r="AJ30" s="90">
        <f t="shared" si="22"/>
        <v>9</v>
      </c>
      <c r="AK30" s="90">
        <f t="shared" si="22"/>
        <v>9</v>
      </c>
      <c r="AL30" s="90">
        <f t="shared" si="22"/>
        <v>9</v>
      </c>
      <c r="AM30" s="90">
        <f t="shared" si="22"/>
        <v>9</v>
      </c>
      <c r="AN30" s="134">
        <f>SUM(AN19:AN29)</f>
        <v>279</v>
      </c>
      <c r="AO30" s="135">
        <f>SUM(AO19:AO29)</f>
        <v>2232</v>
      </c>
    </row>
    <row r="31" spans="1:55" s="1" customFormat="1" ht="21.95" customHeight="1" thickBot="1">
      <c r="B31" s="90"/>
      <c r="C31" s="90"/>
      <c r="D31" s="90"/>
      <c r="E31" s="90"/>
      <c r="F31" s="90"/>
      <c r="G31" s="90"/>
      <c r="H31" s="90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90"/>
      <c r="AO31" s="90"/>
    </row>
    <row r="32" spans="1:55" ht="21.95" customHeight="1" thickBot="1">
      <c r="B32" s="91"/>
      <c r="C32" s="90"/>
      <c r="D32" s="90"/>
      <c r="E32" s="90"/>
      <c r="F32" s="90"/>
      <c r="G32" s="90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182" t="s">
        <v>125</v>
      </c>
      <c r="AO32" s="136" t="s">
        <v>126</v>
      </c>
    </row>
    <row r="33" spans="1:56" ht="21.95" customHeight="1">
      <c r="B33" s="393" t="s">
        <v>127</v>
      </c>
      <c r="C33" s="394"/>
      <c r="D33" s="395"/>
      <c r="E33" s="139"/>
      <c r="F33" s="139"/>
      <c r="G33" s="139"/>
      <c r="H33" s="141" t="s">
        <v>38</v>
      </c>
      <c r="I33" s="142">
        <v>6</v>
      </c>
      <c r="J33" s="143">
        <v>6</v>
      </c>
      <c r="K33" s="143">
        <v>6</v>
      </c>
      <c r="L33" s="143">
        <v>6</v>
      </c>
      <c r="M33" s="143">
        <v>6</v>
      </c>
      <c r="N33" s="143">
        <v>6</v>
      </c>
      <c r="O33" s="143">
        <v>6</v>
      </c>
      <c r="P33" s="143">
        <v>6</v>
      </c>
      <c r="Q33" s="143">
        <v>6</v>
      </c>
      <c r="R33" s="143">
        <v>6</v>
      </c>
      <c r="S33" s="143">
        <v>6</v>
      </c>
      <c r="T33" s="143">
        <v>6</v>
      </c>
      <c r="U33" s="143">
        <v>6</v>
      </c>
      <c r="V33" s="143">
        <v>6</v>
      </c>
      <c r="W33" s="143">
        <v>6</v>
      </c>
      <c r="X33" s="143">
        <v>6</v>
      </c>
      <c r="Y33" s="143">
        <v>6</v>
      </c>
      <c r="Z33" s="143">
        <v>6</v>
      </c>
      <c r="AA33" s="143">
        <v>6</v>
      </c>
      <c r="AB33" s="143">
        <v>6</v>
      </c>
      <c r="AC33" s="143">
        <v>6</v>
      </c>
      <c r="AD33" s="143">
        <v>6</v>
      </c>
      <c r="AE33" s="143">
        <v>6</v>
      </c>
      <c r="AF33" s="143">
        <v>6</v>
      </c>
      <c r="AG33" s="143">
        <v>6</v>
      </c>
      <c r="AH33" s="143">
        <v>6</v>
      </c>
      <c r="AI33" s="143">
        <v>6</v>
      </c>
      <c r="AJ33" s="143">
        <v>6</v>
      </c>
      <c r="AK33" s="143">
        <v>6</v>
      </c>
      <c r="AL33" s="143">
        <v>6</v>
      </c>
      <c r="AM33" s="183">
        <v>6</v>
      </c>
      <c r="AN33" s="184">
        <f t="shared" ref="AN33:AN38" si="24">SUM(I33:AM33)</f>
        <v>186</v>
      </c>
      <c r="AO33" s="185">
        <f t="shared" ref="AO33:AO38" si="25">AN33*8</f>
        <v>1488</v>
      </c>
    </row>
    <row r="34" spans="1:56" ht="21.95" customHeight="1">
      <c r="B34" s="396" t="s">
        <v>128</v>
      </c>
      <c r="C34" s="397"/>
      <c r="D34" s="398"/>
      <c r="E34" s="147"/>
      <c r="F34" s="147"/>
      <c r="G34" s="147"/>
      <c r="H34" s="149"/>
      <c r="I34" s="150">
        <v>6</v>
      </c>
      <c r="J34" s="151">
        <v>6</v>
      </c>
      <c r="K34" s="151">
        <v>6</v>
      </c>
      <c r="L34" s="151">
        <v>6</v>
      </c>
      <c r="M34" s="151">
        <v>6</v>
      </c>
      <c r="N34" s="151">
        <v>6</v>
      </c>
      <c r="O34" s="151">
        <v>6</v>
      </c>
      <c r="P34" s="151">
        <v>6</v>
      </c>
      <c r="Q34" s="151">
        <v>6</v>
      </c>
      <c r="R34" s="151">
        <v>6</v>
      </c>
      <c r="S34" s="151">
        <v>6</v>
      </c>
      <c r="T34" s="151">
        <v>6</v>
      </c>
      <c r="U34" s="151">
        <v>6</v>
      </c>
      <c r="V34" s="151">
        <v>6</v>
      </c>
      <c r="W34" s="151">
        <v>6</v>
      </c>
      <c r="X34" s="151">
        <v>6</v>
      </c>
      <c r="Y34" s="151">
        <v>6</v>
      </c>
      <c r="Z34" s="151">
        <v>6</v>
      </c>
      <c r="AA34" s="151">
        <v>6</v>
      </c>
      <c r="AB34" s="151">
        <v>6</v>
      </c>
      <c r="AC34" s="151">
        <v>6</v>
      </c>
      <c r="AD34" s="151">
        <v>6</v>
      </c>
      <c r="AE34" s="151">
        <v>6</v>
      </c>
      <c r="AF34" s="151">
        <v>6</v>
      </c>
      <c r="AG34" s="151">
        <v>6</v>
      </c>
      <c r="AH34" s="151">
        <v>6</v>
      </c>
      <c r="AI34" s="151">
        <v>6</v>
      </c>
      <c r="AJ34" s="151">
        <v>6</v>
      </c>
      <c r="AK34" s="151">
        <v>6</v>
      </c>
      <c r="AL34" s="151">
        <v>6</v>
      </c>
      <c r="AM34" s="186">
        <v>6</v>
      </c>
      <c r="AN34" s="152">
        <f t="shared" si="24"/>
        <v>186</v>
      </c>
      <c r="AO34" s="149">
        <f t="shared" si="25"/>
        <v>1488</v>
      </c>
    </row>
    <row r="35" spans="1:56" ht="21.95" customHeight="1" thickBot="1">
      <c r="B35" s="402" t="s">
        <v>129</v>
      </c>
      <c r="C35" s="403"/>
      <c r="D35" s="404"/>
      <c r="E35" s="155"/>
      <c r="F35" s="155"/>
      <c r="G35" s="155"/>
      <c r="H35" s="157"/>
      <c r="I35" s="158">
        <f>IF((I33-I34)&lt;0,I33-I34,0)</f>
        <v>0</v>
      </c>
      <c r="J35" s="159">
        <f t="shared" ref="J35:AM35" si="26">IF((J33-J34)&lt;0,J33-J34,0)</f>
        <v>0</v>
      </c>
      <c r="K35" s="159">
        <f t="shared" si="26"/>
        <v>0</v>
      </c>
      <c r="L35" s="159">
        <f t="shared" si="26"/>
        <v>0</v>
      </c>
      <c r="M35" s="159">
        <f t="shared" si="26"/>
        <v>0</v>
      </c>
      <c r="N35" s="159">
        <f t="shared" si="26"/>
        <v>0</v>
      </c>
      <c r="O35" s="159">
        <f t="shared" si="26"/>
        <v>0</v>
      </c>
      <c r="P35" s="159">
        <f t="shared" si="26"/>
        <v>0</v>
      </c>
      <c r="Q35" s="159">
        <f t="shared" si="26"/>
        <v>0</v>
      </c>
      <c r="R35" s="159">
        <f t="shared" si="26"/>
        <v>0</v>
      </c>
      <c r="S35" s="159">
        <f t="shared" si="26"/>
        <v>0</v>
      </c>
      <c r="T35" s="159">
        <f t="shared" si="26"/>
        <v>0</v>
      </c>
      <c r="U35" s="159">
        <f t="shared" si="26"/>
        <v>0</v>
      </c>
      <c r="V35" s="159">
        <f t="shared" si="26"/>
        <v>0</v>
      </c>
      <c r="W35" s="159">
        <f t="shared" si="26"/>
        <v>0</v>
      </c>
      <c r="X35" s="159">
        <f t="shared" si="26"/>
        <v>0</v>
      </c>
      <c r="Y35" s="159">
        <f t="shared" si="26"/>
        <v>0</v>
      </c>
      <c r="Z35" s="159">
        <f t="shared" si="26"/>
        <v>0</v>
      </c>
      <c r="AA35" s="159">
        <f t="shared" si="26"/>
        <v>0</v>
      </c>
      <c r="AB35" s="159">
        <f t="shared" si="26"/>
        <v>0</v>
      </c>
      <c r="AC35" s="159">
        <f t="shared" si="26"/>
        <v>0</v>
      </c>
      <c r="AD35" s="159">
        <f t="shared" si="26"/>
        <v>0</v>
      </c>
      <c r="AE35" s="159">
        <f t="shared" si="26"/>
        <v>0</v>
      </c>
      <c r="AF35" s="159">
        <f t="shared" si="26"/>
        <v>0</v>
      </c>
      <c r="AG35" s="159">
        <f t="shared" ref="AG35:AI35" si="27">IF((AG33-AG34)&lt;0,AG33-AG34,0)</f>
        <v>0</v>
      </c>
      <c r="AH35" s="159">
        <f t="shared" si="27"/>
        <v>0</v>
      </c>
      <c r="AI35" s="159">
        <f t="shared" si="27"/>
        <v>0</v>
      </c>
      <c r="AJ35" s="159">
        <f t="shared" si="26"/>
        <v>0</v>
      </c>
      <c r="AK35" s="159">
        <f t="shared" si="26"/>
        <v>0</v>
      </c>
      <c r="AL35" s="159">
        <f t="shared" si="26"/>
        <v>0</v>
      </c>
      <c r="AM35" s="187">
        <f t="shared" si="26"/>
        <v>0</v>
      </c>
      <c r="AN35" s="188">
        <f t="shared" si="24"/>
        <v>0</v>
      </c>
      <c r="AO35" s="189">
        <f t="shared" si="25"/>
        <v>0</v>
      </c>
    </row>
    <row r="36" spans="1:56" ht="21.95" customHeight="1">
      <c r="B36" s="393" t="s">
        <v>130</v>
      </c>
      <c r="C36" s="394"/>
      <c r="D36" s="395"/>
      <c r="E36" s="190"/>
      <c r="F36" s="190"/>
      <c r="G36" s="190"/>
      <c r="H36" s="185" t="s">
        <v>39</v>
      </c>
      <c r="I36" s="314">
        <f t="shared" ref="I36:AM36" si="28">COUNT(I19:I29)-I33</f>
        <v>3</v>
      </c>
      <c r="J36" s="315">
        <f t="shared" si="28"/>
        <v>3</v>
      </c>
      <c r="K36" s="315">
        <f t="shared" si="28"/>
        <v>3</v>
      </c>
      <c r="L36" s="315">
        <f t="shared" si="28"/>
        <v>3</v>
      </c>
      <c r="M36" s="315">
        <f t="shared" si="28"/>
        <v>3</v>
      </c>
      <c r="N36" s="315">
        <f t="shared" si="28"/>
        <v>3</v>
      </c>
      <c r="O36" s="315">
        <f t="shared" si="28"/>
        <v>3</v>
      </c>
      <c r="P36" s="315">
        <f t="shared" si="28"/>
        <v>3</v>
      </c>
      <c r="Q36" s="315">
        <f t="shared" si="28"/>
        <v>3</v>
      </c>
      <c r="R36" s="315">
        <f t="shared" si="28"/>
        <v>3</v>
      </c>
      <c r="S36" s="315">
        <f t="shared" si="28"/>
        <v>3</v>
      </c>
      <c r="T36" s="315">
        <f t="shared" si="28"/>
        <v>3</v>
      </c>
      <c r="U36" s="315">
        <f t="shared" si="28"/>
        <v>3</v>
      </c>
      <c r="V36" s="315">
        <f t="shared" si="28"/>
        <v>3</v>
      </c>
      <c r="W36" s="315">
        <f t="shared" si="28"/>
        <v>3</v>
      </c>
      <c r="X36" s="315">
        <f t="shared" si="28"/>
        <v>3</v>
      </c>
      <c r="Y36" s="315">
        <f t="shared" si="28"/>
        <v>3</v>
      </c>
      <c r="Z36" s="315">
        <f t="shared" si="28"/>
        <v>3</v>
      </c>
      <c r="AA36" s="315">
        <f t="shared" si="28"/>
        <v>3</v>
      </c>
      <c r="AB36" s="315">
        <f t="shared" si="28"/>
        <v>3</v>
      </c>
      <c r="AC36" s="315">
        <f t="shared" si="28"/>
        <v>3</v>
      </c>
      <c r="AD36" s="315">
        <f t="shared" si="28"/>
        <v>3</v>
      </c>
      <c r="AE36" s="315">
        <f t="shared" si="28"/>
        <v>3</v>
      </c>
      <c r="AF36" s="315">
        <f t="shared" si="28"/>
        <v>3</v>
      </c>
      <c r="AG36" s="315">
        <f t="shared" ref="AG36:AI36" si="29">COUNT(AG19:AG29)-AG33</f>
        <v>3</v>
      </c>
      <c r="AH36" s="315">
        <f t="shared" si="29"/>
        <v>3</v>
      </c>
      <c r="AI36" s="315">
        <f t="shared" si="29"/>
        <v>3</v>
      </c>
      <c r="AJ36" s="315">
        <f t="shared" si="28"/>
        <v>3</v>
      </c>
      <c r="AK36" s="315">
        <f t="shared" si="28"/>
        <v>3</v>
      </c>
      <c r="AL36" s="315">
        <f t="shared" si="28"/>
        <v>3</v>
      </c>
      <c r="AM36" s="316">
        <f t="shared" si="28"/>
        <v>3</v>
      </c>
      <c r="AN36" s="317">
        <f t="shared" si="24"/>
        <v>93</v>
      </c>
      <c r="AO36" s="171">
        <f>AN36*8</f>
        <v>744</v>
      </c>
    </row>
    <row r="37" spans="1:56" ht="21.95" customHeight="1">
      <c r="B37" s="396" t="s">
        <v>131</v>
      </c>
      <c r="C37" s="397"/>
      <c r="D37" s="398"/>
      <c r="E37" s="147"/>
      <c r="F37" s="147"/>
      <c r="G37" s="147"/>
      <c r="H37" s="149"/>
      <c r="I37" s="150">
        <v>3</v>
      </c>
      <c r="J37" s="151">
        <v>3</v>
      </c>
      <c r="K37" s="151">
        <v>3</v>
      </c>
      <c r="L37" s="151">
        <v>3</v>
      </c>
      <c r="M37" s="151">
        <v>3</v>
      </c>
      <c r="N37" s="151">
        <v>3</v>
      </c>
      <c r="O37" s="151">
        <v>3</v>
      </c>
      <c r="P37" s="151">
        <v>3</v>
      </c>
      <c r="Q37" s="151">
        <v>3</v>
      </c>
      <c r="R37" s="151">
        <v>3</v>
      </c>
      <c r="S37" s="151">
        <v>3</v>
      </c>
      <c r="T37" s="151">
        <v>3</v>
      </c>
      <c r="U37" s="151">
        <v>3</v>
      </c>
      <c r="V37" s="151">
        <v>3</v>
      </c>
      <c r="W37" s="151">
        <v>3</v>
      </c>
      <c r="X37" s="151">
        <v>3</v>
      </c>
      <c r="Y37" s="151">
        <v>3</v>
      </c>
      <c r="Z37" s="151">
        <v>3</v>
      </c>
      <c r="AA37" s="151">
        <v>3</v>
      </c>
      <c r="AB37" s="151">
        <v>3</v>
      </c>
      <c r="AC37" s="151">
        <v>3</v>
      </c>
      <c r="AD37" s="151">
        <v>3</v>
      </c>
      <c r="AE37" s="151">
        <v>3</v>
      </c>
      <c r="AF37" s="151">
        <v>3</v>
      </c>
      <c r="AG37" s="151">
        <v>3</v>
      </c>
      <c r="AH37" s="151">
        <v>3</v>
      </c>
      <c r="AI37" s="151">
        <v>3</v>
      </c>
      <c r="AJ37" s="151">
        <v>3</v>
      </c>
      <c r="AK37" s="151">
        <v>3</v>
      </c>
      <c r="AL37" s="151">
        <v>3</v>
      </c>
      <c r="AM37" s="186">
        <v>3</v>
      </c>
      <c r="AN37" s="152">
        <f t="shared" si="24"/>
        <v>93</v>
      </c>
      <c r="AO37" s="149">
        <f t="shared" si="25"/>
        <v>744</v>
      </c>
    </row>
    <row r="38" spans="1:56" ht="21.95" customHeight="1" thickBot="1">
      <c r="B38" s="402" t="s">
        <v>132</v>
      </c>
      <c r="C38" s="403"/>
      <c r="D38" s="404"/>
      <c r="E38" s="191"/>
      <c r="F38" s="191"/>
      <c r="G38" s="191"/>
      <c r="H38" s="192"/>
      <c r="I38" s="158">
        <f>IF((I36-I37)&lt;0,I36-I37,0)</f>
        <v>0</v>
      </c>
      <c r="J38" s="159">
        <f t="shared" ref="J38:AM38" si="30">IF((J36-J37)&lt;0,J36-J37,0)</f>
        <v>0</v>
      </c>
      <c r="K38" s="159">
        <f t="shared" si="30"/>
        <v>0</v>
      </c>
      <c r="L38" s="159">
        <f t="shared" si="30"/>
        <v>0</v>
      </c>
      <c r="M38" s="159">
        <f t="shared" si="30"/>
        <v>0</v>
      </c>
      <c r="N38" s="159">
        <f t="shared" si="30"/>
        <v>0</v>
      </c>
      <c r="O38" s="159">
        <f t="shared" si="30"/>
        <v>0</v>
      </c>
      <c r="P38" s="159">
        <f t="shared" si="30"/>
        <v>0</v>
      </c>
      <c r="Q38" s="159">
        <f t="shared" si="30"/>
        <v>0</v>
      </c>
      <c r="R38" s="159">
        <f t="shared" si="30"/>
        <v>0</v>
      </c>
      <c r="S38" s="159">
        <f t="shared" si="30"/>
        <v>0</v>
      </c>
      <c r="T38" s="159">
        <f t="shared" si="30"/>
        <v>0</v>
      </c>
      <c r="U38" s="159">
        <f t="shared" si="30"/>
        <v>0</v>
      </c>
      <c r="V38" s="159">
        <f t="shared" si="30"/>
        <v>0</v>
      </c>
      <c r="W38" s="159">
        <f t="shared" si="30"/>
        <v>0</v>
      </c>
      <c r="X38" s="159">
        <f t="shared" si="30"/>
        <v>0</v>
      </c>
      <c r="Y38" s="159">
        <f t="shared" si="30"/>
        <v>0</v>
      </c>
      <c r="Z38" s="159">
        <f t="shared" si="30"/>
        <v>0</v>
      </c>
      <c r="AA38" s="159">
        <f t="shared" si="30"/>
        <v>0</v>
      </c>
      <c r="AB38" s="159">
        <f t="shared" si="30"/>
        <v>0</v>
      </c>
      <c r="AC38" s="159">
        <f t="shared" si="30"/>
        <v>0</v>
      </c>
      <c r="AD38" s="159">
        <f t="shared" si="30"/>
        <v>0</v>
      </c>
      <c r="AE38" s="159">
        <f t="shared" si="30"/>
        <v>0</v>
      </c>
      <c r="AF38" s="159">
        <f t="shared" si="30"/>
        <v>0</v>
      </c>
      <c r="AG38" s="159">
        <f t="shared" ref="AG38:AI38" si="31">IF((AG36-AG37)&lt;0,AG36-AG37,0)</f>
        <v>0</v>
      </c>
      <c r="AH38" s="159">
        <f t="shared" si="31"/>
        <v>0</v>
      </c>
      <c r="AI38" s="159">
        <f t="shared" si="31"/>
        <v>0</v>
      </c>
      <c r="AJ38" s="159">
        <f t="shared" si="30"/>
        <v>0</v>
      </c>
      <c r="AK38" s="159">
        <f t="shared" si="30"/>
        <v>0</v>
      </c>
      <c r="AL38" s="159">
        <f t="shared" si="30"/>
        <v>0</v>
      </c>
      <c r="AM38" s="187">
        <f t="shared" si="30"/>
        <v>0</v>
      </c>
      <c r="AN38" s="193">
        <f t="shared" si="24"/>
        <v>0</v>
      </c>
      <c r="AO38" s="194">
        <f t="shared" si="25"/>
        <v>0</v>
      </c>
    </row>
    <row r="39" spans="1:56" ht="21.95" customHeight="1">
      <c r="B39" s="408" t="s">
        <v>133</v>
      </c>
      <c r="C39" s="409"/>
      <c r="D39" s="410"/>
      <c r="E39" s="195"/>
      <c r="F39" s="195"/>
      <c r="G39" s="195"/>
      <c r="H39" s="196"/>
      <c r="I39" s="197">
        <f t="shared" ref="I39:AM39" si="32">SUM(I14+I33+I36)</f>
        <v>11</v>
      </c>
      <c r="J39" s="198">
        <f t="shared" si="32"/>
        <v>11</v>
      </c>
      <c r="K39" s="198">
        <f t="shared" si="32"/>
        <v>11</v>
      </c>
      <c r="L39" s="198">
        <f t="shared" si="32"/>
        <v>11</v>
      </c>
      <c r="M39" s="198">
        <f t="shared" si="32"/>
        <v>11</v>
      </c>
      <c r="N39" s="198">
        <f t="shared" si="32"/>
        <v>11</v>
      </c>
      <c r="O39" s="198">
        <f t="shared" si="32"/>
        <v>11</v>
      </c>
      <c r="P39" s="198">
        <f t="shared" si="32"/>
        <v>11</v>
      </c>
      <c r="Q39" s="198">
        <f t="shared" si="32"/>
        <v>11</v>
      </c>
      <c r="R39" s="198">
        <f t="shared" si="32"/>
        <v>11</v>
      </c>
      <c r="S39" s="198">
        <f t="shared" si="32"/>
        <v>11</v>
      </c>
      <c r="T39" s="198">
        <f t="shared" si="32"/>
        <v>11</v>
      </c>
      <c r="U39" s="198">
        <f t="shared" si="32"/>
        <v>11</v>
      </c>
      <c r="V39" s="198">
        <f t="shared" si="32"/>
        <v>11</v>
      </c>
      <c r="W39" s="198">
        <f t="shared" si="32"/>
        <v>11</v>
      </c>
      <c r="X39" s="198">
        <f t="shared" si="32"/>
        <v>11</v>
      </c>
      <c r="Y39" s="198">
        <f t="shared" si="32"/>
        <v>11</v>
      </c>
      <c r="Z39" s="198">
        <f t="shared" si="32"/>
        <v>11</v>
      </c>
      <c r="AA39" s="198">
        <f t="shared" si="32"/>
        <v>11</v>
      </c>
      <c r="AB39" s="198">
        <f t="shared" si="32"/>
        <v>11</v>
      </c>
      <c r="AC39" s="198">
        <f t="shared" si="32"/>
        <v>11</v>
      </c>
      <c r="AD39" s="198">
        <f t="shared" si="32"/>
        <v>11</v>
      </c>
      <c r="AE39" s="198">
        <f t="shared" si="32"/>
        <v>11</v>
      </c>
      <c r="AF39" s="198">
        <f t="shared" si="32"/>
        <v>11</v>
      </c>
      <c r="AG39" s="198">
        <f t="shared" ref="AG39:AI39" si="33">SUM(AG14+AG33+AG36)</f>
        <v>11</v>
      </c>
      <c r="AH39" s="198">
        <f t="shared" si="33"/>
        <v>11</v>
      </c>
      <c r="AI39" s="198">
        <f t="shared" si="33"/>
        <v>11</v>
      </c>
      <c r="AJ39" s="198">
        <f t="shared" si="32"/>
        <v>11</v>
      </c>
      <c r="AK39" s="198">
        <f t="shared" si="32"/>
        <v>11</v>
      </c>
      <c r="AL39" s="198">
        <f t="shared" si="32"/>
        <v>11</v>
      </c>
      <c r="AM39" s="199">
        <f t="shared" si="32"/>
        <v>11</v>
      </c>
      <c r="AN39" s="144">
        <f>SUM(I39:AM39)</f>
        <v>341</v>
      </c>
      <c r="AO39" s="141">
        <f>SUM(AO14,AO33,AO36)</f>
        <v>2728</v>
      </c>
    </row>
    <row r="40" spans="1:56" ht="21.95" customHeight="1">
      <c r="B40" s="396" t="s">
        <v>134</v>
      </c>
      <c r="C40" s="397"/>
      <c r="D40" s="398"/>
      <c r="E40" s="147"/>
      <c r="F40" s="147"/>
      <c r="G40" s="147"/>
      <c r="H40" s="149"/>
      <c r="I40" s="150">
        <f t="shared" ref="I40:AM40" si="34">SUM(I15+I34+I37)</f>
        <v>11</v>
      </c>
      <c r="J40" s="151">
        <f t="shared" si="34"/>
        <v>11</v>
      </c>
      <c r="K40" s="151">
        <f t="shared" si="34"/>
        <v>11</v>
      </c>
      <c r="L40" s="151">
        <f t="shared" si="34"/>
        <v>11</v>
      </c>
      <c r="M40" s="151">
        <f t="shared" si="34"/>
        <v>11</v>
      </c>
      <c r="N40" s="151">
        <f t="shared" si="34"/>
        <v>11</v>
      </c>
      <c r="O40" s="151">
        <f t="shared" si="34"/>
        <v>11</v>
      </c>
      <c r="P40" s="151">
        <f t="shared" si="34"/>
        <v>11</v>
      </c>
      <c r="Q40" s="151">
        <f t="shared" si="34"/>
        <v>11</v>
      </c>
      <c r="R40" s="151">
        <f t="shared" si="34"/>
        <v>11</v>
      </c>
      <c r="S40" s="151">
        <f t="shared" si="34"/>
        <v>11</v>
      </c>
      <c r="T40" s="151">
        <f t="shared" si="34"/>
        <v>11</v>
      </c>
      <c r="U40" s="151">
        <f t="shared" si="34"/>
        <v>11</v>
      </c>
      <c r="V40" s="151">
        <f t="shared" si="34"/>
        <v>11</v>
      </c>
      <c r="W40" s="151">
        <f t="shared" si="34"/>
        <v>11</v>
      </c>
      <c r="X40" s="151">
        <f t="shared" si="34"/>
        <v>11</v>
      </c>
      <c r="Y40" s="151">
        <f t="shared" si="34"/>
        <v>11</v>
      </c>
      <c r="Z40" s="151">
        <f t="shared" si="34"/>
        <v>11</v>
      </c>
      <c r="AA40" s="151">
        <f t="shared" si="34"/>
        <v>11</v>
      </c>
      <c r="AB40" s="151">
        <f t="shared" si="34"/>
        <v>11</v>
      </c>
      <c r="AC40" s="151">
        <f t="shared" si="34"/>
        <v>11</v>
      </c>
      <c r="AD40" s="151">
        <f t="shared" si="34"/>
        <v>11</v>
      </c>
      <c r="AE40" s="151">
        <f t="shared" si="34"/>
        <v>11</v>
      </c>
      <c r="AF40" s="151">
        <f t="shared" si="34"/>
        <v>11</v>
      </c>
      <c r="AG40" s="151">
        <f t="shared" ref="AG40:AI40" si="35">SUM(AG15+AG34+AG37)</f>
        <v>11</v>
      </c>
      <c r="AH40" s="151">
        <f t="shared" si="35"/>
        <v>11</v>
      </c>
      <c r="AI40" s="151">
        <f t="shared" si="35"/>
        <v>11</v>
      </c>
      <c r="AJ40" s="151">
        <f t="shared" si="34"/>
        <v>11</v>
      </c>
      <c r="AK40" s="151">
        <f t="shared" si="34"/>
        <v>11</v>
      </c>
      <c r="AL40" s="151">
        <f t="shared" si="34"/>
        <v>11</v>
      </c>
      <c r="AM40" s="186">
        <f t="shared" si="34"/>
        <v>11</v>
      </c>
      <c r="AN40" s="152">
        <f>SUM(I40:AM40)</f>
        <v>341</v>
      </c>
      <c r="AO40" s="149">
        <f>SUM(AO15+AO34+AO37)</f>
        <v>2728</v>
      </c>
    </row>
    <row r="41" spans="1:56" ht="21.95" customHeight="1" thickBot="1">
      <c r="B41" s="405" t="s">
        <v>135</v>
      </c>
      <c r="C41" s="406"/>
      <c r="D41" s="407"/>
      <c r="E41" s="200"/>
      <c r="F41" s="200"/>
      <c r="G41" s="200"/>
      <c r="H41" s="201"/>
      <c r="I41" s="158">
        <f>IF((I39-I40)&lt;0,I39-I40,0)</f>
        <v>0</v>
      </c>
      <c r="J41" s="159">
        <f t="shared" ref="J41:AM41" si="36">IF((J39-J40)&lt;0,J39-J40,0)</f>
        <v>0</v>
      </c>
      <c r="K41" s="159">
        <f t="shared" si="36"/>
        <v>0</v>
      </c>
      <c r="L41" s="159">
        <f t="shared" si="36"/>
        <v>0</v>
      </c>
      <c r="M41" s="159">
        <f t="shared" si="36"/>
        <v>0</v>
      </c>
      <c r="N41" s="159">
        <f t="shared" si="36"/>
        <v>0</v>
      </c>
      <c r="O41" s="159">
        <f t="shared" si="36"/>
        <v>0</v>
      </c>
      <c r="P41" s="159">
        <f t="shared" si="36"/>
        <v>0</v>
      </c>
      <c r="Q41" s="159">
        <f t="shared" si="36"/>
        <v>0</v>
      </c>
      <c r="R41" s="159">
        <f t="shared" si="36"/>
        <v>0</v>
      </c>
      <c r="S41" s="159">
        <f t="shared" si="36"/>
        <v>0</v>
      </c>
      <c r="T41" s="159">
        <f t="shared" si="36"/>
        <v>0</v>
      </c>
      <c r="U41" s="159">
        <f t="shared" si="36"/>
        <v>0</v>
      </c>
      <c r="V41" s="159">
        <f t="shared" si="36"/>
        <v>0</v>
      </c>
      <c r="W41" s="159">
        <f t="shared" si="36"/>
        <v>0</v>
      </c>
      <c r="X41" s="159">
        <f t="shared" si="36"/>
        <v>0</v>
      </c>
      <c r="Y41" s="159">
        <f t="shared" si="36"/>
        <v>0</v>
      </c>
      <c r="Z41" s="159">
        <f t="shared" si="36"/>
        <v>0</v>
      </c>
      <c r="AA41" s="159">
        <f t="shared" si="36"/>
        <v>0</v>
      </c>
      <c r="AB41" s="159">
        <f t="shared" si="36"/>
        <v>0</v>
      </c>
      <c r="AC41" s="159">
        <f t="shared" si="36"/>
        <v>0</v>
      </c>
      <c r="AD41" s="159">
        <f t="shared" si="36"/>
        <v>0</v>
      </c>
      <c r="AE41" s="159">
        <f t="shared" si="36"/>
        <v>0</v>
      </c>
      <c r="AF41" s="159">
        <f t="shared" si="36"/>
        <v>0</v>
      </c>
      <c r="AG41" s="159">
        <f t="shared" ref="AG41:AI41" si="37">IF((AG39-AG40)&lt;0,AG39-AG40,0)</f>
        <v>0</v>
      </c>
      <c r="AH41" s="159">
        <f t="shared" si="37"/>
        <v>0</v>
      </c>
      <c r="AI41" s="159">
        <f t="shared" si="37"/>
        <v>0</v>
      </c>
      <c r="AJ41" s="159">
        <f t="shared" si="36"/>
        <v>0</v>
      </c>
      <c r="AK41" s="159">
        <f t="shared" si="36"/>
        <v>0</v>
      </c>
      <c r="AL41" s="159">
        <f t="shared" si="36"/>
        <v>0</v>
      </c>
      <c r="AM41" s="187">
        <f t="shared" si="36"/>
        <v>0</v>
      </c>
      <c r="AN41" s="205">
        <f>SUM(I41:AM41)</f>
        <v>0</v>
      </c>
      <c r="AO41" s="189">
        <f>AN41*8</f>
        <v>0</v>
      </c>
    </row>
    <row r="42" spans="1:56" ht="21.95" customHeight="1">
      <c r="B42" s="91"/>
      <c r="C42" s="90"/>
      <c r="D42" s="90"/>
      <c r="E42" s="90"/>
      <c r="F42" s="90"/>
      <c r="G42" s="90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399"/>
      <c r="AD42" s="399"/>
      <c r="AE42" s="399"/>
      <c r="AF42" s="399"/>
      <c r="AG42" s="399"/>
      <c r="AH42" s="399"/>
      <c r="AI42" s="399"/>
      <c r="AJ42" s="399"/>
      <c r="AK42" s="399"/>
      <c r="AL42" s="399"/>
      <c r="AM42" s="399"/>
      <c r="AN42" s="399"/>
      <c r="AO42" s="399"/>
      <c r="AP42" s="217"/>
      <c r="AQ42" s="217"/>
      <c r="AR42" s="217"/>
    </row>
    <row r="43" spans="1:56" ht="21.95" customHeight="1">
      <c r="B43" s="91"/>
      <c r="C43" s="90"/>
      <c r="D43" s="90"/>
      <c r="E43" s="90"/>
      <c r="F43" s="90"/>
      <c r="G43" s="90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219"/>
      <c r="AD43" s="219"/>
      <c r="AE43" s="219"/>
      <c r="AF43" s="219"/>
      <c r="AG43" s="219"/>
      <c r="AH43" s="219"/>
      <c r="AI43" s="219"/>
      <c r="AJ43" s="219"/>
      <c r="AK43" s="219"/>
      <c r="AL43" s="219"/>
      <c r="AM43" s="219"/>
      <c r="AN43" s="219"/>
      <c r="AO43" s="219"/>
      <c r="AP43" s="218"/>
      <c r="AQ43" s="218"/>
      <c r="AR43" s="218"/>
    </row>
    <row r="44" spans="1:56" s="13" customFormat="1" ht="22.5" customHeight="1">
      <c r="A44" s="376"/>
      <c r="B44" s="377"/>
      <c r="C44" s="378"/>
      <c r="D44" s="378"/>
      <c r="E44" s="378"/>
      <c r="F44" s="378"/>
      <c r="G44" s="378"/>
      <c r="H44" s="379" t="s">
        <v>136</v>
      </c>
      <c r="I44" s="380" t="s">
        <v>40</v>
      </c>
      <c r="J44" s="381"/>
      <c r="K44" s="381"/>
      <c r="L44" s="381"/>
      <c r="M44" s="381"/>
      <c r="N44" s="381"/>
      <c r="O44" s="381"/>
      <c r="P44" s="381"/>
      <c r="Q44" s="381"/>
      <c r="R44" s="351"/>
      <c r="S44" s="351"/>
      <c r="T44" s="351"/>
      <c r="U44" s="351"/>
      <c r="V44" s="351"/>
      <c r="W44" s="351"/>
      <c r="X44" s="351"/>
      <c r="Y44" s="351"/>
      <c r="Z44" s="378"/>
      <c r="AA44" s="400" t="s">
        <v>80</v>
      </c>
      <c r="AB44" s="401"/>
      <c r="AC44" s="382" t="s">
        <v>41</v>
      </c>
      <c r="AD44" s="383" t="s">
        <v>8</v>
      </c>
      <c r="AE44" s="384" t="s">
        <v>5</v>
      </c>
      <c r="AF44" s="385" t="s">
        <v>6</v>
      </c>
      <c r="AG44" s="386" t="s">
        <v>42</v>
      </c>
      <c r="AH44" s="387" t="s">
        <v>178</v>
      </c>
      <c r="AI44" s="378"/>
      <c r="AJ44" s="378"/>
      <c r="AK44" s="377"/>
      <c r="AL44" s="377"/>
      <c r="AM44" s="376"/>
      <c r="AN44" s="376"/>
      <c r="AO44" s="376"/>
      <c r="AP44" s="376"/>
      <c r="AQ44" s="376"/>
      <c r="AR44" s="376"/>
      <c r="AS44" s="376"/>
      <c r="AT44" s="376"/>
      <c r="AU44" s="376"/>
      <c r="AV44" s="376"/>
      <c r="AW44" s="376"/>
      <c r="AX44" s="376"/>
      <c r="AY44" s="376"/>
      <c r="AZ44" s="376"/>
      <c r="BA44" s="376"/>
    </row>
    <row r="45" spans="1:56" s="13" customFormat="1" ht="21.95" customHeight="1">
      <c r="A45" s="376"/>
      <c r="B45" s="377"/>
      <c r="C45" s="378"/>
      <c r="D45" s="378"/>
      <c r="E45" s="378"/>
      <c r="F45" s="378"/>
      <c r="G45" s="378"/>
      <c r="H45" s="388"/>
      <c r="I45" s="380" t="s">
        <v>179</v>
      </c>
      <c r="J45" s="351"/>
      <c r="K45" s="351"/>
      <c r="L45" s="351"/>
      <c r="M45" s="351"/>
      <c r="N45" s="351"/>
      <c r="O45" s="351"/>
      <c r="P45" s="351"/>
      <c r="Q45" s="351"/>
      <c r="R45" s="351"/>
      <c r="S45" s="351"/>
      <c r="T45" s="351"/>
      <c r="U45" s="351"/>
      <c r="V45" s="351"/>
      <c r="W45" s="351"/>
      <c r="X45" s="351"/>
      <c r="Y45" s="351"/>
      <c r="Z45" s="378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6"/>
      <c r="AQ45" s="376"/>
      <c r="AR45" s="376"/>
      <c r="AS45" s="376"/>
      <c r="AT45" s="376"/>
      <c r="AU45" s="376"/>
      <c r="AV45" s="376"/>
      <c r="AW45" s="376"/>
      <c r="AX45" s="376"/>
      <c r="AY45" s="376"/>
      <c r="AZ45" s="376"/>
      <c r="BA45" s="376"/>
      <c r="BB45" s="376"/>
      <c r="BC45" s="376"/>
      <c r="BD45" s="376"/>
    </row>
    <row r="46" spans="1:56" ht="21.95" customHeight="1">
      <c r="AF46" s="31"/>
      <c r="AG46" s="31"/>
      <c r="AH46" s="31"/>
      <c r="AI46" s="31"/>
    </row>
    <row r="47" spans="1:56" ht="21.95" customHeight="1">
      <c r="D47" s="31"/>
      <c r="H47" s="32"/>
      <c r="I47" s="32"/>
      <c r="J47" s="32"/>
      <c r="AF47" s="31"/>
      <c r="AG47" s="31"/>
      <c r="AH47" s="31"/>
      <c r="AI47" s="31"/>
    </row>
    <row r="48" spans="1:56" ht="21.95" customHeight="1">
      <c r="D48" s="31"/>
      <c r="H48" s="32"/>
      <c r="AF48" s="31"/>
      <c r="AG48" s="31"/>
      <c r="AH48" s="31"/>
      <c r="AI48" s="31"/>
    </row>
    <row r="49" spans="9:41" ht="21.95" customHeight="1">
      <c r="AF49" s="31"/>
      <c r="AG49" s="31"/>
      <c r="AH49" s="31"/>
      <c r="AI49" s="31"/>
      <c r="AK49" s="37"/>
      <c r="AL49" s="39"/>
      <c r="AM49" s="39"/>
      <c r="AN49" s="39"/>
      <c r="AO49" s="39"/>
    </row>
    <row r="50" spans="9:41" ht="21.95" customHeight="1">
      <c r="I50" s="36"/>
      <c r="AF50" s="31"/>
      <c r="AG50" s="31"/>
      <c r="AH50" s="31"/>
      <c r="AI50" s="31"/>
      <c r="AK50" s="39"/>
      <c r="AL50" s="39"/>
      <c r="AM50" s="39"/>
      <c r="AN50" s="39"/>
      <c r="AO50" s="39"/>
    </row>
    <row r="51" spans="9:41" ht="21.95" customHeight="1">
      <c r="AF51" s="31"/>
      <c r="AG51" s="31"/>
      <c r="AH51" s="31"/>
      <c r="AI51" s="31"/>
      <c r="AK51" s="39"/>
      <c r="AL51" s="39"/>
      <c r="AM51" s="39"/>
      <c r="AN51" s="40"/>
      <c r="AO51" s="40"/>
    </row>
    <row r="52" spans="9:41" ht="21.95" customHeight="1">
      <c r="AF52" s="31"/>
      <c r="AG52" s="31"/>
      <c r="AH52" s="31"/>
      <c r="AI52" s="31"/>
      <c r="AK52" s="39"/>
      <c r="AL52" s="39"/>
      <c r="AM52" s="39"/>
      <c r="AN52" s="40"/>
      <c r="AO52" s="40"/>
    </row>
    <row r="53" spans="9:41" ht="21.95" customHeight="1">
      <c r="AF53" s="31"/>
      <c r="AG53" s="31"/>
      <c r="AH53" s="31"/>
      <c r="AI53" s="31"/>
      <c r="AK53" s="37"/>
      <c r="AL53" s="41"/>
      <c r="AM53" s="42"/>
      <c r="AN53" s="42"/>
      <c r="AO53" s="42"/>
    </row>
    <row r="54" spans="9:41" ht="21.95" customHeight="1"/>
    <row r="55" spans="9:41" ht="21.95" customHeight="1"/>
    <row r="56" spans="9:41" ht="21.95" customHeight="1"/>
    <row r="57" spans="9:41" ht="21.95" customHeight="1"/>
    <row r="58" spans="9:41" ht="21.95" customHeight="1"/>
    <row r="59" spans="9:41" ht="21.95" customHeight="1"/>
    <row r="60" spans="9:41" ht="21.95" customHeight="1"/>
    <row r="61" spans="9:41" ht="21.95" customHeight="1"/>
    <row r="62" spans="9:41" ht="21.95" customHeight="1"/>
    <row r="63" spans="9:41" ht="21.95" customHeight="1"/>
    <row r="64" spans="9:41" ht="21.95" customHeight="1"/>
    <row r="65" ht="21.95" customHeight="1"/>
    <row r="66" ht="21.95" customHeight="1"/>
    <row r="67" ht="21.95" customHeight="1"/>
    <row r="68" ht="21.95" customHeight="1"/>
    <row r="69" ht="21.95" customHeight="1"/>
    <row r="70" ht="21.95" customHeight="1"/>
    <row r="71" ht="21.95" customHeight="1"/>
    <row r="72" ht="21.95" customHeight="1"/>
    <row r="73" ht="21.95" customHeight="1"/>
    <row r="74" ht="21.95" customHeight="1"/>
    <row r="75" ht="21.95" customHeight="1"/>
    <row r="76" ht="21.95" customHeight="1"/>
    <row r="77" ht="21.95" customHeight="1"/>
    <row r="78" ht="21.95" customHeight="1"/>
    <row r="79" ht="21.95" customHeight="1"/>
    <row r="80" ht="21.95" customHeight="1"/>
    <row r="81" ht="21.95" customHeight="1"/>
    <row r="82" ht="21.95" customHeight="1"/>
    <row r="83" ht="21.95" customHeight="1"/>
    <row r="84" ht="21.95" customHeight="1"/>
    <row r="85" ht="21.95" customHeight="1"/>
    <row r="86" ht="21.95" customHeight="1"/>
    <row r="87" ht="21.95" customHeight="1"/>
    <row r="88" ht="21.95" customHeight="1"/>
    <row r="89" ht="21.95" customHeight="1"/>
    <row r="90" ht="21.95" customHeight="1"/>
    <row r="91" ht="21.95" customHeight="1"/>
    <row r="92" ht="21.95" customHeight="1"/>
    <row r="93" ht="21.95" customHeight="1"/>
    <row r="94" ht="21.95" customHeight="1"/>
    <row r="95" ht="21.95" customHeight="1"/>
    <row r="96" ht="21.95" customHeight="1"/>
    <row r="97" ht="21.95" customHeight="1"/>
    <row r="98" ht="21.95" customHeight="1"/>
    <row r="99" ht="21.95" customHeight="1"/>
    <row r="100" ht="21.95" customHeight="1"/>
    <row r="101" ht="21.95" customHeight="1"/>
    <row r="102" ht="21.95" customHeight="1"/>
    <row r="103" ht="21.95" customHeight="1"/>
    <row r="104" ht="21.95" customHeight="1"/>
    <row r="105" ht="21.95" customHeight="1"/>
    <row r="106" ht="21.95" customHeight="1"/>
    <row r="107" ht="21.95" customHeight="1"/>
    <row r="108" ht="21.95" customHeight="1"/>
    <row r="109" ht="21.95" customHeight="1"/>
    <row r="110" ht="21.95" customHeight="1"/>
    <row r="111" ht="21.95" customHeight="1"/>
    <row r="112" ht="21.95" customHeight="1"/>
    <row r="113" ht="21.95" customHeight="1"/>
    <row r="114" ht="21.95" customHeight="1"/>
    <row r="115" ht="21.95" customHeight="1"/>
    <row r="116" ht="21.95" customHeight="1"/>
    <row r="117" ht="21.95" customHeight="1"/>
    <row r="118" ht="21.95" customHeight="1"/>
    <row r="119" ht="21.95" customHeight="1"/>
    <row r="120" ht="21.95" customHeight="1"/>
    <row r="121" ht="21.95" customHeight="1"/>
    <row r="122" ht="21.95" customHeight="1"/>
    <row r="123" ht="21.95" customHeight="1"/>
    <row r="124" ht="21.95" customHeight="1"/>
    <row r="125" ht="21.95" customHeight="1"/>
    <row r="126" ht="21.95" customHeight="1"/>
    <row r="127" ht="21.95" customHeight="1"/>
    <row r="128" ht="21.95" customHeight="1"/>
    <row r="129" ht="21.95" customHeight="1"/>
    <row r="130" ht="21.95" customHeight="1"/>
    <row r="131" ht="21.95" customHeight="1"/>
    <row r="132" ht="21.95" customHeight="1"/>
    <row r="133" ht="21.95" customHeight="1"/>
    <row r="134" ht="21.95" customHeight="1"/>
    <row r="135" ht="21.95" customHeight="1"/>
    <row r="136" ht="21.95" customHeight="1"/>
    <row r="137" ht="21.95" customHeight="1"/>
  </sheetData>
  <autoFilter ref="D7:D30" xr:uid="{1450C31C-5F60-4271-9B54-00C629EC2180}"/>
  <mergeCells count="20">
    <mergeCell ref="B3:AO3"/>
    <mergeCell ref="B2:AO2"/>
    <mergeCell ref="B1:AO1"/>
    <mergeCell ref="O4:Y4"/>
    <mergeCell ref="BC6:BC7"/>
    <mergeCell ref="AN6:AN7"/>
    <mergeCell ref="AO6:AO7"/>
    <mergeCell ref="AA44:AB44"/>
    <mergeCell ref="B35:D35"/>
    <mergeCell ref="B41:D41"/>
    <mergeCell ref="B36:D36"/>
    <mergeCell ref="B37:D37"/>
    <mergeCell ref="B38:D38"/>
    <mergeCell ref="B39:D39"/>
    <mergeCell ref="B40:D40"/>
    <mergeCell ref="B30:C30"/>
    <mergeCell ref="D30:H30"/>
    <mergeCell ref="B33:D33"/>
    <mergeCell ref="B34:D34"/>
    <mergeCell ref="AC42:AO42"/>
  </mergeCells>
  <phoneticPr fontId="1" type="noConversion"/>
  <conditionalFormatting sqref="B1:B2">
    <cfRule type="cellIs" dxfId="1362" priority="163" operator="equal">
      <formula>"NC"</formula>
    </cfRule>
    <cfRule type="cellIs" dxfId="1361" priority="164" operator="equal">
      <formula>"R"</formula>
    </cfRule>
    <cfRule type="cellIs" dxfId="1360" priority="165" stopIfTrue="1" operator="equal">
      <formula>"RD"</formula>
    </cfRule>
    <cfRule type="cellIs" dxfId="1359" priority="907" operator="equal">
      <formula>"NP"</formula>
    </cfRule>
    <cfRule type="cellIs" dxfId="1358" priority="908" operator="equal">
      <formula>"NC"</formula>
    </cfRule>
    <cfRule type="cellIs" dxfId="1357" priority="912" stopIfTrue="1" operator="equal">
      <formula>"NP"</formula>
    </cfRule>
  </conditionalFormatting>
  <conditionalFormatting sqref="C4">
    <cfRule type="cellIs" dxfId="1356" priority="902" operator="equal">
      <formula>"NC"</formula>
    </cfRule>
    <cfRule type="cellIs" dxfId="1355" priority="903" stopIfTrue="1" operator="equal">
      <formula>"NP"</formula>
    </cfRule>
    <cfRule type="cellIs" dxfId="1354" priority="904" stopIfTrue="1" operator="equal">
      <formula>"RD"</formula>
    </cfRule>
    <cfRule type="cellIs" dxfId="1353" priority="905" operator="equal">
      <formula>"NC"</formula>
    </cfRule>
    <cfRule type="cellIs" dxfId="1352" priority="906" operator="equal">
      <formula>"R"</formula>
    </cfRule>
  </conditionalFormatting>
  <conditionalFormatting sqref="I10">
    <cfRule type="cellIs" dxfId="1351" priority="220" operator="equal">
      <formula>"SG"</formula>
    </cfRule>
    <cfRule type="cellIs" dxfId="1350" priority="221" operator="equal">
      <formula>"SR"</formula>
    </cfRule>
    <cfRule type="containsText" dxfId="1349" priority="222" operator="containsText" text="AL">
      <formula>NOT(ISERROR(SEARCH("AL",I10)))</formula>
    </cfRule>
    <cfRule type="containsText" dxfId="1348" priority="224" operator="containsText" text="SL">
      <formula>NOT(ISERROR(SEARCH("SL",I10)))</formula>
    </cfRule>
    <cfRule type="containsText" dxfId="1347" priority="225" operator="containsText" text="NP">
      <formula>NOT(ISERROR(SEARCH("NP",I10)))</formula>
    </cfRule>
    <cfRule type="containsText" dxfId="1346" priority="226" operator="containsText" text="SH">
      <formula>NOT(ISERROR(SEARCH("SH",I10)))</formula>
    </cfRule>
    <cfRule type="containsText" dxfId="1345" priority="227" operator="containsText" text="RD">
      <formula>NOT(ISERROR(SEARCH("RD",I10)))</formula>
    </cfRule>
  </conditionalFormatting>
  <conditionalFormatting sqref="I11:Y13 AA11:AM13 I14:AF14 I15:Y18 AA15:AF18 I31:AF31 AJ31:AM31 AJ14:AM18">
    <cfRule type="containsText" dxfId="1344" priority="981" operator="containsText" text="AL">
      <formula>NOT(ISERROR(SEARCH("AL",I11)))</formula>
    </cfRule>
    <cfRule type="containsText" dxfId="1343" priority="982" operator="containsText" text="SL">
      <formula>NOT(ISERROR(SEARCH("SL",I11)))</formula>
    </cfRule>
    <cfRule type="containsText" dxfId="1342" priority="983" operator="containsText" text="NP">
      <formula>NOT(ISERROR(SEARCH("NP",I11)))</formula>
    </cfRule>
    <cfRule type="containsText" dxfId="1341" priority="984" operator="containsText" text="SH">
      <formula>NOT(ISERROR(SEARCH("SH",I11)))</formula>
    </cfRule>
    <cfRule type="containsText" dxfId="1340" priority="987" operator="containsText" text="RD">
      <formula>NOT(ISERROR(SEARCH("RD",I11)))</formula>
    </cfRule>
  </conditionalFormatting>
  <conditionalFormatting sqref="I20:AA20 AC20:AF20 I21:AF24 I25:AB25 AD25:AF25 I26:AF29 AJ20:AM29">
    <cfRule type="containsText" dxfId="1339" priority="753" operator="containsText" text="EC">
      <formula>NOT(ISERROR(SEARCH("EC",I20)))</formula>
    </cfRule>
    <cfRule type="containsText" dxfId="1338" priority="754" operator="containsText" text="OTE">
      <formula>NOT(ISERROR(SEARCH("OTE",I20)))</formula>
    </cfRule>
    <cfRule type="containsText" dxfId="1337" priority="755" operator="containsText" text="AL">
      <formula>NOT(ISERROR(SEARCH("AL",I20)))</formula>
    </cfRule>
    <cfRule type="containsText" dxfId="1336" priority="756" operator="containsText" text="SL">
      <formula>NOT(ISERROR(SEARCH("SL",I20)))</formula>
    </cfRule>
    <cfRule type="containsText" dxfId="1335" priority="757" operator="containsText" text="NP">
      <formula>NOT(ISERROR(SEARCH("NP",I20)))</formula>
    </cfRule>
    <cfRule type="containsText" dxfId="1334" priority="758" operator="containsText" text="SH">
      <formula>NOT(ISERROR(SEARCH("SH",I20)))</formula>
    </cfRule>
    <cfRule type="containsText" dxfId="1333" priority="759" operator="containsText" text="RD">
      <formula>NOT(ISERROR(SEARCH("RD",I20)))</formula>
    </cfRule>
    <cfRule type="containsText" dxfId="1332" priority="760" operator="containsText" text="OTE">
      <formula>NOT(ISERROR(SEARCH("OTE",I20)))</formula>
    </cfRule>
    <cfRule type="containsText" dxfId="1331" priority="761" operator="containsText" text="AL">
      <formula>NOT(ISERROR(SEARCH("AL",I20)))</formula>
    </cfRule>
    <cfRule type="containsText" dxfId="1330" priority="762" operator="containsText" text="SL">
      <formula>NOT(ISERROR(SEARCH("SL",I20)))</formula>
    </cfRule>
    <cfRule type="containsText" dxfId="1329" priority="763" operator="containsText" text="NP">
      <formula>NOT(ISERROR(SEARCH("NP",I20)))</formula>
    </cfRule>
    <cfRule type="containsText" dxfId="1328" priority="764" operator="containsText" text="SH">
      <formula>NOT(ISERROR(SEARCH("SH",I20)))</formula>
    </cfRule>
    <cfRule type="containsText" dxfId="1327" priority="765" operator="containsText" text="RD">
      <formula>NOT(ISERROR(SEARCH("RD",I20)))</formula>
    </cfRule>
  </conditionalFormatting>
  <conditionalFormatting sqref="I19:AF19 AJ19:AL19">
    <cfRule type="cellIs" dxfId="1326" priority="802" operator="equal">
      <formula>"CL"</formula>
    </cfRule>
    <cfRule type="cellIs" dxfId="1325" priority="803" operator="equal">
      <formula>"GS"</formula>
    </cfRule>
    <cfRule type="cellIs" dxfId="1324" priority="804" operator="equal">
      <formula>"NC"</formula>
    </cfRule>
    <cfRule type="cellIs" dxfId="1323" priority="805" operator="equal">
      <formula>"SG"</formula>
    </cfRule>
    <cfRule type="containsText" dxfId="1322" priority="806" operator="containsText" text="EC">
      <formula>NOT(ISERROR(SEARCH("EC",I19)))</formula>
    </cfRule>
    <cfRule type="containsText" dxfId="1321" priority="807" operator="containsText" text="OTE">
      <formula>NOT(ISERROR(SEARCH("OTE",I19)))</formula>
    </cfRule>
    <cfRule type="containsText" dxfId="1320" priority="808" operator="containsText" text="AL">
      <formula>NOT(ISERROR(SEARCH("AL",I19)))</formula>
    </cfRule>
    <cfRule type="containsText" dxfId="1319" priority="809" operator="containsText" text="SL">
      <formula>NOT(ISERROR(SEARCH("SL",I19)))</formula>
    </cfRule>
    <cfRule type="containsText" dxfId="1318" priority="810" operator="containsText" text="NP">
      <formula>NOT(ISERROR(SEARCH("NP",I19)))</formula>
    </cfRule>
    <cfRule type="containsText" dxfId="1317" priority="811" operator="containsText" text="SH">
      <formula>NOT(ISERROR(SEARCH("SH",I19)))</formula>
    </cfRule>
    <cfRule type="containsText" dxfId="1316" priority="812" operator="containsText" text="RD">
      <formula>NOT(ISERROR(SEARCH("RD",I19)))</formula>
    </cfRule>
  </conditionalFormatting>
  <conditionalFormatting sqref="I6:AM7">
    <cfRule type="expression" dxfId="1315" priority="1043">
      <formula>(WEEKDAY($I1048522,5)&gt;1)</formula>
    </cfRule>
    <cfRule type="expression" dxfId="1314" priority="1044">
      <formula>LEFT(#REF!,1)="H"</formula>
    </cfRule>
    <cfRule type="expression" dxfId="1313" priority="1045">
      <formula>WEEKDAY(I$6,2)&gt;6</formula>
    </cfRule>
    <cfRule type="expression" dxfId="1312" priority="1046">
      <formula>WEEKDAY(#REF!,2)&gt;6</formula>
    </cfRule>
  </conditionalFormatting>
  <conditionalFormatting sqref="I8:AF9 J10:AF10 I11:AM13 AJ8:AM10 I14:AF18 AJ14:AM18">
    <cfRule type="cellIs" dxfId="1311" priority="861" operator="equal">
      <formula>"CL"</formula>
    </cfRule>
  </conditionalFormatting>
  <conditionalFormatting sqref="I8:AF9 J10:AF10 AJ8:AM10">
    <cfRule type="cellIs" dxfId="1310" priority="862" operator="equal">
      <formula>"NC"</formula>
    </cfRule>
    <cfRule type="containsText" dxfId="1309" priority="863" operator="containsText" text="EC">
      <formula>NOT(ISERROR(SEARCH("EC",I8)))</formula>
    </cfRule>
    <cfRule type="containsText" dxfId="1308" priority="864" operator="containsText" text="OTE">
      <formula>NOT(ISERROR(SEARCH("OTE",I8)))</formula>
    </cfRule>
    <cfRule type="containsText" dxfId="1307" priority="865" operator="containsText" text="AL">
      <formula>NOT(ISERROR(SEARCH("AL",I8)))</formula>
    </cfRule>
    <cfRule type="containsText" dxfId="1306" priority="866" operator="containsText" text="SL">
      <formula>NOT(ISERROR(SEARCH("SL",I8)))</formula>
    </cfRule>
    <cfRule type="containsText" dxfId="1305" priority="867" operator="containsText" text="NP">
      <formula>NOT(ISERROR(SEARCH("NP",I8)))</formula>
    </cfRule>
    <cfRule type="containsText" dxfId="1304" priority="868" operator="containsText" text="SH">
      <formula>NOT(ISERROR(SEARCH("SH",I8)))</formula>
    </cfRule>
    <cfRule type="containsText" dxfId="1303" priority="869" operator="containsText" text="RD">
      <formula>NOT(ISERROR(SEARCH("RD",I8)))</formula>
    </cfRule>
  </conditionalFormatting>
  <conditionalFormatting sqref="I8:AF10 A4:I4 A5:AM5 A6:H7 A8:D10 A11:AM13 A14:G14 I14:AF14 A15:AF32 A33:G33 J33:AF38 A34:H38 A39:AF39 A40:H41 J40:AF41 A42:AB43 A46:AM48 AJ8:AM10 AJ14:AM41">
    <cfRule type="cellIs" dxfId="1302" priority="228" operator="equal">
      <formula>"GS"</formula>
    </cfRule>
  </conditionalFormatting>
  <conditionalFormatting sqref="A4:I4 A5:AM5 A6:H7 A8:D10 A11:AM13 A14:G14 A15:AF32 A33:G33 J33:AF38 A34:H38 A39:AF39 A40:H41 J40:AF41 A42:AB43 A46:AM48 I8:AF10 AJ8:AM10 I14:AF18 AJ14:AM41">
    <cfRule type="cellIs" dxfId="1301" priority="230" operator="equal">
      <formula>"SG"</formula>
    </cfRule>
  </conditionalFormatting>
  <conditionalFormatting sqref="I11:AM13 I31:AF31 AJ31:AM31 I14:AF18 AJ14:AM18">
    <cfRule type="cellIs" dxfId="1300" priority="939" operator="equal">
      <formula>"NC"</formula>
    </cfRule>
  </conditionalFormatting>
  <conditionalFormatting sqref="I21:AF24 I26:AF29 I20:AA20 AC20:AF20 I25:AB25 AD25:AF25 AJ20:AM29">
    <cfRule type="cellIs" dxfId="1299" priority="749" operator="equal">
      <formula>"CL"</formula>
    </cfRule>
    <cfRule type="cellIs" dxfId="1298" priority="750" operator="equal">
      <formula>"GS"</formula>
    </cfRule>
    <cfRule type="cellIs" dxfId="1297" priority="751" operator="equal">
      <formula>"NC"</formula>
    </cfRule>
    <cfRule type="cellIs" dxfId="1296" priority="752" operator="equal">
      <formula>"SG"</formula>
    </cfRule>
  </conditionalFormatting>
  <conditionalFormatting sqref="I31:AF31 I50 AJ31:AM31">
    <cfRule type="containsText" dxfId="1295" priority="969" operator="containsText" text="OTE">
      <formula>NOT(ISERROR(SEARCH("OTE",I31)))</formula>
    </cfRule>
    <cfRule type="containsText" dxfId="1294" priority="970" operator="containsText" text="AL">
      <formula>NOT(ISERROR(SEARCH("AL",I31)))</formula>
    </cfRule>
    <cfRule type="containsText" dxfId="1293" priority="971" operator="containsText" text="SL">
      <formula>NOT(ISERROR(SEARCH("SL",I31)))</formula>
    </cfRule>
    <cfRule type="containsText" dxfId="1292" priority="972" operator="containsText" text="NP">
      <formula>NOT(ISERROR(SEARCH("NP",I31)))</formula>
    </cfRule>
    <cfRule type="containsText" dxfId="1291" priority="973" operator="containsText" text="SH">
      <formula>NOT(ISERROR(SEARCH("SH",I31)))</formula>
    </cfRule>
    <cfRule type="containsText" dxfId="1290" priority="974" operator="containsText" text="RD">
      <formula>NOT(ISERROR(SEARCH("RD",I31)))</formula>
    </cfRule>
  </conditionalFormatting>
  <conditionalFormatting sqref="I31:AF31 I11:Y13 AA11:AM13 I14:AF14 I15:Y18 AA15:AF18 AJ14:AM18 AJ31:AM31">
    <cfRule type="containsText" dxfId="1289" priority="968" operator="containsText" text="EC">
      <formula>NOT(ISERROR(SEARCH("EC",I11)))</formula>
    </cfRule>
    <cfRule type="containsText" dxfId="1288" priority="980" operator="containsText" text="OTE">
      <formula>NOT(ISERROR(SEARCH("OTE",I11)))</formula>
    </cfRule>
  </conditionalFormatting>
  <conditionalFormatting sqref="I31:AF31 AJ31:AM31">
    <cfRule type="cellIs" dxfId="1287" priority="916" operator="equal">
      <formula>"TPN"</formula>
    </cfRule>
    <cfRule type="cellIs" dxfId="1286" priority="921" operator="equal">
      <formula>"CL"</formula>
    </cfRule>
    <cfRule type="cellIs" dxfId="1285" priority="938" operator="equal">
      <formula>"GS"</formula>
    </cfRule>
    <cfRule type="cellIs" dxfId="1284" priority="941" operator="equal">
      <formula>"SG"</formula>
    </cfRule>
  </conditionalFormatting>
  <conditionalFormatting sqref="I33:AF33 AJ33:AM33">
    <cfRule type="cellIs" dxfId="1283" priority="219" operator="greaterThan">
      <formula>8</formula>
    </cfRule>
  </conditionalFormatting>
  <conditionalFormatting sqref="K10:M10">
    <cfRule type="cellIs" dxfId="1282" priority="193" operator="equal">
      <formula>"CL"</formula>
    </cfRule>
    <cfRule type="cellIs" dxfId="1281" priority="194" operator="equal">
      <formula>"GS"</formula>
    </cfRule>
    <cfRule type="cellIs" dxfId="1280" priority="195" operator="equal">
      <formula>"NC"</formula>
    </cfRule>
    <cfRule type="cellIs" dxfId="1279" priority="196" operator="equal">
      <formula>"SG"</formula>
    </cfRule>
    <cfRule type="containsText" dxfId="1278" priority="197" operator="containsText" text="EC">
      <formula>NOT(ISERROR(SEARCH("EC",K10)))</formula>
    </cfRule>
    <cfRule type="containsText" dxfId="1277" priority="198" operator="containsText" text="OTE">
      <formula>NOT(ISERROR(SEARCH("OTE",K10)))</formula>
    </cfRule>
    <cfRule type="containsText" dxfId="1276" priority="199" operator="containsText" text="AL">
      <formula>NOT(ISERROR(SEARCH("AL",K10)))</formula>
    </cfRule>
    <cfRule type="containsText" dxfId="1275" priority="200" operator="containsText" text="SL">
      <formula>NOT(ISERROR(SEARCH("SL",K10)))</formula>
    </cfRule>
    <cfRule type="containsText" dxfId="1274" priority="201" operator="containsText" text="NP">
      <formula>NOT(ISERROR(SEARCH("NP",K10)))</formula>
    </cfRule>
    <cfRule type="containsText" dxfId="1273" priority="202" operator="containsText" text="SH">
      <formula>NOT(ISERROR(SEARCH("SH",K10)))</formula>
    </cfRule>
    <cfRule type="containsText" dxfId="1272" priority="203" operator="containsText" text="RD">
      <formula>NOT(ISERROR(SEARCH("RD",K10)))</formula>
    </cfRule>
  </conditionalFormatting>
  <conditionalFormatting sqref="M20">
    <cfRule type="cellIs" dxfId="1271" priority="507" operator="equal">
      <formula>"NC"</formula>
    </cfRule>
    <cfRule type="containsText" dxfId="1270" priority="508" operator="containsText" text="EC">
      <formula>NOT(ISERROR(SEARCH("EC",M20)))</formula>
    </cfRule>
    <cfRule type="containsText" dxfId="1269" priority="509" operator="containsText" text="OTE">
      <formula>NOT(ISERROR(SEARCH("OTE",M20)))</formula>
    </cfRule>
    <cfRule type="containsText" dxfId="1268" priority="510" operator="containsText" text="AL">
      <formula>NOT(ISERROR(SEARCH("AL",M20)))</formula>
    </cfRule>
    <cfRule type="containsText" dxfId="1267" priority="511" operator="containsText" text="SL">
      <formula>NOT(ISERROR(SEARCH("SL",M20)))</formula>
    </cfRule>
    <cfRule type="containsText" dxfId="1266" priority="512" operator="containsText" text="NP">
      <formula>NOT(ISERROR(SEARCH("NP",M20)))</formula>
    </cfRule>
    <cfRule type="containsText" dxfId="1265" priority="513" operator="containsText" text="SH">
      <formula>NOT(ISERROR(SEARCH("SH",M20)))</formula>
    </cfRule>
    <cfRule type="containsText" dxfId="1264" priority="514" operator="containsText" text="RD">
      <formula>NOT(ISERROR(SEARCH("RD",M20)))</formula>
    </cfRule>
  </conditionalFormatting>
  <conditionalFormatting sqref="V10:W10">
    <cfRule type="cellIs" dxfId="1263" priority="443" operator="equal">
      <formula>"GS"</formula>
    </cfRule>
    <cfRule type="cellIs" dxfId="1262" priority="444" operator="equal">
      <formula>"NC"</formula>
    </cfRule>
    <cfRule type="cellIs" dxfId="1261" priority="445" operator="equal">
      <formula>"SG"</formula>
    </cfRule>
    <cfRule type="containsText" dxfId="1260" priority="446" operator="containsText" text="EC">
      <formula>NOT(ISERROR(SEARCH("EC",V10)))</formula>
    </cfRule>
    <cfRule type="containsText" dxfId="1259" priority="447" operator="containsText" text="OTE">
      <formula>NOT(ISERROR(SEARCH("OTE",V10)))</formula>
    </cfRule>
    <cfRule type="containsText" dxfId="1258" priority="448" operator="containsText" text="AL">
      <formula>NOT(ISERROR(SEARCH("AL",V10)))</formula>
    </cfRule>
    <cfRule type="containsText" dxfId="1257" priority="449" operator="containsText" text="SL">
      <formula>NOT(ISERROR(SEARCH("SL",V10)))</formula>
    </cfRule>
    <cfRule type="containsText" dxfId="1256" priority="450" operator="containsText" text="NP">
      <formula>NOT(ISERROR(SEARCH("NP",V10)))</formula>
    </cfRule>
    <cfRule type="containsText" dxfId="1255" priority="451" operator="containsText" text="SH">
      <formula>NOT(ISERROR(SEARCH("SH",V10)))</formula>
    </cfRule>
    <cfRule type="containsText" dxfId="1254" priority="452" operator="containsText" text="RD">
      <formula>NOT(ISERROR(SEARCH("RD",V10)))</formula>
    </cfRule>
    <cfRule type="containsText" dxfId="1253" priority="453" operator="containsText" text="OTE">
      <formula>NOT(ISERROR(SEARCH("OTE",V10)))</formula>
    </cfRule>
    <cfRule type="containsText" dxfId="1252" priority="454" operator="containsText" text="AL">
      <formula>NOT(ISERROR(SEARCH("AL",V10)))</formula>
    </cfRule>
    <cfRule type="containsText" dxfId="1251" priority="455" operator="containsText" text="SL">
      <formula>NOT(ISERROR(SEARCH("SL",V10)))</formula>
    </cfRule>
    <cfRule type="containsText" dxfId="1250" priority="456" operator="containsText" text="NP">
      <formula>NOT(ISERROR(SEARCH("NP",V10)))</formula>
    </cfRule>
    <cfRule type="containsText" dxfId="1249" priority="457" operator="containsText" text="SH">
      <formula>NOT(ISERROR(SEARCH("SH",V10)))</formula>
    </cfRule>
    <cfRule type="containsText" dxfId="1248" priority="458" operator="containsText" text="RD">
      <formula>NOT(ISERROR(SEARCH("RD",V10)))</formula>
    </cfRule>
    <cfRule type="cellIs" dxfId="1247" priority="459" operator="equal">
      <formula>"GS"</formula>
    </cfRule>
    <cfRule type="cellIs" dxfId="1246" priority="460" operator="equal">
      <formula>"NC"</formula>
    </cfRule>
    <cfRule type="cellIs" dxfId="1245" priority="461" operator="equal">
      <formula>"SG"</formula>
    </cfRule>
    <cfRule type="containsText" dxfId="1244" priority="462" operator="containsText" text="EC">
      <formula>NOT(ISERROR(SEARCH("EC",V10)))</formula>
    </cfRule>
    <cfRule type="containsText" dxfId="1243" priority="463" operator="containsText" text="OTE">
      <formula>NOT(ISERROR(SEARCH("OTE",V10)))</formula>
    </cfRule>
    <cfRule type="containsText" dxfId="1242" priority="464" operator="containsText" text="AL">
      <formula>NOT(ISERROR(SEARCH("AL",V10)))</formula>
    </cfRule>
    <cfRule type="containsText" dxfId="1241" priority="465" operator="containsText" text="SL">
      <formula>NOT(ISERROR(SEARCH("SL",V10)))</formula>
    </cfRule>
    <cfRule type="containsText" dxfId="1240" priority="466" operator="containsText" text="NP">
      <formula>NOT(ISERROR(SEARCH("NP",V10)))</formula>
    </cfRule>
    <cfRule type="containsText" dxfId="1239" priority="467" operator="containsText" text="SH">
      <formula>NOT(ISERROR(SEARCH("SH",V10)))</formula>
    </cfRule>
    <cfRule type="containsText" dxfId="1238" priority="468" operator="containsText" text="RD">
      <formula>NOT(ISERROR(SEARCH("RD",V10)))</formula>
    </cfRule>
    <cfRule type="containsText" dxfId="1237" priority="469" operator="containsText" text="OTE">
      <formula>NOT(ISERROR(SEARCH("OTE",V10)))</formula>
    </cfRule>
    <cfRule type="containsText" dxfId="1236" priority="470" operator="containsText" text="AL">
      <formula>NOT(ISERROR(SEARCH("AL",V10)))</formula>
    </cfRule>
    <cfRule type="containsText" dxfId="1235" priority="471" operator="containsText" text="SL">
      <formula>NOT(ISERROR(SEARCH("SL",V10)))</formula>
    </cfRule>
    <cfRule type="containsText" dxfId="1234" priority="472" operator="containsText" text="NP">
      <formula>NOT(ISERROR(SEARCH("NP",V10)))</formula>
    </cfRule>
    <cfRule type="containsText" dxfId="1233" priority="473" operator="containsText" text="SH">
      <formula>NOT(ISERROR(SEARCH("SH",V10)))</formula>
    </cfRule>
    <cfRule type="containsText" dxfId="1232" priority="474" operator="containsText" text="RD">
      <formula>NOT(ISERROR(SEARCH("RD",V10)))</formula>
    </cfRule>
  </conditionalFormatting>
  <conditionalFormatting sqref="AA19">
    <cfRule type="containsText" dxfId="1231" priority="796" operator="containsText" text="OTE">
      <formula>NOT(ISERROR(SEARCH("OTE",AA19)))</formula>
    </cfRule>
    <cfRule type="containsText" dxfId="1230" priority="797" operator="containsText" text="AL">
      <formula>NOT(ISERROR(SEARCH("AL",AA19)))</formula>
    </cfRule>
    <cfRule type="containsText" dxfId="1229" priority="798" operator="containsText" text="SL">
      <formula>NOT(ISERROR(SEARCH("SL",AA19)))</formula>
    </cfRule>
    <cfRule type="containsText" dxfId="1228" priority="799" operator="containsText" text="NP">
      <formula>NOT(ISERROR(SEARCH("NP",AA19)))</formula>
    </cfRule>
    <cfRule type="containsText" dxfId="1227" priority="800" operator="containsText" text="SH">
      <formula>NOT(ISERROR(SEARCH("SH",AA19)))</formula>
    </cfRule>
    <cfRule type="containsText" dxfId="1226" priority="801" operator="containsText" text="RD">
      <formula>NOT(ISERROR(SEARCH("RD",AA19)))</formula>
    </cfRule>
  </conditionalFormatting>
  <conditionalFormatting sqref="AE8">
    <cfRule type="cellIs" dxfId="1225" priority="845" operator="equal">
      <formula>"GS"</formula>
    </cfRule>
    <cfRule type="cellIs" dxfId="1224" priority="846" operator="equal">
      <formula>"NC"</formula>
    </cfRule>
    <cfRule type="cellIs" dxfId="1223" priority="847" operator="equal">
      <formula>"SG"</formula>
    </cfRule>
    <cfRule type="containsText" dxfId="1222" priority="848" operator="containsText" text="EC">
      <formula>NOT(ISERROR(SEARCH("EC",AE8)))</formula>
    </cfRule>
    <cfRule type="containsText" dxfId="1221" priority="849" operator="containsText" text="OTE">
      <formula>NOT(ISERROR(SEARCH("OTE",AE8)))</formula>
    </cfRule>
    <cfRule type="containsText" dxfId="1220" priority="850" operator="containsText" text="AL">
      <formula>NOT(ISERROR(SEARCH("AL",AE8)))</formula>
    </cfRule>
    <cfRule type="containsText" dxfId="1219" priority="851" operator="containsText" text="SL">
      <formula>NOT(ISERROR(SEARCH("SL",AE8)))</formula>
    </cfRule>
    <cfRule type="containsText" dxfId="1218" priority="852" operator="containsText" text="NP">
      <formula>NOT(ISERROR(SEARCH("NP",AE8)))</formula>
    </cfRule>
    <cfRule type="containsText" dxfId="1217" priority="853" operator="containsText" text="SH">
      <formula>NOT(ISERROR(SEARCH("SH",AE8)))</formula>
    </cfRule>
    <cfRule type="containsText" dxfId="1216" priority="854" operator="containsText" text="RD">
      <formula>NOT(ISERROR(SEARCH("RD",AE8)))</formula>
    </cfRule>
    <cfRule type="containsText" dxfId="1215" priority="855" operator="containsText" text="OTE">
      <formula>NOT(ISERROR(SEARCH("OTE",AE8)))</formula>
    </cfRule>
    <cfRule type="containsText" dxfId="1214" priority="856" operator="containsText" text="AL">
      <formula>NOT(ISERROR(SEARCH("AL",AE8)))</formula>
    </cfRule>
    <cfRule type="containsText" dxfId="1213" priority="857" operator="containsText" text="SL">
      <formula>NOT(ISERROR(SEARCH("SL",AE8)))</formula>
    </cfRule>
    <cfRule type="containsText" dxfId="1212" priority="858" operator="containsText" text="NP">
      <formula>NOT(ISERROR(SEARCH("NP",AE8)))</formula>
    </cfRule>
    <cfRule type="containsText" dxfId="1211" priority="859" operator="containsText" text="SH">
      <formula>NOT(ISERROR(SEARCH("SH",AE8)))</formula>
    </cfRule>
    <cfRule type="containsText" dxfId="1210" priority="860" operator="containsText" text="RD">
      <formula>NOT(ISERROR(SEARCH("RD",AE8)))</formula>
    </cfRule>
  </conditionalFormatting>
  <conditionalFormatting sqref="AE10">
    <cfRule type="cellIs" dxfId="1209" priority="372" operator="equal">
      <formula>"GS"</formula>
    </cfRule>
    <cfRule type="cellIs" dxfId="1208" priority="373" operator="equal">
      <formula>"NC"</formula>
    </cfRule>
    <cfRule type="cellIs" dxfId="1207" priority="374" operator="equal">
      <formula>"SG"</formula>
    </cfRule>
    <cfRule type="containsText" dxfId="1206" priority="375" operator="containsText" text="EC">
      <formula>NOT(ISERROR(SEARCH("EC",AE10)))</formula>
    </cfRule>
    <cfRule type="containsText" dxfId="1205" priority="376" operator="containsText" text="OTE">
      <formula>NOT(ISERROR(SEARCH("OTE",AE10)))</formula>
    </cfRule>
    <cfRule type="containsText" dxfId="1204" priority="377" operator="containsText" text="AL">
      <formula>NOT(ISERROR(SEARCH("AL",AE10)))</formula>
    </cfRule>
    <cfRule type="containsText" dxfId="1203" priority="378" operator="containsText" text="SL">
      <formula>NOT(ISERROR(SEARCH("SL",AE10)))</formula>
    </cfRule>
    <cfRule type="containsText" dxfId="1202" priority="379" operator="containsText" text="NP">
      <formula>NOT(ISERROR(SEARCH("NP",AE10)))</formula>
    </cfRule>
    <cfRule type="containsText" dxfId="1201" priority="380" operator="containsText" text="SH">
      <formula>NOT(ISERROR(SEARCH("SH",AE10)))</formula>
    </cfRule>
    <cfRule type="containsText" dxfId="1200" priority="381" operator="containsText" text="RD">
      <formula>NOT(ISERROR(SEARCH("RD",AE10)))</formula>
    </cfRule>
    <cfRule type="containsText" dxfId="1199" priority="382" operator="containsText" text="OTE">
      <formula>NOT(ISERROR(SEARCH("OTE",AE10)))</formula>
    </cfRule>
    <cfRule type="containsText" dxfId="1198" priority="383" operator="containsText" text="AL">
      <formula>NOT(ISERROR(SEARCH("AL",AE10)))</formula>
    </cfRule>
    <cfRule type="containsText" dxfId="1197" priority="384" operator="containsText" text="SL">
      <formula>NOT(ISERROR(SEARCH("SL",AE10)))</formula>
    </cfRule>
    <cfRule type="containsText" dxfId="1196" priority="385" operator="containsText" text="NP">
      <formula>NOT(ISERROR(SEARCH("NP",AE10)))</formula>
    </cfRule>
    <cfRule type="containsText" dxfId="1195" priority="386" operator="containsText" text="SH">
      <formula>NOT(ISERROR(SEARCH("SH",AE10)))</formula>
    </cfRule>
    <cfRule type="containsText" dxfId="1194" priority="387" operator="containsText" text="RD">
      <formula>NOT(ISERROR(SEARCH("RD",AE10)))</formula>
    </cfRule>
    <cfRule type="cellIs" dxfId="1193" priority="388" operator="equal">
      <formula>"GS"</formula>
    </cfRule>
    <cfRule type="cellIs" dxfId="1192" priority="389" operator="equal">
      <formula>"NC"</formula>
    </cfRule>
    <cfRule type="cellIs" dxfId="1191" priority="390" operator="equal">
      <formula>"SG"</formula>
    </cfRule>
    <cfRule type="containsText" dxfId="1190" priority="391" operator="containsText" text="EC">
      <formula>NOT(ISERROR(SEARCH("EC",AE10)))</formula>
    </cfRule>
    <cfRule type="containsText" dxfId="1189" priority="392" operator="containsText" text="OTE">
      <formula>NOT(ISERROR(SEARCH("OTE",AE10)))</formula>
    </cfRule>
    <cfRule type="containsText" dxfId="1188" priority="393" operator="containsText" text="AL">
      <formula>NOT(ISERROR(SEARCH("AL",AE10)))</formula>
    </cfRule>
    <cfRule type="containsText" dxfId="1187" priority="394" operator="containsText" text="SL">
      <formula>NOT(ISERROR(SEARCH("SL",AE10)))</formula>
    </cfRule>
    <cfRule type="containsText" dxfId="1186" priority="395" operator="containsText" text="NP">
      <formula>NOT(ISERROR(SEARCH("NP",AE10)))</formula>
    </cfRule>
    <cfRule type="containsText" dxfId="1185" priority="396" operator="containsText" text="SH">
      <formula>NOT(ISERROR(SEARCH("SH",AE10)))</formula>
    </cfRule>
    <cfRule type="containsText" dxfId="1184" priority="397" operator="containsText" text="RD">
      <formula>NOT(ISERROR(SEARCH("RD",AE10)))</formula>
    </cfRule>
    <cfRule type="containsText" dxfId="1183" priority="398" operator="containsText" text="OTE">
      <formula>NOT(ISERROR(SEARCH("OTE",AE10)))</formula>
    </cfRule>
    <cfRule type="containsText" dxfId="1182" priority="399" operator="containsText" text="AL">
      <formula>NOT(ISERROR(SEARCH("AL",AE10)))</formula>
    </cfRule>
    <cfRule type="containsText" dxfId="1181" priority="400" operator="containsText" text="SL">
      <formula>NOT(ISERROR(SEARCH("SL",AE10)))</formula>
    </cfRule>
    <cfRule type="containsText" dxfId="1180" priority="401" operator="containsText" text="NP">
      <formula>NOT(ISERROR(SEARCH("NP",AE10)))</formula>
    </cfRule>
    <cfRule type="containsText" dxfId="1179" priority="402" operator="containsText" text="SH">
      <formula>NOT(ISERROR(SEARCH("SH",AE10)))</formula>
    </cfRule>
    <cfRule type="containsText" dxfId="1178" priority="403" operator="containsText" text="RD">
      <formula>NOT(ISERROR(SEARCH("RD",AE10)))</formula>
    </cfRule>
    <cfRule type="cellIs" dxfId="1177" priority="475" operator="equal">
      <formula>"GS"</formula>
    </cfRule>
    <cfRule type="cellIs" dxfId="1176" priority="476" operator="equal">
      <formula>"NC"</formula>
    </cfRule>
    <cfRule type="cellIs" dxfId="1175" priority="477" operator="equal">
      <formula>"SG"</formula>
    </cfRule>
    <cfRule type="containsText" dxfId="1174" priority="478" operator="containsText" text="EC">
      <formula>NOT(ISERROR(SEARCH("EC",AE10)))</formula>
    </cfRule>
    <cfRule type="containsText" dxfId="1173" priority="479" operator="containsText" text="OTE">
      <formula>NOT(ISERROR(SEARCH("OTE",AE10)))</formula>
    </cfRule>
    <cfRule type="containsText" dxfId="1172" priority="480" operator="containsText" text="AL">
      <formula>NOT(ISERROR(SEARCH("AL",AE10)))</formula>
    </cfRule>
    <cfRule type="containsText" dxfId="1171" priority="481" operator="containsText" text="SL">
      <formula>NOT(ISERROR(SEARCH("SL",AE10)))</formula>
    </cfRule>
    <cfRule type="containsText" dxfId="1170" priority="482" operator="containsText" text="NP">
      <formula>NOT(ISERROR(SEARCH("NP",AE10)))</formula>
    </cfRule>
    <cfRule type="containsText" dxfId="1169" priority="483" operator="containsText" text="SH">
      <formula>NOT(ISERROR(SEARCH("SH",AE10)))</formula>
    </cfRule>
    <cfRule type="containsText" dxfId="1168" priority="484" operator="containsText" text="RD">
      <formula>NOT(ISERROR(SEARCH("RD",AE10)))</formula>
    </cfRule>
    <cfRule type="containsText" dxfId="1167" priority="485" operator="containsText" text="OTE">
      <formula>NOT(ISERROR(SEARCH("OTE",AE10)))</formula>
    </cfRule>
    <cfRule type="containsText" dxfId="1166" priority="486" operator="containsText" text="AL">
      <formula>NOT(ISERROR(SEARCH("AL",AE10)))</formula>
    </cfRule>
    <cfRule type="containsText" dxfId="1165" priority="487" operator="containsText" text="SL">
      <formula>NOT(ISERROR(SEARCH("SL",AE10)))</formula>
    </cfRule>
    <cfRule type="containsText" dxfId="1164" priority="488" operator="containsText" text="NP">
      <formula>NOT(ISERROR(SEARCH("NP",AE10)))</formula>
    </cfRule>
    <cfRule type="containsText" dxfId="1163" priority="489" operator="containsText" text="SH">
      <formula>NOT(ISERROR(SEARCH("SH",AE10)))</formula>
    </cfRule>
    <cfRule type="containsText" dxfId="1162" priority="490" operator="containsText" text="RD">
      <formula>NOT(ISERROR(SEARCH("RD",AE10)))</formula>
    </cfRule>
    <cfRule type="cellIs" dxfId="1161" priority="491" operator="equal">
      <formula>"GS"</formula>
    </cfRule>
    <cfRule type="cellIs" dxfId="1160" priority="492" operator="equal">
      <formula>"NC"</formula>
    </cfRule>
    <cfRule type="cellIs" dxfId="1159" priority="493" operator="equal">
      <formula>"SG"</formula>
    </cfRule>
    <cfRule type="containsText" dxfId="1158" priority="494" operator="containsText" text="EC">
      <formula>NOT(ISERROR(SEARCH("EC",AE10)))</formula>
    </cfRule>
    <cfRule type="containsText" dxfId="1157" priority="495" operator="containsText" text="OTE">
      <formula>NOT(ISERROR(SEARCH("OTE",AE10)))</formula>
    </cfRule>
    <cfRule type="containsText" dxfId="1156" priority="496" operator="containsText" text="AL">
      <formula>NOT(ISERROR(SEARCH("AL",AE10)))</formula>
    </cfRule>
    <cfRule type="containsText" dxfId="1155" priority="497" operator="containsText" text="SL">
      <formula>NOT(ISERROR(SEARCH("SL",AE10)))</formula>
    </cfRule>
    <cfRule type="containsText" dxfId="1154" priority="498" operator="containsText" text="NP">
      <formula>NOT(ISERROR(SEARCH("NP",AE10)))</formula>
    </cfRule>
    <cfRule type="containsText" dxfId="1153" priority="499" operator="containsText" text="SH">
      <formula>NOT(ISERROR(SEARCH("SH",AE10)))</formula>
    </cfRule>
    <cfRule type="containsText" dxfId="1152" priority="500" operator="containsText" text="RD">
      <formula>NOT(ISERROR(SEARCH("RD",AE10)))</formula>
    </cfRule>
    <cfRule type="containsText" dxfId="1151" priority="501" operator="containsText" text="OTE">
      <formula>NOT(ISERROR(SEARCH("OTE",AE10)))</formula>
    </cfRule>
    <cfRule type="containsText" dxfId="1150" priority="502" operator="containsText" text="AL">
      <formula>NOT(ISERROR(SEARCH("AL",AE10)))</formula>
    </cfRule>
    <cfRule type="containsText" dxfId="1149" priority="503" operator="containsText" text="SL">
      <formula>NOT(ISERROR(SEARCH("SL",AE10)))</formula>
    </cfRule>
    <cfRule type="containsText" dxfId="1148" priority="504" operator="containsText" text="NP">
      <formula>NOT(ISERROR(SEARCH("NP",AE10)))</formula>
    </cfRule>
    <cfRule type="containsText" dxfId="1147" priority="505" operator="containsText" text="SH">
      <formula>NOT(ISERROR(SEARCH("SH",AE10)))</formula>
    </cfRule>
    <cfRule type="containsText" dxfId="1146" priority="506" operator="containsText" text="RD">
      <formula>NOT(ISERROR(SEARCH("RD",AE10)))</formula>
    </cfRule>
  </conditionalFormatting>
  <conditionalFormatting sqref="AJ9:AJ10">
    <cfRule type="cellIs" dxfId="1145" priority="829" operator="equal">
      <formula>"GS"</formula>
    </cfRule>
    <cfRule type="cellIs" dxfId="1144" priority="830" operator="equal">
      <formula>"NC"</formula>
    </cfRule>
    <cfRule type="cellIs" dxfId="1143" priority="831" operator="equal">
      <formula>"SG"</formula>
    </cfRule>
    <cfRule type="containsText" dxfId="1142" priority="832" operator="containsText" text="EC">
      <formula>NOT(ISERROR(SEARCH("EC",AJ9)))</formula>
    </cfRule>
    <cfRule type="containsText" dxfId="1141" priority="833" operator="containsText" text="OTE">
      <formula>NOT(ISERROR(SEARCH("OTE",AJ9)))</formula>
    </cfRule>
    <cfRule type="containsText" dxfId="1140" priority="834" operator="containsText" text="AL">
      <formula>NOT(ISERROR(SEARCH("AL",AJ9)))</formula>
    </cfRule>
    <cfRule type="containsText" dxfId="1139" priority="835" operator="containsText" text="SL">
      <formula>NOT(ISERROR(SEARCH("SL",AJ9)))</formula>
    </cfRule>
    <cfRule type="containsText" dxfId="1138" priority="836" operator="containsText" text="NP">
      <formula>NOT(ISERROR(SEARCH("NP",AJ9)))</formula>
    </cfRule>
    <cfRule type="containsText" dxfId="1137" priority="837" operator="containsText" text="SH">
      <formula>NOT(ISERROR(SEARCH("SH",AJ9)))</formula>
    </cfRule>
    <cfRule type="containsText" dxfId="1136" priority="838" operator="containsText" text="RD">
      <formula>NOT(ISERROR(SEARCH("RD",AJ9)))</formula>
    </cfRule>
    <cfRule type="containsText" dxfId="1135" priority="839" operator="containsText" text="OTE">
      <formula>NOT(ISERROR(SEARCH("OTE",AJ9)))</formula>
    </cfRule>
    <cfRule type="containsText" dxfId="1134" priority="840" operator="containsText" text="AL">
      <formula>NOT(ISERROR(SEARCH("AL",AJ9)))</formula>
    </cfRule>
    <cfRule type="containsText" dxfId="1133" priority="841" operator="containsText" text="SL">
      <formula>NOT(ISERROR(SEARCH("SL",AJ9)))</formula>
    </cfRule>
    <cfRule type="containsText" dxfId="1132" priority="842" operator="containsText" text="NP">
      <formula>NOT(ISERROR(SEARCH("NP",AJ9)))</formula>
    </cfRule>
    <cfRule type="containsText" dxfId="1131" priority="843" operator="containsText" text="SH">
      <formula>NOT(ISERROR(SEARCH("SH",AJ9)))</formula>
    </cfRule>
    <cfRule type="containsText" dxfId="1130" priority="844" operator="containsText" text="RD">
      <formula>NOT(ISERROR(SEARCH("RD",AJ9)))</formula>
    </cfRule>
  </conditionalFormatting>
  <conditionalFormatting sqref="AJ10">
    <cfRule type="cellIs" dxfId="1129" priority="308" operator="equal">
      <formula>"GS"</formula>
    </cfRule>
    <cfRule type="cellIs" dxfId="1128" priority="309" operator="equal">
      <formula>"NC"</formula>
    </cfRule>
    <cfRule type="cellIs" dxfId="1127" priority="310" operator="equal">
      <formula>"SG"</formula>
    </cfRule>
    <cfRule type="containsText" dxfId="1126" priority="311" operator="containsText" text="EC">
      <formula>NOT(ISERROR(SEARCH("EC",AJ10)))</formula>
    </cfRule>
    <cfRule type="containsText" dxfId="1125" priority="312" operator="containsText" text="OTE">
      <formula>NOT(ISERROR(SEARCH("OTE",AJ10)))</formula>
    </cfRule>
    <cfRule type="containsText" dxfId="1124" priority="313" operator="containsText" text="AL">
      <formula>NOT(ISERROR(SEARCH("AL",AJ10)))</formula>
    </cfRule>
    <cfRule type="containsText" dxfId="1123" priority="314" operator="containsText" text="SL">
      <formula>NOT(ISERROR(SEARCH("SL",AJ10)))</formula>
    </cfRule>
    <cfRule type="containsText" dxfId="1122" priority="315" operator="containsText" text="NP">
      <formula>NOT(ISERROR(SEARCH("NP",AJ10)))</formula>
    </cfRule>
    <cfRule type="containsText" dxfId="1121" priority="316" operator="containsText" text="SH">
      <formula>NOT(ISERROR(SEARCH("SH",AJ10)))</formula>
    </cfRule>
    <cfRule type="containsText" dxfId="1120" priority="317" operator="containsText" text="RD">
      <formula>NOT(ISERROR(SEARCH("RD",AJ10)))</formula>
    </cfRule>
    <cfRule type="containsText" dxfId="1119" priority="318" operator="containsText" text="OTE">
      <formula>NOT(ISERROR(SEARCH("OTE",AJ10)))</formula>
    </cfRule>
    <cfRule type="containsText" dxfId="1118" priority="319" operator="containsText" text="AL">
      <formula>NOT(ISERROR(SEARCH("AL",AJ10)))</formula>
    </cfRule>
    <cfRule type="containsText" dxfId="1117" priority="320" operator="containsText" text="SL">
      <formula>NOT(ISERROR(SEARCH("SL",AJ10)))</formula>
    </cfRule>
    <cfRule type="containsText" dxfId="1116" priority="321" operator="containsText" text="NP">
      <formula>NOT(ISERROR(SEARCH("NP",AJ10)))</formula>
    </cfRule>
    <cfRule type="containsText" dxfId="1115" priority="322" operator="containsText" text="SH">
      <formula>NOT(ISERROR(SEARCH("SH",AJ10)))</formula>
    </cfRule>
    <cfRule type="containsText" dxfId="1114" priority="323" operator="containsText" text="RD">
      <formula>NOT(ISERROR(SEARCH("RD",AJ10)))</formula>
    </cfRule>
    <cfRule type="cellIs" dxfId="1113" priority="324" operator="equal">
      <formula>"GS"</formula>
    </cfRule>
    <cfRule type="cellIs" dxfId="1112" priority="325" operator="equal">
      <formula>"NC"</formula>
    </cfRule>
    <cfRule type="cellIs" dxfId="1111" priority="326" operator="equal">
      <formula>"SG"</formula>
    </cfRule>
    <cfRule type="containsText" dxfId="1110" priority="327" operator="containsText" text="EC">
      <formula>NOT(ISERROR(SEARCH("EC",AJ10)))</formula>
    </cfRule>
    <cfRule type="containsText" dxfId="1109" priority="328" operator="containsText" text="OTE">
      <formula>NOT(ISERROR(SEARCH("OTE",AJ10)))</formula>
    </cfRule>
    <cfRule type="containsText" dxfId="1108" priority="329" operator="containsText" text="AL">
      <formula>NOT(ISERROR(SEARCH("AL",AJ10)))</formula>
    </cfRule>
    <cfRule type="containsText" dxfId="1107" priority="330" operator="containsText" text="SL">
      <formula>NOT(ISERROR(SEARCH("SL",AJ10)))</formula>
    </cfRule>
    <cfRule type="containsText" dxfId="1106" priority="331" operator="containsText" text="NP">
      <formula>NOT(ISERROR(SEARCH("NP",AJ10)))</formula>
    </cfRule>
    <cfRule type="containsText" dxfId="1105" priority="332" operator="containsText" text="SH">
      <formula>NOT(ISERROR(SEARCH("SH",AJ10)))</formula>
    </cfRule>
    <cfRule type="containsText" dxfId="1104" priority="333" operator="containsText" text="RD">
      <formula>NOT(ISERROR(SEARCH("RD",AJ10)))</formula>
    </cfRule>
    <cfRule type="containsText" dxfId="1103" priority="334" operator="containsText" text="OTE">
      <formula>NOT(ISERROR(SEARCH("OTE",AJ10)))</formula>
    </cfRule>
    <cfRule type="containsText" dxfId="1102" priority="335" operator="containsText" text="AL">
      <formula>NOT(ISERROR(SEARCH("AL",AJ10)))</formula>
    </cfRule>
    <cfRule type="containsText" dxfId="1101" priority="336" operator="containsText" text="SL">
      <formula>NOT(ISERROR(SEARCH("SL",AJ10)))</formula>
    </cfRule>
    <cfRule type="containsText" dxfId="1100" priority="337" operator="containsText" text="NP">
      <formula>NOT(ISERROR(SEARCH("NP",AJ10)))</formula>
    </cfRule>
    <cfRule type="containsText" dxfId="1099" priority="338" operator="containsText" text="SH">
      <formula>NOT(ISERROR(SEARCH("SH",AJ10)))</formula>
    </cfRule>
    <cfRule type="containsText" dxfId="1098" priority="339" operator="containsText" text="RD">
      <formula>NOT(ISERROR(SEARCH("RD",AJ10)))</formula>
    </cfRule>
    <cfRule type="cellIs" dxfId="1097" priority="340" operator="equal">
      <formula>"GS"</formula>
    </cfRule>
    <cfRule type="cellIs" dxfId="1096" priority="341" operator="equal">
      <formula>"NC"</formula>
    </cfRule>
    <cfRule type="cellIs" dxfId="1095" priority="342" operator="equal">
      <formula>"SG"</formula>
    </cfRule>
    <cfRule type="containsText" dxfId="1094" priority="343" operator="containsText" text="EC">
      <formula>NOT(ISERROR(SEARCH("EC",AJ10)))</formula>
    </cfRule>
    <cfRule type="containsText" dxfId="1093" priority="344" operator="containsText" text="OTE">
      <formula>NOT(ISERROR(SEARCH("OTE",AJ10)))</formula>
    </cfRule>
    <cfRule type="containsText" dxfId="1092" priority="345" operator="containsText" text="AL">
      <formula>NOT(ISERROR(SEARCH("AL",AJ10)))</formula>
    </cfRule>
    <cfRule type="containsText" dxfId="1091" priority="346" operator="containsText" text="SL">
      <formula>NOT(ISERROR(SEARCH("SL",AJ10)))</formula>
    </cfRule>
    <cfRule type="containsText" dxfId="1090" priority="347" operator="containsText" text="NP">
      <formula>NOT(ISERROR(SEARCH("NP",AJ10)))</formula>
    </cfRule>
    <cfRule type="containsText" dxfId="1089" priority="348" operator="containsText" text="SH">
      <formula>NOT(ISERROR(SEARCH("SH",AJ10)))</formula>
    </cfRule>
    <cfRule type="containsText" dxfId="1088" priority="349" operator="containsText" text="RD">
      <formula>NOT(ISERROR(SEARCH("RD",AJ10)))</formula>
    </cfRule>
    <cfRule type="containsText" dxfId="1087" priority="350" operator="containsText" text="OTE">
      <formula>NOT(ISERROR(SEARCH("OTE",AJ10)))</formula>
    </cfRule>
    <cfRule type="containsText" dxfId="1086" priority="351" operator="containsText" text="AL">
      <formula>NOT(ISERROR(SEARCH("AL",AJ10)))</formula>
    </cfRule>
    <cfRule type="containsText" dxfId="1085" priority="352" operator="containsText" text="SL">
      <formula>NOT(ISERROR(SEARCH("SL",AJ10)))</formula>
    </cfRule>
    <cfRule type="containsText" dxfId="1084" priority="353" operator="containsText" text="NP">
      <formula>NOT(ISERROR(SEARCH("NP",AJ10)))</formula>
    </cfRule>
    <cfRule type="containsText" dxfId="1083" priority="354" operator="containsText" text="SH">
      <formula>NOT(ISERROR(SEARCH("SH",AJ10)))</formula>
    </cfRule>
    <cfRule type="containsText" dxfId="1082" priority="355" operator="containsText" text="RD">
      <formula>NOT(ISERROR(SEARCH("RD",AJ10)))</formula>
    </cfRule>
    <cfRule type="cellIs" dxfId="1081" priority="356" operator="equal">
      <formula>"GS"</formula>
    </cfRule>
    <cfRule type="cellIs" dxfId="1080" priority="357" operator="equal">
      <formula>"NC"</formula>
    </cfRule>
    <cfRule type="cellIs" dxfId="1079" priority="358" operator="equal">
      <formula>"SG"</formula>
    </cfRule>
    <cfRule type="containsText" dxfId="1078" priority="359" operator="containsText" text="EC">
      <formula>NOT(ISERROR(SEARCH("EC",AJ10)))</formula>
    </cfRule>
    <cfRule type="containsText" dxfId="1077" priority="360" operator="containsText" text="OTE">
      <formula>NOT(ISERROR(SEARCH("OTE",AJ10)))</formula>
    </cfRule>
    <cfRule type="containsText" dxfId="1076" priority="361" operator="containsText" text="AL">
      <formula>NOT(ISERROR(SEARCH("AL",AJ10)))</formula>
    </cfRule>
    <cfRule type="containsText" dxfId="1075" priority="362" operator="containsText" text="SL">
      <formula>NOT(ISERROR(SEARCH("SL",AJ10)))</formula>
    </cfRule>
    <cfRule type="containsText" dxfId="1074" priority="363" operator="containsText" text="NP">
      <formula>NOT(ISERROR(SEARCH("NP",AJ10)))</formula>
    </cfRule>
    <cfRule type="containsText" dxfId="1073" priority="364" operator="containsText" text="SH">
      <formula>NOT(ISERROR(SEARCH("SH",AJ10)))</formula>
    </cfRule>
    <cfRule type="containsText" dxfId="1072" priority="365" operator="containsText" text="RD">
      <formula>NOT(ISERROR(SEARCH("RD",AJ10)))</formula>
    </cfRule>
    <cfRule type="containsText" dxfId="1071" priority="366" operator="containsText" text="OTE">
      <formula>NOT(ISERROR(SEARCH("OTE",AJ10)))</formula>
    </cfRule>
    <cfRule type="containsText" dxfId="1070" priority="367" operator="containsText" text="AL">
      <formula>NOT(ISERROR(SEARCH("AL",AJ10)))</formula>
    </cfRule>
    <cfRule type="containsText" dxfId="1069" priority="368" operator="containsText" text="SL">
      <formula>NOT(ISERROR(SEARCH("SL",AJ10)))</formula>
    </cfRule>
    <cfRule type="containsText" dxfId="1068" priority="369" operator="containsText" text="NP">
      <formula>NOT(ISERROR(SEARCH("NP",AJ10)))</formula>
    </cfRule>
    <cfRule type="containsText" dxfId="1067" priority="370" operator="containsText" text="SH">
      <formula>NOT(ISERROR(SEARCH("SH",AJ10)))</formula>
    </cfRule>
    <cfRule type="containsText" dxfId="1066" priority="371" operator="containsText" text="RD">
      <formula>NOT(ISERROR(SEARCH("RD",AJ10)))</formula>
    </cfRule>
  </conditionalFormatting>
  <conditionalFormatting sqref="AJ24">
    <cfRule type="cellIs" dxfId="1065" priority="725" operator="equal">
      <formula>"GS"</formula>
    </cfRule>
    <cfRule type="cellIs" dxfId="1064" priority="726" operator="equal">
      <formula>"NC"</formula>
    </cfRule>
    <cfRule type="cellIs" dxfId="1063" priority="727" operator="equal">
      <formula>"SG"</formula>
    </cfRule>
    <cfRule type="containsText" dxfId="1062" priority="728" operator="containsText" text="EC">
      <formula>NOT(ISERROR(SEARCH("EC",AJ24)))</formula>
    </cfRule>
    <cfRule type="containsText" dxfId="1061" priority="729" operator="containsText" text="OTE">
      <formula>NOT(ISERROR(SEARCH("OTE",AJ24)))</formula>
    </cfRule>
    <cfRule type="containsText" dxfId="1060" priority="730" operator="containsText" text="AL">
      <formula>NOT(ISERROR(SEARCH("AL",AJ24)))</formula>
    </cfRule>
    <cfRule type="containsText" dxfId="1059" priority="731" operator="containsText" text="SL">
      <formula>NOT(ISERROR(SEARCH("SL",AJ24)))</formula>
    </cfRule>
    <cfRule type="containsText" dxfId="1058" priority="732" operator="containsText" text="NP">
      <formula>NOT(ISERROR(SEARCH("NP",AJ24)))</formula>
    </cfRule>
    <cfRule type="containsText" dxfId="1057" priority="733" operator="containsText" text="SH">
      <formula>NOT(ISERROR(SEARCH("SH",AJ24)))</formula>
    </cfRule>
    <cfRule type="containsText" dxfId="1056" priority="734" operator="containsText" text="RD">
      <formula>NOT(ISERROR(SEARCH("RD",AJ24)))</formula>
    </cfRule>
    <cfRule type="containsText" dxfId="1055" priority="735" operator="containsText" text="OTE">
      <formula>NOT(ISERROR(SEARCH("OTE",AJ24)))</formula>
    </cfRule>
    <cfRule type="containsText" dxfId="1054" priority="736" operator="containsText" text="AL">
      <formula>NOT(ISERROR(SEARCH("AL",AJ24)))</formula>
    </cfRule>
    <cfRule type="containsText" dxfId="1053" priority="737" operator="containsText" text="SL">
      <formula>NOT(ISERROR(SEARCH("SL",AJ24)))</formula>
    </cfRule>
    <cfRule type="containsText" dxfId="1052" priority="738" operator="containsText" text="NP">
      <formula>NOT(ISERROR(SEARCH("NP",AJ24)))</formula>
    </cfRule>
    <cfRule type="containsText" dxfId="1051" priority="739" operator="containsText" text="SH">
      <formula>NOT(ISERROR(SEARCH("SH",AJ24)))</formula>
    </cfRule>
    <cfRule type="containsText" dxfId="1050" priority="740" operator="containsText" text="RD">
      <formula>NOT(ISERROR(SEARCH("RD",AJ24)))</formula>
    </cfRule>
    <cfRule type="cellIs" dxfId="1049" priority="741" operator="equal">
      <formula>"NC"</formula>
    </cfRule>
    <cfRule type="containsText" dxfId="1048" priority="742" operator="containsText" text="EC">
      <formula>NOT(ISERROR(SEARCH("EC",AJ24)))</formula>
    </cfRule>
    <cfRule type="containsText" dxfId="1047" priority="743" operator="containsText" text="OTE">
      <formula>NOT(ISERROR(SEARCH("OTE",AJ24)))</formula>
    </cfRule>
    <cfRule type="containsText" dxfId="1046" priority="744" operator="containsText" text="AL">
      <formula>NOT(ISERROR(SEARCH("AL",AJ24)))</formula>
    </cfRule>
    <cfRule type="containsText" dxfId="1045" priority="745" operator="containsText" text="SL">
      <formula>NOT(ISERROR(SEARCH("SL",AJ24)))</formula>
    </cfRule>
    <cfRule type="containsText" dxfId="1044" priority="746" operator="containsText" text="NP">
      <formula>NOT(ISERROR(SEARCH("NP",AJ24)))</formula>
    </cfRule>
    <cfRule type="containsText" dxfId="1043" priority="747" operator="containsText" text="SH">
      <formula>NOT(ISERROR(SEARCH("SH",AJ24)))</formula>
    </cfRule>
    <cfRule type="containsText" dxfId="1042" priority="748" operator="containsText" text="RD">
      <formula>NOT(ISERROR(SEARCH("RD",AJ24)))</formula>
    </cfRule>
  </conditionalFormatting>
  <conditionalFormatting sqref="AG44">
    <cfRule type="cellIs" dxfId="1041" priority="146" operator="equal">
      <formula>"CL"</formula>
    </cfRule>
    <cfRule type="cellIs" dxfId="1040" priority="147" operator="equal">
      <formula>"GS"</formula>
    </cfRule>
    <cfRule type="containsText" dxfId="1039" priority="148" operator="containsText" text="SL">
      <formula>NOT(ISERROR(SEARCH("SL",AG44)))</formula>
    </cfRule>
    <cfRule type="containsText" dxfId="1038" priority="149" operator="containsText" text="NP">
      <formula>NOT(ISERROR(SEARCH("NP",AG44)))</formula>
    </cfRule>
    <cfRule type="containsText" dxfId="1037" priority="150" operator="containsText" text="SH">
      <formula>NOT(ISERROR(SEARCH("SH",AG44)))</formula>
    </cfRule>
    <cfRule type="containsText" dxfId="1036" priority="151" operator="containsText" text="RD">
      <formula>NOT(ISERROR(SEARCH("RD",AG44)))</formula>
    </cfRule>
    <cfRule type="cellIs" dxfId="1035" priority="152" operator="equal">
      <formula>"OTN"</formula>
    </cfRule>
    <cfRule type="cellIs" dxfId="1034" priority="153" operator="equal">
      <formula>"SR"</formula>
    </cfRule>
    <cfRule type="cellIs" dxfId="1033" priority="154" operator="equal">
      <formula>"SG"</formula>
    </cfRule>
    <cfRule type="containsText" dxfId="1032" priority="155" operator="containsText" text="AL">
      <formula>NOT(ISERROR(SEARCH("AL",AG44)))</formula>
    </cfRule>
    <cfRule type="containsText" dxfId="1031" priority="157" operator="containsText" text="SL">
      <formula>NOT(ISERROR(SEARCH("SL",AG44)))</formula>
    </cfRule>
    <cfRule type="containsText" dxfId="1030" priority="158" operator="containsText" text="NP">
      <formula>NOT(ISERROR(SEARCH("NP",AG44)))</formula>
    </cfRule>
    <cfRule type="containsText" dxfId="1029" priority="159" operator="containsText" text="SH">
      <formula>NOT(ISERROR(SEARCH("SH",AG44)))</formula>
    </cfRule>
    <cfRule type="containsText" dxfId="1028" priority="160" operator="containsText" text="RD">
      <formula>NOT(ISERROR(SEARCH("RD",AG44)))</formula>
    </cfRule>
  </conditionalFormatting>
  <conditionalFormatting sqref="AK26">
    <cfRule type="containsText" dxfId="1027" priority="711" operator="containsText" text="OTE">
      <formula>NOT(ISERROR(SEARCH("OTE",AK26)))</formula>
    </cfRule>
    <cfRule type="containsText" dxfId="1026" priority="712" operator="containsText" text="AL">
      <formula>NOT(ISERROR(SEARCH("AL",AK26)))</formula>
    </cfRule>
    <cfRule type="containsText" dxfId="1025" priority="713" operator="containsText" text="SL">
      <formula>NOT(ISERROR(SEARCH("SL",AK26)))</formula>
    </cfRule>
    <cfRule type="containsText" dxfId="1024" priority="714" operator="containsText" text="NP">
      <formula>NOT(ISERROR(SEARCH("NP",AK26)))</formula>
    </cfRule>
    <cfRule type="containsText" dxfId="1023" priority="715" operator="containsText" text="SH">
      <formula>NOT(ISERROR(SEARCH("SH",AK26)))</formula>
    </cfRule>
    <cfRule type="containsText" dxfId="1022" priority="716" operator="containsText" text="RD">
      <formula>NOT(ISERROR(SEARCH("RD",AK26)))</formula>
    </cfRule>
    <cfRule type="cellIs" dxfId="1021" priority="717" operator="equal">
      <formula>"NC"</formula>
    </cfRule>
    <cfRule type="containsText" dxfId="1020" priority="718" operator="containsText" text="EC">
      <formula>NOT(ISERROR(SEARCH("EC",AK26)))</formula>
    </cfRule>
    <cfRule type="containsText" dxfId="1019" priority="719" operator="containsText" text="OTE">
      <formula>NOT(ISERROR(SEARCH("OTE",AK26)))</formula>
    </cfRule>
    <cfRule type="containsText" dxfId="1018" priority="720" operator="containsText" text="AL">
      <formula>NOT(ISERROR(SEARCH("AL",AK26)))</formula>
    </cfRule>
    <cfRule type="containsText" dxfId="1017" priority="721" operator="containsText" text="SL">
      <formula>NOT(ISERROR(SEARCH("SL",AK26)))</formula>
    </cfRule>
    <cfRule type="containsText" dxfId="1016" priority="722" operator="containsText" text="NP">
      <formula>NOT(ISERROR(SEARCH("NP",AK26)))</formula>
    </cfRule>
    <cfRule type="containsText" dxfId="1015" priority="723" operator="containsText" text="SH">
      <formula>NOT(ISERROR(SEARCH("SH",AK26)))</formula>
    </cfRule>
    <cfRule type="containsText" dxfId="1014" priority="724" operator="containsText" text="RD">
      <formula>NOT(ISERROR(SEARCH("RD",AK26)))</formula>
    </cfRule>
  </conditionalFormatting>
  <conditionalFormatting sqref="AK26:AK27">
    <cfRule type="cellIs" dxfId="1013" priority="687" operator="equal">
      <formula>"GS"</formula>
    </cfRule>
    <cfRule type="cellIs" dxfId="1012" priority="689" operator="equal">
      <formula>"SG"</formula>
    </cfRule>
    <cfRule type="cellIs" dxfId="1011" priority="703" operator="equal">
      <formula>"NC"</formula>
    </cfRule>
    <cfRule type="containsText" dxfId="1010" priority="704" operator="containsText" text="EC">
      <formula>NOT(ISERROR(SEARCH("EC",AK26)))</formula>
    </cfRule>
    <cfRule type="containsText" dxfId="1009" priority="705" operator="containsText" text="OTE">
      <formula>NOT(ISERROR(SEARCH("OTE",AK26)))</formula>
    </cfRule>
    <cfRule type="containsText" dxfId="1008" priority="706" operator="containsText" text="AL">
      <formula>NOT(ISERROR(SEARCH("AL",AK26)))</formula>
    </cfRule>
    <cfRule type="containsText" dxfId="1007" priority="707" operator="containsText" text="SL">
      <formula>NOT(ISERROR(SEARCH("SL",AK26)))</formula>
    </cfRule>
    <cfRule type="containsText" dxfId="1006" priority="708" operator="containsText" text="NP">
      <formula>NOT(ISERROR(SEARCH("NP",AK26)))</formula>
    </cfRule>
    <cfRule type="containsText" dxfId="1005" priority="709" operator="containsText" text="SH">
      <formula>NOT(ISERROR(SEARCH("SH",AK26)))</formula>
    </cfRule>
    <cfRule type="containsText" dxfId="1004" priority="710" operator="containsText" text="RD">
      <formula>NOT(ISERROR(SEARCH("RD",AK26)))</formula>
    </cfRule>
  </conditionalFormatting>
  <conditionalFormatting sqref="AK27">
    <cfRule type="cellIs" dxfId="1003" priority="688" operator="equal">
      <formula>"NC"</formula>
    </cfRule>
    <cfRule type="containsText" dxfId="1002" priority="690" operator="containsText" text="EC">
      <formula>NOT(ISERROR(SEARCH("EC",AK27)))</formula>
    </cfRule>
    <cfRule type="containsText" dxfId="1001" priority="691" operator="containsText" text="OTE">
      <formula>NOT(ISERROR(SEARCH("OTE",AK27)))</formula>
    </cfRule>
    <cfRule type="containsText" dxfId="1000" priority="692" operator="containsText" text="AL">
      <formula>NOT(ISERROR(SEARCH("AL",AK27)))</formula>
    </cfRule>
    <cfRule type="containsText" dxfId="999" priority="693" operator="containsText" text="SL">
      <formula>NOT(ISERROR(SEARCH("SL",AK27)))</formula>
    </cfRule>
    <cfRule type="containsText" dxfId="998" priority="694" operator="containsText" text="NP">
      <formula>NOT(ISERROR(SEARCH("NP",AK27)))</formula>
    </cfRule>
    <cfRule type="containsText" dxfId="997" priority="695" operator="containsText" text="SH">
      <formula>NOT(ISERROR(SEARCH("SH",AK27)))</formula>
    </cfRule>
    <cfRule type="containsText" dxfId="996" priority="696" operator="containsText" text="RD">
      <formula>NOT(ISERROR(SEARCH("RD",AK27)))</formula>
    </cfRule>
    <cfRule type="containsText" dxfId="995" priority="697" operator="containsText" text="OTE">
      <formula>NOT(ISERROR(SEARCH("OTE",AK27)))</formula>
    </cfRule>
    <cfRule type="containsText" dxfId="994" priority="698" operator="containsText" text="AL">
      <formula>NOT(ISERROR(SEARCH("AL",AK27)))</formula>
    </cfRule>
    <cfRule type="containsText" dxfId="993" priority="699" operator="containsText" text="SL">
      <formula>NOT(ISERROR(SEARCH("SL",AK27)))</formula>
    </cfRule>
    <cfRule type="containsText" dxfId="992" priority="700" operator="containsText" text="NP">
      <formula>NOT(ISERROR(SEARCH("NP",AK27)))</formula>
    </cfRule>
    <cfRule type="containsText" dxfId="991" priority="701" operator="containsText" text="SH">
      <formula>NOT(ISERROR(SEARCH("SH",AK27)))</formula>
    </cfRule>
    <cfRule type="containsText" dxfId="990" priority="702" operator="containsText" text="RD">
      <formula>NOT(ISERROR(SEARCH("RD",AK27)))</formula>
    </cfRule>
  </conditionalFormatting>
  <conditionalFormatting sqref="AL19">
    <cfRule type="cellIs" dxfId="989" priority="766" operator="equal">
      <formula>"GS"</formula>
    </cfRule>
    <cfRule type="cellIs" dxfId="988" priority="767" operator="equal">
      <formula>"NC"</formula>
    </cfRule>
    <cfRule type="cellIs" dxfId="987" priority="768" operator="equal">
      <formula>"SG"</formula>
    </cfRule>
    <cfRule type="containsText" dxfId="986" priority="769" operator="containsText" text="EC">
      <formula>NOT(ISERROR(SEARCH("EC",AL19)))</formula>
    </cfRule>
    <cfRule type="containsText" dxfId="985" priority="770" operator="containsText" text="OTE">
      <formula>NOT(ISERROR(SEARCH("OTE",AL19)))</formula>
    </cfRule>
    <cfRule type="containsText" dxfId="984" priority="771" operator="containsText" text="AL">
      <formula>NOT(ISERROR(SEARCH("AL",AL19)))</formula>
    </cfRule>
    <cfRule type="containsText" dxfId="983" priority="772" operator="containsText" text="SL">
      <formula>NOT(ISERROR(SEARCH("SL",AL19)))</formula>
    </cfRule>
    <cfRule type="containsText" dxfId="982" priority="773" operator="containsText" text="NP">
      <formula>NOT(ISERROR(SEARCH("NP",AL19)))</formula>
    </cfRule>
    <cfRule type="containsText" dxfId="981" priority="774" operator="containsText" text="SH">
      <formula>NOT(ISERROR(SEARCH("SH",AL19)))</formula>
    </cfRule>
    <cfRule type="containsText" dxfId="980" priority="775" operator="containsText" text="RD">
      <formula>NOT(ISERROR(SEARCH("RD",AL19)))</formula>
    </cfRule>
    <cfRule type="containsText" dxfId="979" priority="776" operator="containsText" text="OTE">
      <formula>NOT(ISERROR(SEARCH("OTE",AL19)))</formula>
    </cfRule>
    <cfRule type="containsText" dxfId="978" priority="777" operator="containsText" text="AL">
      <formula>NOT(ISERROR(SEARCH("AL",AL19)))</formula>
    </cfRule>
    <cfRule type="containsText" dxfId="977" priority="778" operator="containsText" text="SL">
      <formula>NOT(ISERROR(SEARCH("SL",AL19)))</formula>
    </cfRule>
    <cfRule type="containsText" dxfId="976" priority="779" operator="containsText" text="NP">
      <formula>NOT(ISERROR(SEARCH("NP",AL19)))</formula>
    </cfRule>
    <cfRule type="containsText" dxfId="975" priority="780" operator="containsText" text="SH">
      <formula>NOT(ISERROR(SEARCH("SH",AL19)))</formula>
    </cfRule>
    <cfRule type="containsText" dxfId="974" priority="781" operator="containsText" text="RD">
      <formula>NOT(ISERROR(SEARCH("RD",AL19)))</formula>
    </cfRule>
    <cfRule type="cellIs" dxfId="973" priority="782" operator="equal">
      <formula>"NC"</formula>
    </cfRule>
    <cfRule type="containsText" dxfId="972" priority="783" operator="containsText" text="EC">
      <formula>NOT(ISERROR(SEARCH("EC",AL19)))</formula>
    </cfRule>
    <cfRule type="containsText" dxfId="971" priority="784" operator="containsText" text="OTE">
      <formula>NOT(ISERROR(SEARCH("OTE",AL19)))</formula>
    </cfRule>
    <cfRule type="containsText" dxfId="970" priority="785" operator="containsText" text="AL">
      <formula>NOT(ISERROR(SEARCH("AL",AL19)))</formula>
    </cfRule>
    <cfRule type="containsText" dxfId="969" priority="786" operator="containsText" text="SL">
      <formula>NOT(ISERROR(SEARCH("SL",AL19)))</formula>
    </cfRule>
    <cfRule type="containsText" dxfId="968" priority="787" operator="containsText" text="NP">
      <formula>NOT(ISERROR(SEARCH("NP",AL19)))</formula>
    </cfRule>
    <cfRule type="containsText" dxfId="967" priority="788" operator="containsText" text="SH">
      <formula>NOT(ISERROR(SEARCH("SH",AL19)))</formula>
    </cfRule>
    <cfRule type="containsText" dxfId="966" priority="789" operator="containsText" text="RD">
      <formula>NOT(ISERROR(SEARCH("RD",AL19)))</formula>
    </cfRule>
    <cfRule type="containsText" dxfId="965" priority="790" operator="containsText" text="OTE">
      <formula>NOT(ISERROR(SEARCH("OTE",AL19)))</formula>
    </cfRule>
    <cfRule type="containsText" dxfId="964" priority="791" operator="containsText" text="AL">
      <formula>NOT(ISERROR(SEARCH("AL",AL19)))</formula>
    </cfRule>
    <cfRule type="containsText" dxfId="963" priority="792" operator="containsText" text="SL">
      <formula>NOT(ISERROR(SEARCH("SL",AL19)))</formula>
    </cfRule>
    <cfRule type="containsText" dxfId="962" priority="793" operator="containsText" text="NP">
      <formula>NOT(ISERROR(SEARCH("NP",AL19)))</formula>
    </cfRule>
    <cfRule type="containsText" dxfId="961" priority="794" operator="containsText" text="SH">
      <formula>NOT(ISERROR(SEARCH("SH",AL19)))</formula>
    </cfRule>
    <cfRule type="containsText" dxfId="960" priority="795" operator="containsText" text="RD">
      <formula>NOT(ISERROR(SEARCH("RD",AL19)))</formula>
    </cfRule>
  </conditionalFormatting>
  <conditionalFormatting sqref="AL22">
    <cfRule type="cellIs" dxfId="959" priority="663" operator="equal">
      <formula>"GS"</formula>
    </cfRule>
    <cfRule type="cellIs" dxfId="958" priority="664" operator="equal">
      <formula>"NC"</formula>
    </cfRule>
    <cfRule type="cellIs" dxfId="957" priority="665" operator="equal">
      <formula>"SG"</formula>
    </cfRule>
    <cfRule type="containsText" dxfId="956" priority="666" operator="containsText" text="EC">
      <formula>NOT(ISERROR(SEARCH("EC",AL22)))</formula>
    </cfRule>
    <cfRule type="containsText" dxfId="955" priority="667" operator="containsText" text="OTE">
      <formula>NOT(ISERROR(SEARCH("OTE",AL22)))</formula>
    </cfRule>
    <cfRule type="containsText" dxfId="954" priority="668" operator="containsText" text="AL">
      <formula>NOT(ISERROR(SEARCH("AL",AL22)))</formula>
    </cfRule>
    <cfRule type="containsText" dxfId="953" priority="669" operator="containsText" text="SL">
      <formula>NOT(ISERROR(SEARCH("SL",AL22)))</formula>
    </cfRule>
    <cfRule type="containsText" dxfId="952" priority="670" operator="containsText" text="NP">
      <formula>NOT(ISERROR(SEARCH("NP",AL22)))</formula>
    </cfRule>
    <cfRule type="containsText" dxfId="951" priority="671" operator="containsText" text="SH">
      <formula>NOT(ISERROR(SEARCH("SH",AL22)))</formula>
    </cfRule>
    <cfRule type="containsText" dxfId="950" priority="672" operator="containsText" text="RD">
      <formula>NOT(ISERROR(SEARCH("RD",AL22)))</formula>
    </cfRule>
    <cfRule type="containsText" dxfId="949" priority="673" operator="containsText" text="OTE">
      <formula>NOT(ISERROR(SEARCH("OTE",AL22)))</formula>
    </cfRule>
    <cfRule type="containsText" dxfId="948" priority="674" operator="containsText" text="AL">
      <formula>NOT(ISERROR(SEARCH("AL",AL22)))</formula>
    </cfRule>
    <cfRule type="containsText" dxfId="947" priority="675" operator="containsText" text="SL">
      <formula>NOT(ISERROR(SEARCH("SL",AL22)))</formula>
    </cfRule>
    <cfRule type="containsText" dxfId="946" priority="676" operator="containsText" text="NP">
      <formula>NOT(ISERROR(SEARCH("NP",AL22)))</formula>
    </cfRule>
    <cfRule type="containsText" dxfId="945" priority="677" operator="containsText" text="SH">
      <formula>NOT(ISERROR(SEARCH("SH",AL22)))</formula>
    </cfRule>
    <cfRule type="containsText" dxfId="944" priority="678" operator="containsText" text="RD">
      <formula>NOT(ISERROR(SEARCH("RD",AL22)))</formula>
    </cfRule>
    <cfRule type="cellIs" dxfId="943" priority="679" operator="equal">
      <formula>"NC"</formula>
    </cfRule>
    <cfRule type="containsText" dxfId="942" priority="680" operator="containsText" text="EC">
      <formula>NOT(ISERROR(SEARCH("EC",AL22)))</formula>
    </cfRule>
    <cfRule type="containsText" dxfId="941" priority="681" operator="containsText" text="OTE">
      <formula>NOT(ISERROR(SEARCH("OTE",AL22)))</formula>
    </cfRule>
    <cfRule type="containsText" dxfId="940" priority="682" operator="containsText" text="AL">
      <formula>NOT(ISERROR(SEARCH("AL",AL22)))</formula>
    </cfRule>
    <cfRule type="containsText" dxfId="939" priority="683" operator="containsText" text="SL">
      <formula>NOT(ISERROR(SEARCH("SL",AL22)))</formula>
    </cfRule>
    <cfRule type="containsText" dxfId="938" priority="684" operator="containsText" text="NP">
      <formula>NOT(ISERROR(SEARCH("NP",AL22)))</formula>
    </cfRule>
    <cfRule type="containsText" dxfId="937" priority="685" operator="containsText" text="SH">
      <formula>NOT(ISERROR(SEARCH("SH",AL22)))</formula>
    </cfRule>
    <cfRule type="containsText" dxfId="936" priority="686" operator="containsText" text="RD">
      <formula>NOT(ISERROR(SEARCH("RD",AL22)))</formula>
    </cfRule>
  </conditionalFormatting>
  <conditionalFormatting sqref="AM23">
    <cfRule type="cellIs" dxfId="935" priority="639" operator="equal">
      <formula>"GS"</formula>
    </cfRule>
    <cfRule type="cellIs" dxfId="934" priority="640" operator="equal">
      <formula>"NC"</formula>
    </cfRule>
    <cfRule type="cellIs" dxfId="933" priority="641" operator="equal">
      <formula>"SG"</formula>
    </cfRule>
    <cfRule type="containsText" dxfId="932" priority="642" operator="containsText" text="EC">
      <formula>NOT(ISERROR(SEARCH("EC",AM23)))</formula>
    </cfRule>
    <cfRule type="containsText" dxfId="931" priority="643" operator="containsText" text="OTE">
      <formula>NOT(ISERROR(SEARCH("OTE",AM23)))</formula>
    </cfRule>
    <cfRule type="containsText" dxfId="930" priority="644" operator="containsText" text="AL">
      <formula>NOT(ISERROR(SEARCH("AL",AM23)))</formula>
    </cfRule>
    <cfRule type="containsText" dxfId="929" priority="645" operator="containsText" text="SL">
      <formula>NOT(ISERROR(SEARCH("SL",AM23)))</formula>
    </cfRule>
    <cfRule type="containsText" dxfId="928" priority="646" operator="containsText" text="NP">
      <formula>NOT(ISERROR(SEARCH("NP",AM23)))</formula>
    </cfRule>
    <cfRule type="containsText" dxfId="927" priority="647" operator="containsText" text="SH">
      <formula>NOT(ISERROR(SEARCH("SH",AM23)))</formula>
    </cfRule>
    <cfRule type="containsText" dxfId="926" priority="648" operator="containsText" text="RD">
      <formula>NOT(ISERROR(SEARCH("RD",AM23)))</formula>
    </cfRule>
    <cfRule type="containsText" dxfId="925" priority="649" operator="containsText" text="OTE">
      <formula>NOT(ISERROR(SEARCH("OTE",AM23)))</formula>
    </cfRule>
    <cfRule type="containsText" dxfId="924" priority="650" operator="containsText" text="AL">
      <formula>NOT(ISERROR(SEARCH("AL",AM23)))</formula>
    </cfRule>
    <cfRule type="containsText" dxfId="923" priority="651" operator="containsText" text="SL">
      <formula>NOT(ISERROR(SEARCH("SL",AM23)))</formula>
    </cfRule>
    <cfRule type="containsText" dxfId="922" priority="652" operator="containsText" text="NP">
      <formula>NOT(ISERROR(SEARCH("NP",AM23)))</formula>
    </cfRule>
    <cfRule type="containsText" dxfId="921" priority="653" operator="containsText" text="SH">
      <formula>NOT(ISERROR(SEARCH("SH",AM23)))</formula>
    </cfRule>
    <cfRule type="containsText" dxfId="920" priority="654" operator="containsText" text="RD">
      <formula>NOT(ISERROR(SEARCH("RD",AM23)))</formula>
    </cfRule>
    <cfRule type="cellIs" dxfId="919" priority="655" operator="equal">
      <formula>"NC"</formula>
    </cfRule>
    <cfRule type="containsText" dxfId="918" priority="656" operator="containsText" text="EC">
      <formula>NOT(ISERROR(SEARCH("EC",AM23)))</formula>
    </cfRule>
    <cfRule type="containsText" dxfId="917" priority="657" operator="containsText" text="OTE">
      <formula>NOT(ISERROR(SEARCH("OTE",AM23)))</formula>
    </cfRule>
    <cfRule type="containsText" dxfId="916" priority="658" operator="containsText" text="AL">
      <formula>NOT(ISERROR(SEARCH("AL",AM23)))</formula>
    </cfRule>
    <cfRule type="containsText" dxfId="915" priority="659" operator="containsText" text="SL">
      <formula>NOT(ISERROR(SEARCH("SL",AM23)))</formula>
    </cfRule>
    <cfRule type="containsText" dxfId="914" priority="660" operator="containsText" text="NP">
      <formula>NOT(ISERROR(SEARCH("NP",AM23)))</formula>
    </cfRule>
    <cfRule type="containsText" dxfId="913" priority="661" operator="containsText" text="SH">
      <formula>NOT(ISERROR(SEARCH("SH",AM23)))</formula>
    </cfRule>
    <cfRule type="containsText" dxfId="912" priority="662" operator="containsText" text="RD">
      <formula>NOT(ISERROR(SEARCH("RD",AM23)))</formula>
    </cfRule>
  </conditionalFormatting>
  <conditionalFormatting sqref="AV6:BC10">
    <cfRule type="cellIs" dxfId="911" priority="171" operator="equal">
      <formula>0</formula>
    </cfRule>
  </conditionalFormatting>
  <conditionalFormatting sqref="AV19:BC29">
    <cfRule type="cellIs" dxfId="910" priority="170" operator="equal">
      <formula>0</formula>
    </cfRule>
  </conditionalFormatting>
  <conditionalFormatting sqref="AG8:AI10">
    <cfRule type="cellIs" dxfId="909" priority="133" operator="equal">
      <formula>"CL"</formula>
    </cfRule>
  </conditionalFormatting>
  <conditionalFormatting sqref="AG8:AI10">
    <cfRule type="cellIs" dxfId="908" priority="134" operator="equal">
      <formula>"NC"</formula>
    </cfRule>
    <cfRule type="containsText" dxfId="907" priority="135" operator="containsText" text="EC">
      <formula>NOT(ISERROR(SEARCH("EC",AG8)))</formula>
    </cfRule>
    <cfRule type="containsText" dxfId="906" priority="136" operator="containsText" text="OTE">
      <formula>NOT(ISERROR(SEARCH("OTE",AG8)))</formula>
    </cfRule>
    <cfRule type="containsText" dxfId="905" priority="137" operator="containsText" text="AL">
      <formula>NOT(ISERROR(SEARCH("AL",AG8)))</formula>
    </cfRule>
    <cfRule type="containsText" dxfId="904" priority="138" operator="containsText" text="SL">
      <formula>NOT(ISERROR(SEARCH("SL",AG8)))</formula>
    </cfRule>
    <cfRule type="containsText" dxfId="903" priority="139" operator="containsText" text="NP">
      <formula>NOT(ISERROR(SEARCH("NP",AG8)))</formula>
    </cfRule>
    <cfRule type="containsText" dxfId="902" priority="140" operator="containsText" text="SH">
      <formula>NOT(ISERROR(SEARCH("SH",AG8)))</formula>
    </cfRule>
    <cfRule type="containsText" dxfId="901" priority="141" operator="containsText" text="RD">
      <formula>NOT(ISERROR(SEARCH("RD",AG8)))</formula>
    </cfRule>
  </conditionalFormatting>
  <conditionalFormatting sqref="AG8:AI10">
    <cfRule type="cellIs" dxfId="900" priority="51" operator="equal">
      <formula>"GS"</formula>
    </cfRule>
  </conditionalFormatting>
  <conditionalFormatting sqref="AG8:AI10">
    <cfRule type="cellIs" dxfId="899" priority="52" operator="equal">
      <formula>"SG"</formula>
    </cfRule>
  </conditionalFormatting>
  <conditionalFormatting sqref="AG9:AG10">
    <cfRule type="cellIs" dxfId="898" priority="117" operator="equal">
      <formula>"GS"</formula>
    </cfRule>
    <cfRule type="cellIs" dxfId="897" priority="118" operator="equal">
      <formula>"NC"</formula>
    </cfRule>
    <cfRule type="cellIs" dxfId="896" priority="119" operator="equal">
      <formula>"SG"</formula>
    </cfRule>
    <cfRule type="containsText" dxfId="895" priority="120" operator="containsText" text="EC">
      <formula>NOT(ISERROR(SEARCH("EC",AG9)))</formula>
    </cfRule>
    <cfRule type="containsText" dxfId="894" priority="121" operator="containsText" text="OTE">
      <formula>NOT(ISERROR(SEARCH("OTE",AG9)))</formula>
    </cfRule>
    <cfRule type="containsText" dxfId="893" priority="122" operator="containsText" text="AL">
      <formula>NOT(ISERROR(SEARCH("AL",AG9)))</formula>
    </cfRule>
    <cfRule type="containsText" dxfId="892" priority="123" operator="containsText" text="SL">
      <formula>NOT(ISERROR(SEARCH("SL",AG9)))</formula>
    </cfRule>
    <cfRule type="containsText" dxfId="891" priority="124" operator="containsText" text="NP">
      <formula>NOT(ISERROR(SEARCH("NP",AG9)))</formula>
    </cfRule>
    <cfRule type="containsText" dxfId="890" priority="125" operator="containsText" text="SH">
      <formula>NOT(ISERROR(SEARCH("SH",AG9)))</formula>
    </cfRule>
    <cfRule type="containsText" dxfId="889" priority="126" operator="containsText" text="RD">
      <formula>NOT(ISERROR(SEARCH("RD",AG9)))</formula>
    </cfRule>
    <cfRule type="containsText" dxfId="888" priority="127" operator="containsText" text="OTE">
      <formula>NOT(ISERROR(SEARCH("OTE",AG9)))</formula>
    </cfRule>
    <cfRule type="containsText" dxfId="887" priority="128" operator="containsText" text="AL">
      <formula>NOT(ISERROR(SEARCH("AL",AG9)))</formula>
    </cfRule>
    <cfRule type="containsText" dxfId="886" priority="129" operator="containsText" text="SL">
      <formula>NOT(ISERROR(SEARCH("SL",AG9)))</formula>
    </cfRule>
    <cfRule type="containsText" dxfId="885" priority="130" operator="containsText" text="NP">
      <formula>NOT(ISERROR(SEARCH("NP",AG9)))</formula>
    </cfRule>
    <cfRule type="containsText" dxfId="884" priority="131" operator="containsText" text="SH">
      <formula>NOT(ISERROR(SEARCH("SH",AG9)))</formula>
    </cfRule>
    <cfRule type="containsText" dxfId="883" priority="132" operator="containsText" text="RD">
      <formula>NOT(ISERROR(SEARCH("RD",AG9)))</formula>
    </cfRule>
  </conditionalFormatting>
  <conditionalFormatting sqref="AG10">
    <cfRule type="cellIs" dxfId="882" priority="53" operator="equal">
      <formula>"GS"</formula>
    </cfRule>
    <cfRule type="cellIs" dxfId="881" priority="54" operator="equal">
      <formula>"NC"</formula>
    </cfRule>
    <cfRule type="cellIs" dxfId="880" priority="55" operator="equal">
      <formula>"SG"</formula>
    </cfRule>
    <cfRule type="containsText" dxfId="879" priority="56" operator="containsText" text="EC">
      <formula>NOT(ISERROR(SEARCH("EC",AG10)))</formula>
    </cfRule>
    <cfRule type="containsText" dxfId="878" priority="57" operator="containsText" text="OTE">
      <formula>NOT(ISERROR(SEARCH("OTE",AG10)))</formula>
    </cfRule>
    <cfRule type="containsText" dxfId="877" priority="58" operator="containsText" text="AL">
      <formula>NOT(ISERROR(SEARCH("AL",AG10)))</formula>
    </cfRule>
    <cfRule type="containsText" dxfId="876" priority="59" operator="containsText" text="SL">
      <formula>NOT(ISERROR(SEARCH("SL",AG10)))</formula>
    </cfRule>
    <cfRule type="containsText" dxfId="875" priority="60" operator="containsText" text="NP">
      <formula>NOT(ISERROR(SEARCH("NP",AG10)))</formula>
    </cfRule>
    <cfRule type="containsText" dxfId="874" priority="61" operator="containsText" text="SH">
      <formula>NOT(ISERROR(SEARCH("SH",AG10)))</formula>
    </cfRule>
    <cfRule type="containsText" dxfId="873" priority="62" operator="containsText" text="RD">
      <formula>NOT(ISERROR(SEARCH("RD",AG10)))</formula>
    </cfRule>
    <cfRule type="containsText" dxfId="872" priority="63" operator="containsText" text="OTE">
      <formula>NOT(ISERROR(SEARCH("OTE",AG10)))</formula>
    </cfRule>
    <cfRule type="containsText" dxfId="871" priority="64" operator="containsText" text="AL">
      <formula>NOT(ISERROR(SEARCH("AL",AG10)))</formula>
    </cfRule>
    <cfRule type="containsText" dxfId="870" priority="65" operator="containsText" text="SL">
      <formula>NOT(ISERROR(SEARCH("SL",AG10)))</formula>
    </cfRule>
    <cfRule type="containsText" dxfId="869" priority="66" operator="containsText" text="NP">
      <formula>NOT(ISERROR(SEARCH("NP",AG10)))</formula>
    </cfRule>
    <cfRule type="containsText" dxfId="868" priority="67" operator="containsText" text="SH">
      <formula>NOT(ISERROR(SEARCH("SH",AG10)))</formula>
    </cfRule>
    <cfRule type="containsText" dxfId="867" priority="68" operator="containsText" text="RD">
      <formula>NOT(ISERROR(SEARCH("RD",AG10)))</formula>
    </cfRule>
    <cfRule type="cellIs" dxfId="866" priority="69" operator="equal">
      <formula>"GS"</formula>
    </cfRule>
    <cfRule type="cellIs" dxfId="865" priority="70" operator="equal">
      <formula>"NC"</formula>
    </cfRule>
    <cfRule type="cellIs" dxfId="864" priority="71" operator="equal">
      <formula>"SG"</formula>
    </cfRule>
    <cfRule type="containsText" dxfId="863" priority="72" operator="containsText" text="EC">
      <formula>NOT(ISERROR(SEARCH("EC",AG10)))</formula>
    </cfRule>
    <cfRule type="containsText" dxfId="862" priority="73" operator="containsText" text="OTE">
      <formula>NOT(ISERROR(SEARCH("OTE",AG10)))</formula>
    </cfRule>
    <cfRule type="containsText" dxfId="861" priority="74" operator="containsText" text="AL">
      <formula>NOT(ISERROR(SEARCH("AL",AG10)))</formula>
    </cfRule>
    <cfRule type="containsText" dxfId="860" priority="75" operator="containsText" text="SL">
      <formula>NOT(ISERROR(SEARCH("SL",AG10)))</formula>
    </cfRule>
    <cfRule type="containsText" dxfId="859" priority="76" operator="containsText" text="NP">
      <formula>NOT(ISERROR(SEARCH("NP",AG10)))</formula>
    </cfRule>
    <cfRule type="containsText" dxfId="858" priority="77" operator="containsText" text="SH">
      <formula>NOT(ISERROR(SEARCH("SH",AG10)))</formula>
    </cfRule>
    <cfRule type="containsText" dxfId="857" priority="78" operator="containsText" text="RD">
      <formula>NOT(ISERROR(SEARCH("RD",AG10)))</formula>
    </cfRule>
    <cfRule type="containsText" dxfId="856" priority="79" operator="containsText" text="OTE">
      <formula>NOT(ISERROR(SEARCH("OTE",AG10)))</formula>
    </cfRule>
    <cfRule type="containsText" dxfId="855" priority="80" operator="containsText" text="AL">
      <formula>NOT(ISERROR(SEARCH("AL",AG10)))</formula>
    </cfRule>
    <cfRule type="containsText" dxfId="854" priority="81" operator="containsText" text="SL">
      <formula>NOT(ISERROR(SEARCH("SL",AG10)))</formula>
    </cfRule>
    <cfRule type="containsText" dxfId="853" priority="82" operator="containsText" text="NP">
      <formula>NOT(ISERROR(SEARCH("NP",AG10)))</formula>
    </cfRule>
    <cfRule type="containsText" dxfId="852" priority="83" operator="containsText" text="SH">
      <formula>NOT(ISERROR(SEARCH("SH",AG10)))</formula>
    </cfRule>
    <cfRule type="containsText" dxfId="851" priority="84" operator="containsText" text="RD">
      <formula>NOT(ISERROR(SEARCH("RD",AG10)))</formula>
    </cfRule>
    <cfRule type="cellIs" dxfId="850" priority="85" operator="equal">
      <formula>"GS"</formula>
    </cfRule>
    <cfRule type="cellIs" dxfId="849" priority="86" operator="equal">
      <formula>"NC"</formula>
    </cfRule>
    <cfRule type="cellIs" dxfId="848" priority="87" operator="equal">
      <formula>"SG"</formula>
    </cfRule>
    <cfRule type="containsText" dxfId="847" priority="88" operator="containsText" text="EC">
      <formula>NOT(ISERROR(SEARCH("EC",AG10)))</formula>
    </cfRule>
    <cfRule type="containsText" dxfId="846" priority="89" operator="containsText" text="OTE">
      <formula>NOT(ISERROR(SEARCH("OTE",AG10)))</formula>
    </cfRule>
    <cfRule type="containsText" dxfId="845" priority="90" operator="containsText" text="AL">
      <formula>NOT(ISERROR(SEARCH("AL",AG10)))</formula>
    </cfRule>
    <cfRule type="containsText" dxfId="844" priority="91" operator="containsText" text="SL">
      <formula>NOT(ISERROR(SEARCH("SL",AG10)))</formula>
    </cfRule>
    <cfRule type="containsText" dxfId="843" priority="92" operator="containsText" text="NP">
      <formula>NOT(ISERROR(SEARCH("NP",AG10)))</formula>
    </cfRule>
    <cfRule type="containsText" dxfId="842" priority="93" operator="containsText" text="SH">
      <formula>NOT(ISERROR(SEARCH("SH",AG10)))</formula>
    </cfRule>
    <cfRule type="containsText" dxfId="841" priority="94" operator="containsText" text="RD">
      <formula>NOT(ISERROR(SEARCH("RD",AG10)))</formula>
    </cfRule>
    <cfRule type="containsText" dxfId="840" priority="95" operator="containsText" text="OTE">
      <formula>NOT(ISERROR(SEARCH("OTE",AG10)))</formula>
    </cfRule>
    <cfRule type="containsText" dxfId="839" priority="96" operator="containsText" text="AL">
      <formula>NOT(ISERROR(SEARCH("AL",AG10)))</formula>
    </cfRule>
    <cfRule type="containsText" dxfId="838" priority="97" operator="containsText" text="SL">
      <formula>NOT(ISERROR(SEARCH("SL",AG10)))</formula>
    </cfRule>
    <cfRule type="containsText" dxfId="837" priority="98" operator="containsText" text="NP">
      <formula>NOT(ISERROR(SEARCH("NP",AG10)))</formula>
    </cfRule>
    <cfRule type="containsText" dxfId="836" priority="99" operator="containsText" text="SH">
      <formula>NOT(ISERROR(SEARCH("SH",AG10)))</formula>
    </cfRule>
    <cfRule type="containsText" dxfId="835" priority="100" operator="containsText" text="RD">
      <formula>NOT(ISERROR(SEARCH("RD",AG10)))</formula>
    </cfRule>
    <cfRule type="cellIs" dxfId="834" priority="101" operator="equal">
      <formula>"GS"</formula>
    </cfRule>
    <cfRule type="cellIs" dxfId="833" priority="102" operator="equal">
      <formula>"NC"</formula>
    </cfRule>
    <cfRule type="cellIs" dxfId="832" priority="103" operator="equal">
      <formula>"SG"</formula>
    </cfRule>
    <cfRule type="containsText" dxfId="831" priority="104" operator="containsText" text="EC">
      <formula>NOT(ISERROR(SEARCH("EC",AG10)))</formula>
    </cfRule>
    <cfRule type="containsText" dxfId="830" priority="105" operator="containsText" text="OTE">
      <formula>NOT(ISERROR(SEARCH("OTE",AG10)))</formula>
    </cfRule>
    <cfRule type="containsText" dxfId="829" priority="106" operator="containsText" text="AL">
      <formula>NOT(ISERROR(SEARCH("AL",AG10)))</formula>
    </cfRule>
    <cfRule type="containsText" dxfId="828" priority="107" operator="containsText" text="SL">
      <formula>NOT(ISERROR(SEARCH("SL",AG10)))</formula>
    </cfRule>
    <cfRule type="containsText" dxfId="827" priority="108" operator="containsText" text="NP">
      <formula>NOT(ISERROR(SEARCH("NP",AG10)))</formula>
    </cfRule>
    <cfRule type="containsText" dxfId="826" priority="109" operator="containsText" text="SH">
      <formula>NOT(ISERROR(SEARCH("SH",AG10)))</formula>
    </cfRule>
    <cfRule type="containsText" dxfId="825" priority="110" operator="containsText" text="RD">
      <formula>NOT(ISERROR(SEARCH("RD",AG10)))</formula>
    </cfRule>
    <cfRule type="containsText" dxfId="824" priority="111" operator="containsText" text="OTE">
      <formula>NOT(ISERROR(SEARCH("OTE",AG10)))</formula>
    </cfRule>
    <cfRule type="containsText" dxfId="823" priority="112" operator="containsText" text="AL">
      <formula>NOT(ISERROR(SEARCH("AL",AG10)))</formula>
    </cfRule>
    <cfRule type="containsText" dxfId="822" priority="113" operator="containsText" text="SL">
      <formula>NOT(ISERROR(SEARCH("SL",AG10)))</formula>
    </cfRule>
    <cfRule type="containsText" dxfId="821" priority="114" operator="containsText" text="NP">
      <formula>NOT(ISERROR(SEARCH("NP",AG10)))</formula>
    </cfRule>
    <cfRule type="containsText" dxfId="820" priority="115" operator="containsText" text="SH">
      <formula>NOT(ISERROR(SEARCH("SH",AG10)))</formula>
    </cfRule>
    <cfRule type="containsText" dxfId="819" priority="116" operator="containsText" text="RD">
      <formula>NOT(ISERROR(SEARCH("RD",AG10)))</formula>
    </cfRule>
  </conditionalFormatting>
  <conditionalFormatting sqref="AG14:AI18 AG31:AI31">
    <cfRule type="containsText" dxfId="816" priority="46" operator="containsText" text="AL">
      <formula>NOT(ISERROR(SEARCH("AL",AG14)))</formula>
    </cfRule>
    <cfRule type="containsText" dxfId="815" priority="47" operator="containsText" text="SL">
      <formula>NOT(ISERROR(SEARCH("SL",AG14)))</formula>
    </cfRule>
    <cfRule type="containsText" dxfId="814" priority="48" operator="containsText" text="NP">
      <formula>NOT(ISERROR(SEARCH("NP",AG14)))</formula>
    </cfRule>
    <cfRule type="containsText" dxfId="813" priority="49" operator="containsText" text="SH">
      <formula>NOT(ISERROR(SEARCH("SH",AG14)))</formula>
    </cfRule>
    <cfRule type="containsText" dxfId="812" priority="50" operator="containsText" text="RD">
      <formula>NOT(ISERROR(SEARCH("RD",AG14)))</formula>
    </cfRule>
  </conditionalFormatting>
  <conditionalFormatting sqref="AG20:AI29">
    <cfRule type="containsText" dxfId="811" priority="8" operator="containsText" text="EC">
      <formula>NOT(ISERROR(SEARCH("EC",AG20)))</formula>
    </cfRule>
    <cfRule type="containsText" dxfId="810" priority="9" operator="containsText" text="OTE">
      <formula>NOT(ISERROR(SEARCH("OTE",AG20)))</formula>
    </cfRule>
    <cfRule type="containsText" dxfId="809" priority="10" operator="containsText" text="AL">
      <formula>NOT(ISERROR(SEARCH("AL",AG20)))</formula>
    </cfRule>
    <cfRule type="containsText" dxfId="808" priority="11" operator="containsText" text="SL">
      <formula>NOT(ISERROR(SEARCH("SL",AG20)))</formula>
    </cfRule>
    <cfRule type="containsText" dxfId="807" priority="12" operator="containsText" text="NP">
      <formula>NOT(ISERROR(SEARCH("NP",AG20)))</formula>
    </cfRule>
    <cfRule type="containsText" dxfId="806" priority="13" operator="containsText" text="SH">
      <formula>NOT(ISERROR(SEARCH("SH",AG20)))</formula>
    </cfRule>
    <cfRule type="containsText" dxfId="805" priority="14" operator="containsText" text="RD">
      <formula>NOT(ISERROR(SEARCH("RD",AG20)))</formula>
    </cfRule>
    <cfRule type="containsText" dxfId="804" priority="15" operator="containsText" text="OTE">
      <formula>NOT(ISERROR(SEARCH("OTE",AG20)))</formula>
    </cfRule>
    <cfRule type="containsText" dxfId="803" priority="16" operator="containsText" text="AL">
      <formula>NOT(ISERROR(SEARCH("AL",AG20)))</formula>
    </cfRule>
    <cfRule type="containsText" dxfId="802" priority="17" operator="containsText" text="SL">
      <formula>NOT(ISERROR(SEARCH("SL",AG20)))</formula>
    </cfRule>
    <cfRule type="containsText" dxfId="801" priority="18" operator="containsText" text="NP">
      <formula>NOT(ISERROR(SEARCH("NP",AG20)))</formula>
    </cfRule>
    <cfRule type="containsText" dxfId="800" priority="19" operator="containsText" text="SH">
      <formula>NOT(ISERROR(SEARCH("SH",AG20)))</formula>
    </cfRule>
    <cfRule type="containsText" dxfId="799" priority="20" operator="containsText" text="RD">
      <formula>NOT(ISERROR(SEARCH("RD",AG20)))</formula>
    </cfRule>
  </conditionalFormatting>
  <conditionalFormatting sqref="AG19:AI19">
    <cfRule type="cellIs" dxfId="798" priority="21" operator="equal">
      <formula>"CL"</formula>
    </cfRule>
    <cfRule type="cellIs" dxfId="797" priority="22" operator="equal">
      <formula>"GS"</formula>
    </cfRule>
    <cfRule type="cellIs" dxfId="796" priority="23" operator="equal">
      <formula>"NC"</formula>
    </cfRule>
    <cfRule type="cellIs" dxfId="795" priority="24" operator="equal">
      <formula>"SG"</formula>
    </cfRule>
    <cfRule type="containsText" dxfId="794" priority="25" operator="containsText" text="EC">
      <formula>NOT(ISERROR(SEARCH("EC",AG19)))</formula>
    </cfRule>
    <cfRule type="containsText" dxfId="793" priority="26" operator="containsText" text="OTE">
      <formula>NOT(ISERROR(SEARCH("OTE",AG19)))</formula>
    </cfRule>
    <cfRule type="containsText" dxfId="792" priority="27" operator="containsText" text="AL">
      <formula>NOT(ISERROR(SEARCH("AL",AG19)))</formula>
    </cfRule>
    <cfRule type="containsText" dxfId="791" priority="28" operator="containsText" text="SL">
      <formula>NOT(ISERROR(SEARCH("SL",AG19)))</formula>
    </cfRule>
    <cfRule type="containsText" dxfId="790" priority="29" operator="containsText" text="NP">
      <formula>NOT(ISERROR(SEARCH("NP",AG19)))</formula>
    </cfRule>
    <cfRule type="containsText" dxfId="789" priority="30" operator="containsText" text="SH">
      <formula>NOT(ISERROR(SEARCH("SH",AG19)))</formula>
    </cfRule>
    <cfRule type="containsText" dxfId="788" priority="31" operator="containsText" text="RD">
      <formula>NOT(ISERROR(SEARCH("RD",AG19)))</formula>
    </cfRule>
  </conditionalFormatting>
  <conditionalFormatting sqref="AG14:AI18">
    <cfRule type="cellIs" dxfId="787" priority="32" operator="equal">
      <formula>"CL"</formula>
    </cfRule>
  </conditionalFormatting>
  <conditionalFormatting sqref="AG14:AI41">
    <cfRule type="cellIs" dxfId="786" priority="2" operator="equal">
      <formula>"GS"</formula>
    </cfRule>
  </conditionalFormatting>
  <conditionalFormatting sqref="AG14:AI41">
    <cfRule type="cellIs" dxfId="785" priority="3" operator="equal">
      <formula>"SG"</formula>
    </cfRule>
  </conditionalFormatting>
  <conditionalFormatting sqref="AG14:AI18 AG31:AI31">
    <cfRule type="cellIs" dxfId="784" priority="36" operator="equal">
      <formula>"NC"</formula>
    </cfRule>
  </conditionalFormatting>
  <conditionalFormatting sqref="AG20:AI29">
    <cfRule type="cellIs" dxfId="783" priority="4" operator="equal">
      <formula>"CL"</formula>
    </cfRule>
    <cfRule type="cellIs" dxfId="782" priority="5" operator="equal">
      <formula>"GS"</formula>
    </cfRule>
    <cfRule type="cellIs" dxfId="781" priority="6" operator="equal">
      <formula>"NC"</formula>
    </cfRule>
    <cfRule type="cellIs" dxfId="780" priority="7" operator="equal">
      <formula>"SG"</formula>
    </cfRule>
  </conditionalFormatting>
  <conditionalFormatting sqref="AG31:AI31">
    <cfRule type="containsText" dxfId="779" priority="39" operator="containsText" text="OTE">
      <formula>NOT(ISERROR(SEARCH("OTE",AG31)))</formula>
    </cfRule>
    <cfRule type="containsText" dxfId="778" priority="40" operator="containsText" text="AL">
      <formula>NOT(ISERROR(SEARCH("AL",AG31)))</formula>
    </cfRule>
    <cfRule type="containsText" dxfId="777" priority="41" operator="containsText" text="SL">
      <formula>NOT(ISERROR(SEARCH("SL",AG31)))</formula>
    </cfRule>
    <cfRule type="containsText" dxfId="776" priority="42" operator="containsText" text="NP">
      <formula>NOT(ISERROR(SEARCH("NP",AG31)))</formula>
    </cfRule>
    <cfRule type="containsText" dxfId="775" priority="43" operator="containsText" text="SH">
      <formula>NOT(ISERROR(SEARCH("SH",AG31)))</formula>
    </cfRule>
    <cfRule type="containsText" dxfId="774" priority="44" operator="containsText" text="RD">
      <formula>NOT(ISERROR(SEARCH("RD",AG31)))</formula>
    </cfRule>
  </conditionalFormatting>
  <conditionalFormatting sqref="AG31:AI31 AG14:AI18">
    <cfRule type="containsText" dxfId="773" priority="38" operator="containsText" text="EC">
      <formula>NOT(ISERROR(SEARCH("EC",AG14)))</formula>
    </cfRule>
    <cfRule type="containsText" dxfId="772" priority="45" operator="containsText" text="OTE">
      <formula>NOT(ISERROR(SEARCH("OTE",AG14)))</formula>
    </cfRule>
  </conditionalFormatting>
  <conditionalFormatting sqref="AG31:AI31">
    <cfRule type="cellIs" dxfId="771" priority="33" operator="equal">
      <formula>"TPN"</formula>
    </cfRule>
    <cfRule type="cellIs" dxfId="770" priority="34" operator="equal">
      <formula>"CL"</formula>
    </cfRule>
    <cfRule type="cellIs" dxfId="769" priority="35" operator="equal">
      <formula>"GS"</formula>
    </cfRule>
    <cfRule type="cellIs" dxfId="768" priority="37" operator="equal">
      <formula>"SG"</formula>
    </cfRule>
  </conditionalFormatting>
  <conditionalFormatting sqref="AG33:AI33">
    <cfRule type="cellIs" dxfId="767" priority="1" operator="greaterThan">
      <formula>8</formula>
    </cfRule>
  </conditionalFormatting>
  <pageMargins left="0.23622047244094491" right="0.23622047244094491" top="0.55118110236220474" bottom="0.35433070866141736" header="0.31496062992125984" footer="0.31496062992125984"/>
  <pageSetup paperSize="9" scale="45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23" operator="containsText" id="{030BEF7B-EB60-4195-8ECA-775DDF3B2C4D}">
            <xm:f>NOT(ISERROR(SEARCH("NC",I10)))</xm:f>
            <xm:f>"NC"</xm:f>
            <x14:dxf>
              <fill>
                <patternFill>
                  <bgColor theme="2" tint="-9.9948118533890809E-2"/>
                </patternFill>
              </fill>
            </x14:dxf>
          </x14:cfRule>
          <xm:sqref>I10</xm:sqref>
        </x14:conditionalFormatting>
        <x14:conditionalFormatting xmlns:xm="http://schemas.microsoft.com/office/excel/2006/main">
          <x14:cfRule type="containsText" priority="156" operator="containsText" id="{26088D16-55B6-470C-9028-3317AE193929}">
            <xm:f>NOT(ISERROR(SEARCH("NC",AG44)))</xm:f>
            <xm:f>"NC"</xm:f>
            <x14:dxf>
              <fill>
                <patternFill>
                  <bgColor theme="0" tint="-0.14996795556505021"/>
                </patternFill>
              </fill>
            </x14:dxf>
          </x14:cfRule>
          <xm:sqref>AG44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52C5-4D3C-4080-B462-D8F4A90EF51C}">
  <sheetPr>
    <pageSetUpPr fitToPage="1"/>
  </sheetPr>
  <dimension ref="A1:BD79"/>
  <sheetViews>
    <sheetView view="pageBreakPreview" zoomScale="61" zoomScaleNormal="61" zoomScaleSheetLayoutView="61" workbookViewId="0">
      <pane xSplit="8" ySplit="7" topLeftCell="I8" activePane="bottomRight" state="frozen"/>
      <selection pane="topRight" activeCell="G1" sqref="G1"/>
      <selection pane="bottomLeft" activeCell="A7" sqref="A7"/>
      <selection pane="bottomRight" activeCell="V18" sqref="V18"/>
    </sheetView>
  </sheetViews>
  <sheetFormatPr defaultColWidth="9" defaultRowHeight="15" customHeight="1" outlineLevelCol="1"/>
  <cols>
    <col min="1" max="1" width="1.625" style="13" customWidth="1"/>
    <col min="2" max="2" width="9" style="39"/>
    <col min="3" max="3" width="22.125" style="40" customWidth="1"/>
    <col min="4" max="4" width="19.875" style="40" customWidth="1"/>
    <col min="5" max="5" width="9" style="40" hidden="1" customWidth="1" outlineLevel="1"/>
    <col min="6" max="6" width="17.25" style="40" hidden="1" customWidth="1" outlineLevel="1"/>
    <col min="7" max="7" width="12.625" style="40" hidden="1" customWidth="1" outlineLevel="1"/>
    <col min="8" max="8" width="8" style="40" customWidth="1" collapsed="1"/>
    <col min="9" max="39" width="6.625" style="39" customWidth="1"/>
    <col min="40" max="41" width="9.625" style="40" customWidth="1"/>
    <col min="42" max="42" width="10.375" style="13" hidden="1" customWidth="1" outlineLevel="1"/>
    <col min="43" max="55" width="0" style="13" hidden="1" customWidth="1" outlineLevel="1"/>
    <col min="56" max="56" width="9" style="13" collapsed="1"/>
    <col min="57" max="16384" width="9" style="13"/>
  </cols>
  <sheetData>
    <row r="1" spans="1:55" ht="21.95" customHeight="1">
      <c r="B1" s="411" t="s">
        <v>74</v>
      </c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411"/>
      <c r="O1" s="411"/>
      <c r="P1" s="411"/>
      <c r="Q1" s="411"/>
      <c r="R1" s="411"/>
      <c r="S1" s="411"/>
      <c r="T1" s="411"/>
      <c r="U1" s="411"/>
      <c r="V1" s="411"/>
      <c r="W1" s="411"/>
      <c r="X1" s="411"/>
      <c r="Y1" s="411"/>
      <c r="Z1" s="411"/>
      <c r="AA1" s="411"/>
      <c r="AB1" s="411"/>
      <c r="AC1" s="411"/>
      <c r="AD1" s="411"/>
      <c r="AE1" s="411"/>
      <c r="AF1" s="411"/>
      <c r="AG1" s="411"/>
      <c r="AH1" s="411"/>
      <c r="AI1" s="411"/>
      <c r="AJ1" s="411"/>
      <c r="AK1" s="411"/>
      <c r="AL1" s="411"/>
      <c r="AM1" s="411"/>
      <c r="AN1" s="411"/>
      <c r="AO1" s="411"/>
    </row>
    <row r="2" spans="1:55" ht="21.95" customHeight="1">
      <c r="B2" s="411" t="s">
        <v>1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1"/>
      <c r="Z2" s="411"/>
      <c r="AA2" s="411"/>
      <c r="AB2" s="411"/>
      <c r="AC2" s="411"/>
      <c r="AD2" s="411"/>
      <c r="AE2" s="411"/>
      <c r="AF2" s="411"/>
      <c r="AG2" s="411"/>
      <c r="AH2" s="411"/>
      <c r="AI2" s="411"/>
      <c r="AJ2" s="411"/>
      <c r="AK2" s="411"/>
      <c r="AL2" s="411"/>
      <c r="AM2" s="411"/>
      <c r="AN2" s="411"/>
      <c r="AO2" s="411"/>
    </row>
    <row r="3" spans="1:55" ht="21.95" customHeight="1">
      <c r="B3" s="428" t="str">
        <f>YEAR(O6)&amp;"年"&amp;MONTH(O6)&amp;"月保安出勤及休假記錄  (中更 15:30 - 23:30) "</f>
        <v xml:space="preserve">2026年3月保安出勤及休假記錄  (中更 15:30 - 23:30) </v>
      </c>
      <c r="C3" s="428"/>
      <c r="D3" s="428"/>
      <c r="E3" s="428"/>
      <c r="F3" s="428"/>
      <c r="G3" s="428"/>
      <c r="H3" s="428"/>
      <c r="I3" s="428"/>
      <c r="J3" s="428"/>
      <c r="K3" s="428"/>
      <c r="L3" s="428"/>
      <c r="M3" s="428"/>
      <c r="N3" s="428"/>
      <c r="O3" s="428"/>
      <c r="P3" s="428"/>
      <c r="Q3" s="428"/>
      <c r="R3" s="428"/>
      <c r="S3" s="428"/>
      <c r="T3" s="428"/>
      <c r="U3" s="428"/>
      <c r="V3" s="428"/>
      <c r="W3" s="428"/>
      <c r="X3" s="428"/>
      <c r="Y3" s="428"/>
      <c r="Z3" s="428"/>
      <c r="AA3" s="428"/>
      <c r="AB3" s="428"/>
      <c r="AC3" s="428"/>
      <c r="AD3" s="428"/>
      <c r="AE3" s="428"/>
      <c r="AF3" s="428"/>
      <c r="AG3" s="428"/>
      <c r="AH3" s="428"/>
      <c r="AI3" s="428"/>
      <c r="AJ3" s="428"/>
      <c r="AK3" s="428"/>
      <c r="AL3" s="428"/>
      <c r="AM3" s="428"/>
      <c r="AN3" s="428"/>
      <c r="AO3" s="428"/>
    </row>
    <row r="4" spans="1:55" ht="21.95" customHeight="1">
      <c r="C4" s="33" t="s">
        <v>2</v>
      </c>
      <c r="H4" s="88"/>
      <c r="I4" s="88"/>
      <c r="J4" s="88"/>
      <c r="K4" s="88"/>
      <c r="L4" s="88"/>
      <c r="M4" s="88"/>
      <c r="N4" s="412" t="s">
        <v>92</v>
      </c>
      <c r="O4" s="412"/>
      <c r="P4" s="412"/>
      <c r="Q4" s="412"/>
      <c r="R4" s="412"/>
      <c r="S4" s="412"/>
      <c r="T4" s="412"/>
      <c r="U4" s="412"/>
      <c r="V4" s="412"/>
      <c r="W4" s="412"/>
      <c r="X4" s="412"/>
      <c r="Y4" s="412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</row>
    <row r="5" spans="1:55" ht="21.95" customHeight="1" thickBot="1">
      <c r="B5" s="35" t="s">
        <v>75</v>
      </c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</row>
    <row r="6" spans="1:55" ht="21.95" customHeight="1">
      <c r="A6" s="207"/>
      <c r="B6" s="220"/>
      <c r="C6" s="221"/>
      <c r="D6" s="221"/>
      <c r="E6" s="222"/>
      <c r="F6" s="223"/>
      <c r="G6" s="224"/>
      <c r="H6" s="221"/>
      <c r="I6" s="98">
        <v>46082</v>
      </c>
      <c r="J6" s="98">
        <f>I6+1</f>
        <v>46083</v>
      </c>
      <c r="K6" s="98">
        <f t="shared" ref="K6:AF6" si="0">J6+1</f>
        <v>46084</v>
      </c>
      <c r="L6" s="98">
        <f t="shared" si="0"/>
        <v>46085</v>
      </c>
      <c r="M6" s="98">
        <f t="shared" si="0"/>
        <v>46086</v>
      </c>
      <c r="N6" s="98">
        <f t="shared" si="0"/>
        <v>46087</v>
      </c>
      <c r="O6" s="98">
        <f t="shared" si="0"/>
        <v>46088</v>
      </c>
      <c r="P6" s="98">
        <f t="shared" si="0"/>
        <v>46089</v>
      </c>
      <c r="Q6" s="98">
        <f t="shared" si="0"/>
        <v>46090</v>
      </c>
      <c r="R6" s="98">
        <f t="shared" si="0"/>
        <v>46091</v>
      </c>
      <c r="S6" s="98">
        <f>R6+1</f>
        <v>46092</v>
      </c>
      <c r="T6" s="98">
        <f t="shared" ref="T6:AC6" si="1">S6+1</f>
        <v>46093</v>
      </c>
      <c r="U6" s="98">
        <f t="shared" si="1"/>
        <v>46094</v>
      </c>
      <c r="V6" s="98">
        <f t="shared" si="1"/>
        <v>46095</v>
      </c>
      <c r="W6" s="98">
        <f t="shared" si="1"/>
        <v>46096</v>
      </c>
      <c r="X6" s="98">
        <f t="shared" si="1"/>
        <v>46097</v>
      </c>
      <c r="Y6" s="98">
        <f t="shared" si="1"/>
        <v>46098</v>
      </c>
      <c r="Z6" s="98">
        <f t="shared" si="1"/>
        <v>46099</v>
      </c>
      <c r="AA6" s="98">
        <f t="shared" si="1"/>
        <v>46100</v>
      </c>
      <c r="AB6" s="98">
        <f t="shared" si="1"/>
        <v>46101</v>
      </c>
      <c r="AC6" s="98">
        <f t="shared" si="1"/>
        <v>46102</v>
      </c>
      <c r="AD6" s="98">
        <f t="shared" si="0"/>
        <v>46103</v>
      </c>
      <c r="AE6" s="98">
        <f t="shared" si="0"/>
        <v>46104</v>
      </c>
      <c r="AF6" s="98">
        <f t="shared" si="0"/>
        <v>46105</v>
      </c>
      <c r="AG6" s="98">
        <f>AF6+1</f>
        <v>46106</v>
      </c>
      <c r="AH6" s="98">
        <f t="shared" ref="AH6:AM6" si="2">AG6+1</f>
        <v>46107</v>
      </c>
      <c r="AI6" s="98">
        <f t="shared" si="2"/>
        <v>46108</v>
      </c>
      <c r="AJ6" s="98">
        <f t="shared" si="2"/>
        <v>46109</v>
      </c>
      <c r="AK6" s="98">
        <f t="shared" si="2"/>
        <v>46110</v>
      </c>
      <c r="AL6" s="98">
        <f t="shared" si="2"/>
        <v>46111</v>
      </c>
      <c r="AM6" s="443">
        <f t="shared" si="2"/>
        <v>46112</v>
      </c>
      <c r="AN6" s="448" t="s">
        <v>138</v>
      </c>
      <c r="AO6" s="429" t="s">
        <v>139</v>
      </c>
      <c r="AP6" s="56" t="s">
        <v>85</v>
      </c>
      <c r="AQ6" s="57" t="s">
        <v>3</v>
      </c>
      <c r="AR6" s="57" t="s">
        <v>4</v>
      </c>
      <c r="AS6" s="57" t="s">
        <v>5</v>
      </c>
      <c r="AT6" s="79" t="s">
        <v>6</v>
      </c>
      <c r="AU6" s="43" t="s">
        <v>3</v>
      </c>
      <c r="AV6" s="18" t="s">
        <v>3</v>
      </c>
      <c r="AW6" s="29" t="s">
        <v>7</v>
      </c>
      <c r="AX6" s="16" t="s">
        <v>76</v>
      </c>
      <c r="AY6" s="17" t="s">
        <v>5</v>
      </c>
      <c r="AZ6" s="16" t="s">
        <v>8</v>
      </c>
      <c r="BA6" s="16" t="s">
        <v>9</v>
      </c>
      <c r="BB6" s="16" t="s">
        <v>10</v>
      </c>
      <c r="BC6" s="413" t="s">
        <v>11</v>
      </c>
    </row>
    <row r="7" spans="1:55" ht="21.95" customHeight="1" thickBot="1">
      <c r="A7" s="207"/>
      <c r="B7" s="228" t="s">
        <v>140</v>
      </c>
      <c r="C7" s="228" t="s">
        <v>141</v>
      </c>
      <c r="D7" s="228" t="s">
        <v>142</v>
      </c>
      <c r="E7" s="229" t="s">
        <v>12</v>
      </c>
      <c r="F7" s="230" t="s">
        <v>143</v>
      </c>
      <c r="G7" s="231" t="s">
        <v>78</v>
      </c>
      <c r="H7" s="102" t="s">
        <v>100</v>
      </c>
      <c r="I7" s="107" t="str">
        <f t="shared" ref="I7:AM7" si="3">SUBSTITUTE(TEXT(I6,"aaa"),"週","")</f>
        <v>日</v>
      </c>
      <c r="J7" s="107" t="str">
        <f t="shared" si="3"/>
        <v>一</v>
      </c>
      <c r="K7" s="107" t="str">
        <f t="shared" si="3"/>
        <v>二</v>
      </c>
      <c r="L7" s="107" t="str">
        <f t="shared" si="3"/>
        <v>三</v>
      </c>
      <c r="M7" s="107" t="str">
        <f t="shared" si="3"/>
        <v>四</v>
      </c>
      <c r="N7" s="107" t="str">
        <f t="shared" si="3"/>
        <v>五</v>
      </c>
      <c r="O7" s="107" t="str">
        <f t="shared" si="3"/>
        <v>六</v>
      </c>
      <c r="P7" s="107" t="str">
        <f t="shared" si="3"/>
        <v>日</v>
      </c>
      <c r="Q7" s="107" t="str">
        <f t="shared" si="3"/>
        <v>一</v>
      </c>
      <c r="R7" s="107" t="str">
        <f t="shared" si="3"/>
        <v>二</v>
      </c>
      <c r="S7" s="107" t="str">
        <f t="shared" si="3"/>
        <v>三</v>
      </c>
      <c r="T7" s="107" t="str">
        <f t="shared" si="3"/>
        <v>四</v>
      </c>
      <c r="U7" s="107" t="str">
        <f t="shared" si="3"/>
        <v>五</v>
      </c>
      <c r="V7" s="107" t="str">
        <f t="shared" si="3"/>
        <v>六</v>
      </c>
      <c r="W7" s="107" t="str">
        <f t="shared" si="3"/>
        <v>日</v>
      </c>
      <c r="X7" s="107" t="str">
        <f t="shared" si="3"/>
        <v>一</v>
      </c>
      <c r="Y7" s="107" t="str">
        <f t="shared" si="3"/>
        <v>二</v>
      </c>
      <c r="Z7" s="107" t="str">
        <f t="shared" si="3"/>
        <v>三</v>
      </c>
      <c r="AA7" s="107" t="str">
        <f t="shared" si="3"/>
        <v>四</v>
      </c>
      <c r="AB7" s="107" t="str">
        <f t="shared" si="3"/>
        <v>五</v>
      </c>
      <c r="AC7" s="107" t="str">
        <f t="shared" si="3"/>
        <v>六</v>
      </c>
      <c r="AD7" s="107" t="str">
        <f t="shared" si="3"/>
        <v>日</v>
      </c>
      <c r="AE7" s="107" t="str">
        <f t="shared" si="3"/>
        <v>一</v>
      </c>
      <c r="AF7" s="107" t="str">
        <f t="shared" si="3"/>
        <v>二</v>
      </c>
      <c r="AG7" s="107" t="str">
        <f t="shared" ref="AG7:AI7" si="4">SUBSTITUTE(TEXT(AG6,"aaa"),"週","")</f>
        <v>三</v>
      </c>
      <c r="AH7" s="107" t="str">
        <f t="shared" si="4"/>
        <v>四</v>
      </c>
      <c r="AI7" s="107" t="str">
        <f t="shared" si="4"/>
        <v>五</v>
      </c>
      <c r="AJ7" s="107" t="str">
        <f t="shared" si="3"/>
        <v>六</v>
      </c>
      <c r="AK7" s="107" t="str">
        <f t="shared" si="3"/>
        <v>日</v>
      </c>
      <c r="AL7" s="107" t="str">
        <f t="shared" si="3"/>
        <v>一</v>
      </c>
      <c r="AM7" s="444" t="str">
        <f t="shared" si="3"/>
        <v>二</v>
      </c>
      <c r="AN7" s="449"/>
      <c r="AO7" s="430"/>
      <c r="AP7" s="58" t="s">
        <v>86</v>
      </c>
      <c r="AQ7" s="59" t="s">
        <v>87</v>
      </c>
      <c r="AR7" s="59" t="s">
        <v>88</v>
      </c>
      <c r="AS7" s="59" t="s">
        <v>89</v>
      </c>
      <c r="AT7" s="80" t="s">
        <v>90</v>
      </c>
      <c r="AU7" s="47" t="s">
        <v>18</v>
      </c>
      <c r="AV7" s="70" t="s">
        <v>19</v>
      </c>
      <c r="AW7" s="20"/>
      <c r="AX7" s="19" t="s">
        <v>19</v>
      </c>
      <c r="AY7" s="19" t="s">
        <v>19</v>
      </c>
      <c r="AZ7" s="21" t="s">
        <v>19</v>
      </c>
      <c r="BA7" s="21" t="s">
        <v>19</v>
      </c>
      <c r="BB7" s="21" t="s">
        <v>19</v>
      </c>
      <c r="BC7" s="414"/>
    </row>
    <row r="8" spans="1:55" s="22" customFormat="1" ht="21.95" customHeight="1">
      <c r="A8" s="232"/>
      <c r="B8" s="233" t="s">
        <v>43</v>
      </c>
      <c r="C8" s="233">
        <v>4953</v>
      </c>
      <c r="D8" s="233" t="s">
        <v>144</v>
      </c>
      <c r="E8" s="234" t="s">
        <v>21</v>
      </c>
      <c r="F8" s="96" t="s">
        <v>22</v>
      </c>
      <c r="G8" s="97">
        <v>8</v>
      </c>
      <c r="H8" s="93" t="s">
        <v>145</v>
      </c>
      <c r="I8" s="235">
        <v>8</v>
      </c>
      <c r="J8" s="114">
        <v>8</v>
      </c>
      <c r="K8" s="114">
        <v>8</v>
      </c>
      <c r="L8" s="114">
        <v>8</v>
      </c>
      <c r="M8" s="114">
        <v>8</v>
      </c>
      <c r="N8" s="114">
        <v>8</v>
      </c>
      <c r="O8" s="114">
        <v>8</v>
      </c>
      <c r="P8" s="114">
        <v>8</v>
      </c>
      <c r="Q8" s="114">
        <v>8</v>
      </c>
      <c r="R8" s="114">
        <v>8</v>
      </c>
      <c r="S8" s="114">
        <v>8</v>
      </c>
      <c r="T8" s="114">
        <v>8</v>
      </c>
      <c r="U8" s="114">
        <v>8</v>
      </c>
      <c r="V8" s="114">
        <v>8</v>
      </c>
      <c r="W8" s="114">
        <v>8</v>
      </c>
      <c r="X8" s="114">
        <v>8</v>
      </c>
      <c r="Y8" s="114" t="s">
        <v>76</v>
      </c>
      <c r="Z8" s="114" t="s">
        <v>76</v>
      </c>
      <c r="AA8" s="114" t="s">
        <v>76</v>
      </c>
      <c r="AB8" s="114">
        <v>8</v>
      </c>
      <c r="AC8" s="114">
        <v>8</v>
      </c>
      <c r="AD8" s="114">
        <v>8</v>
      </c>
      <c r="AE8" s="114">
        <v>8</v>
      </c>
      <c r="AF8" s="114">
        <v>8</v>
      </c>
      <c r="AG8" s="114">
        <v>8</v>
      </c>
      <c r="AH8" s="114">
        <v>8</v>
      </c>
      <c r="AI8" s="114">
        <v>8</v>
      </c>
      <c r="AJ8" s="114">
        <v>8</v>
      </c>
      <c r="AK8" s="114">
        <v>8</v>
      </c>
      <c r="AL8" s="114">
        <v>8</v>
      </c>
      <c r="AM8" s="445">
        <v>8</v>
      </c>
      <c r="AN8" s="233">
        <f>COUNT(I8:AM8)</f>
        <v>28</v>
      </c>
      <c r="AO8" s="233">
        <f>SUM(I8:AM8)</f>
        <v>224</v>
      </c>
      <c r="AP8" s="60">
        <f>COUNTIFS($I8:$AM8,"SH")+COUNTIFS($I8:$AM8,"NSH")</f>
        <v>3</v>
      </c>
      <c r="AQ8" s="61">
        <f>COUNTIFS($I8:$AM8,$AQ$6)</f>
        <v>0</v>
      </c>
      <c r="AR8" s="61">
        <f>COUNTIFS($I8:$AM8,$AR$6)</f>
        <v>0</v>
      </c>
      <c r="AS8" s="61">
        <f>COUNTIFS($I8:$AM8,$AS$6)</f>
        <v>0</v>
      </c>
      <c r="AT8" s="77">
        <f>COUNTIFS($I8:$AM8,$AT$6)</f>
        <v>0</v>
      </c>
      <c r="AU8" s="46" t="e">
        <f>#REF!</f>
        <v>#REF!</v>
      </c>
      <c r="AV8" s="71">
        <f>COUNTIF(I8:AM8,"RD")</f>
        <v>0</v>
      </c>
      <c r="AW8" s="10" t="e">
        <f t="shared" ref="AW8" si="5">AU8-AV8</f>
        <v>#REF!</v>
      </c>
      <c r="AX8" s="10">
        <f>COUNTIF(I8:AM8,"SH")</f>
        <v>0</v>
      </c>
      <c r="AY8" s="10">
        <f>COUNTIF(I8:AM8,"SL")</f>
        <v>0</v>
      </c>
      <c r="AZ8" s="10">
        <f>COUNTIF(I8:AM8,"np")</f>
        <v>0</v>
      </c>
      <c r="BA8" s="10">
        <f>COUNTIF(I8:AM8,"AL*")</f>
        <v>0</v>
      </c>
      <c r="BB8" s="10">
        <f>COUNTIF(I8:AM8,"NC*")</f>
        <v>0</v>
      </c>
      <c r="BC8" s="62"/>
    </row>
    <row r="9" spans="1:55" ht="21.95" customHeight="1">
      <c r="A9" s="207"/>
      <c r="B9" s="237" t="s">
        <v>44</v>
      </c>
      <c r="C9" s="237">
        <v>4960</v>
      </c>
      <c r="D9" s="237" t="s">
        <v>146</v>
      </c>
      <c r="E9" s="238" t="s">
        <v>21</v>
      </c>
      <c r="F9" s="179" t="s">
        <v>22</v>
      </c>
      <c r="G9" s="180">
        <v>8</v>
      </c>
      <c r="H9" s="173" t="s">
        <v>145</v>
      </c>
      <c r="I9" s="239">
        <v>8</v>
      </c>
      <c r="J9" s="121">
        <v>8</v>
      </c>
      <c r="K9" s="121">
        <v>8</v>
      </c>
      <c r="L9" s="121">
        <v>8</v>
      </c>
      <c r="M9" s="121" t="s">
        <v>76</v>
      </c>
      <c r="N9" s="121">
        <v>8</v>
      </c>
      <c r="O9" s="121">
        <v>8</v>
      </c>
      <c r="P9" s="121">
        <v>8</v>
      </c>
      <c r="Q9" s="121">
        <v>8</v>
      </c>
      <c r="R9" s="121">
        <v>8</v>
      </c>
      <c r="S9" s="121">
        <v>8</v>
      </c>
      <c r="T9" s="121">
        <v>8</v>
      </c>
      <c r="U9" s="121">
        <v>8</v>
      </c>
      <c r="V9" s="121">
        <v>8</v>
      </c>
      <c r="W9" s="121">
        <v>8</v>
      </c>
      <c r="X9" s="121">
        <v>8</v>
      </c>
      <c r="Y9" s="121">
        <v>8</v>
      </c>
      <c r="Z9" s="121">
        <v>8</v>
      </c>
      <c r="AA9" s="121">
        <v>8</v>
      </c>
      <c r="AB9" s="121">
        <v>8</v>
      </c>
      <c r="AC9" s="121" t="s">
        <v>76</v>
      </c>
      <c r="AD9" s="121">
        <v>8</v>
      </c>
      <c r="AE9" s="121">
        <v>8</v>
      </c>
      <c r="AF9" s="121">
        <v>8</v>
      </c>
      <c r="AG9" s="121">
        <v>8</v>
      </c>
      <c r="AH9" s="121" t="s">
        <v>76</v>
      </c>
      <c r="AI9" s="121">
        <v>8</v>
      </c>
      <c r="AJ9" s="121">
        <v>8</v>
      </c>
      <c r="AK9" s="121" t="s">
        <v>76</v>
      </c>
      <c r="AL9" s="121">
        <v>8</v>
      </c>
      <c r="AM9" s="446">
        <v>8</v>
      </c>
      <c r="AN9" s="237">
        <f>COUNT(I9:AM9)</f>
        <v>27</v>
      </c>
      <c r="AO9" s="237">
        <f>SUM(I9:AM9)</f>
        <v>216</v>
      </c>
      <c r="AP9" s="24">
        <f t="shared" ref="AP9:AP10" si="6">COUNTIFS($I9:$AM9,"SH")+COUNTIFS($I9:$AM9,"NSH")</f>
        <v>4</v>
      </c>
      <c r="AQ9" s="7">
        <f t="shared" ref="AQ9:AQ10" si="7">COUNTIFS($I9:$AM9,$AQ$6)</f>
        <v>0</v>
      </c>
      <c r="AR9" s="7">
        <f t="shared" ref="AR9:AR10" si="8">COUNTIFS($I9:$AM9,$AR$6)</f>
        <v>0</v>
      </c>
      <c r="AS9" s="7">
        <f t="shared" ref="AS9:AS10" si="9">COUNTIFS($I9:$AM9,$AS$6)</f>
        <v>0</v>
      </c>
      <c r="AT9" s="9">
        <f t="shared" ref="AT9:AT10" si="10">COUNTIFS($I9:$AM9,$AT$6)</f>
        <v>0</v>
      </c>
      <c r="AU9" s="44" t="e">
        <f>#REF!</f>
        <v>#REF!</v>
      </c>
      <c r="AV9" s="71">
        <f t="shared" ref="AV9:AV10" si="11">COUNTIF(I9:AM9,"RD")</f>
        <v>0</v>
      </c>
      <c r="AW9" s="10" t="e">
        <f t="shared" ref="AW9:AW10" si="12">AU9-AV9</f>
        <v>#REF!</v>
      </c>
      <c r="AX9" s="10">
        <f t="shared" ref="AX9:AX10" si="13">COUNTIF(I9:AM9,"SH")</f>
        <v>0</v>
      </c>
      <c r="AY9" s="10">
        <f t="shared" ref="AY9:AY10" si="14">COUNTIF(I9:AM9,"SL")</f>
        <v>0</v>
      </c>
      <c r="AZ9" s="10">
        <f t="shared" ref="AZ9:AZ10" si="15">COUNTIF(I9:AM9,"np")</f>
        <v>0</v>
      </c>
      <c r="BA9" s="10">
        <f t="shared" ref="BA9:BA10" si="16">COUNTIF(I9:AM9,"AL*")</f>
        <v>0</v>
      </c>
      <c r="BB9" s="10">
        <f t="shared" ref="BB9:BB10" si="17">COUNTIF(I9:AM9,"NC*")</f>
        <v>0</v>
      </c>
      <c r="BC9" s="62"/>
    </row>
    <row r="10" spans="1:55" s="22" customFormat="1" ht="21.95" customHeight="1" thickBot="1">
      <c r="A10" s="232"/>
      <c r="B10" s="228" t="s">
        <v>53</v>
      </c>
      <c r="C10" s="228">
        <v>4963</v>
      </c>
      <c r="D10" s="242" t="s">
        <v>147</v>
      </c>
      <c r="E10" s="243" t="s">
        <v>25</v>
      </c>
      <c r="F10" s="244" t="s">
        <v>45</v>
      </c>
      <c r="G10" s="245">
        <v>8</v>
      </c>
      <c r="H10" s="228" t="s">
        <v>148</v>
      </c>
      <c r="I10" s="246" t="s">
        <v>73</v>
      </c>
      <c r="J10" s="129" t="s">
        <v>73</v>
      </c>
      <c r="K10" s="129" t="s">
        <v>73</v>
      </c>
      <c r="L10" s="129" t="s">
        <v>73</v>
      </c>
      <c r="M10" s="129">
        <v>8</v>
      </c>
      <c r="N10" s="247" t="s">
        <v>41</v>
      </c>
      <c r="O10" s="248" t="s">
        <v>76</v>
      </c>
      <c r="P10" s="247" t="s">
        <v>76</v>
      </c>
      <c r="Q10" s="129" t="s">
        <v>73</v>
      </c>
      <c r="R10" s="129" t="s">
        <v>73</v>
      </c>
      <c r="S10" s="129" t="s">
        <v>73</v>
      </c>
      <c r="T10" s="129" t="s">
        <v>73</v>
      </c>
      <c r="U10" s="129" t="s">
        <v>73</v>
      </c>
      <c r="V10" s="129" t="s">
        <v>73</v>
      </c>
      <c r="W10" s="129" t="s">
        <v>73</v>
      </c>
      <c r="X10" s="129" t="s">
        <v>73</v>
      </c>
      <c r="Y10" s="129">
        <v>8</v>
      </c>
      <c r="Z10" s="129">
        <v>8</v>
      </c>
      <c r="AA10" s="248">
        <v>8</v>
      </c>
      <c r="AB10" s="248" t="s">
        <v>76</v>
      </c>
      <c r="AC10" s="248">
        <v>8</v>
      </c>
      <c r="AD10" s="129" t="s">
        <v>73</v>
      </c>
      <c r="AE10" s="129" t="s">
        <v>73</v>
      </c>
      <c r="AF10" s="129" t="s">
        <v>73</v>
      </c>
      <c r="AG10" s="129" t="s">
        <v>73</v>
      </c>
      <c r="AH10" s="129">
        <v>8</v>
      </c>
      <c r="AI10" s="129" t="s">
        <v>73</v>
      </c>
      <c r="AJ10" s="129" t="s">
        <v>73</v>
      </c>
      <c r="AK10" s="129">
        <v>8</v>
      </c>
      <c r="AL10" s="129" t="s">
        <v>73</v>
      </c>
      <c r="AM10" s="447" t="s">
        <v>73</v>
      </c>
      <c r="AN10" s="237">
        <f>COUNT(I10:AM10)</f>
        <v>7</v>
      </c>
      <c r="AO10" s="228">
        <f>SUM(I10:AM10)</f>
        <v>56</v>
      </c>
      <c r="AP10" s="11">
        <f t="shared" si="6"/>
        <v>3</v>
      </c>
      <c r="AQ10" s="4">
        <f t="shared" si="7"/>
        <v>1</v>
      </c>
      <c r="AR10" s="4">
        <f t="shared" si="8"/>
        <v>0</v>
      </c>
      <c r="AS10" s="4">
        <f t="shared" si="9"/>
        <v>0</v>
      </c>
      <c r="AT10" s="81">
        <f t="shared" si="10"/>
        <v>0</v>
      </c>
      <c r="AU10" s="45" t="e">
        <f>#REF!</f>
        <v>#REF!</v>
      </c>
      <c r="AV10" s="72">
        <f t="shared" si="11"/>
        <v>1</v>
      </c>
      <c r="AW10" s="68" t="e">
        <f t="shared" si="12"/>
        <v>#REF!</v>
      </c>
      <c r="AX10" s="68">
        <f t="shared" si="13"/>
        <v>0</v>
      </c>
      <c r="AY10" s="68">
        <f t="shared" si="14"/>
        <v>0</v>
      </c>
      <c r="AZ10" s="68">
        <f t="shared" si="15"/>
        <v>0</v>
      </c>
      <c r="BA10" s="68">
        <f t="shared" si="16"/>
        <v>0</v>
      </c>
      <c r="BB10" s="68">
        <f t="shared" si="17"/>
        <v>0</v>
      </c>
      <c r="BC10" s="69"/>
    </row>
    <row r="11" spans="1:55" ht="21.95" customHeight="1" thickBot="1">
      <c r="A11" s="207"/>
      <c r="B11" s="208"/>
      <c r="C11" s="208"/>
      <c r="D11" s="208"/>
      <c r="E11" s="208"/>
      <c r="F11" s="208"/>
      <c r="G11" s="208"/>
      <c r="H11" s="208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249">
        <f>SUM(AN8:AN10)</f>
        <v>62</v>
      </c>
      <c r="AO11" s="250">
        <f>SUM(AO8:AO10)</f>
        <v>496</v>
      </c>
    </row>
    <row r="12" spans="1:55" ht="21.95" customHeight="1" thickBot="1">
      <c r="A12" s="207"/>
      <c r="B12" s="208"/>
      <c r="C12" s="208"/>
      <c r="D12" s="208"/>
      <c r="E12" s="208"/>
      <c r="F12" s="208"/>
      <c r="G12" s="208"/>
      <c r="H12" s="208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208"/>
      <c r="AO12" s="208"/>
    </row>
    <row r="13" spans="1:55" ht="21.95" customHeight="1" thickBot="1">
      <c r="A13" s="207"/>
      <c r="B13" s="207"/>
      <c r="C13" s="208"/>
      <c r="D13" s="208"/>
      <c r="E13" s="208"/>
      <c r="F13" s="208"/>
      <c r="G13" s="208"/>
      <c r="H13" s="208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50" t="s">
        <v>125</v>
      </c>
      <c r="AO13" s="250" t="s">
        <v>126</v>
      </c>
    </row>
    <row r="14" spans="1:55" ht="21.95" customHeight="1">
      <c r="A14" s="207"/>
      <c r="B14" s="138" t="s">
        <v>107</v>
      </c>
      <c r="C14" s="138"/>
      <c r="D14" s="138"/>
      <c r="E14" s="139"/>
      <c r="F14" s="139"/>
      <c r="G14" s="139"/>
      <c r="H14" s="141" t="s">
        <v>21</v>
      </c>
      <c r="I14" s="251">
        <f t="shared" ref="I14:AM14" si="18">COUNT(I8:I10)</f>
        <v>2</v>
      </c>
      <c r="J14" s="143">
        <f t="shared" si="18"/>
        <v>2</v>
      </c>
      <c r="K14" s="183">
        <f t="shared" si="18"/>
        <v>2</v>
      </c>
      <c r="L14" s="143">
        <f t="shared" si="18"/>
        <v>2</v>
      </c>
      <c r="M14" s="143">
        <f t="shared" si="18"/>
        <v>2</v>
      </c>
      <c r="N14" s="143">
        <f t="shared" si="18"/>
        <v>2</v>
      </c>
      <c r="O14" s="143">
        <f t="shared" si="18"/>
        <v>2</v>
      </c>
      <c r="P14" s="143">
        <f t="shared" si="18"/>
        <v>2</v>
      </c>
      <c r="Q14" s="143">
        <f t="shared" si="18"/>
        <v>2</v>
      </c>
      <c r="R14" s="143">
        <f t="shared" si="18"/>
        <v>2</v>
      </c>
      <c r="S14" s="143">
        <f t="shared" si="18"/>
        <v>2</v>
      </c>
      <c r="T14" s="143">
        <f t="shared" si="18"/>
        <v>2</v>
      </c>
      <c r="U14" s="143">
        <f t="shared" si="18"/>
        <v>2</v>
      </c>
      <c r="V14" s="143">
        <f t="shared" si="18"/>
        <v>2</v>
      </c>
      <c r="W14" s="143">
        <f t="shared" si="18"/>
        <v>2</v>
      </c>
      <c r="X14" s="143">
        <f t="shared" si="18"/>
        <v>2</v>
      </c>
      <c r="Y14" s="143">
        <f t="shared" si="18"/>
        <v>2</v>
      </c>
      <c r="Z14" s="143">
        <f t="shared" si="18"/>
        <v>2</v>
      </c>
      <c r="AA14" s="143">
        <f t="shared" si="18"/>
        <v>2</v>
      </c>
      <c r="AB14" s="143">
        <f t="shared" si="18"/>
        <v>2</v>
      </c>
      <c r="AC14" s="143">
        <f t="shared" si="18"/>
        <v>2</v>
      </c>
      <c r="AD14" s="143">
        <f t="shared" si="18"/>
        <v>2</v>
      </c>
      <c r="AE14" s="143">
        <f t="shared" si="18"/>
        <v>2</v>
      </c>
      <c r="AF14" s="143">
        <f t="shared" si="18"/>
        <v>2</v>
      </c>
      <c r="AG14" s="143">
        <f t="shared" ref="AG14:AI14" si="19">COUNT(AG8:AG10)</f>
        <v>2</v>
      </c>
      <c r="AH14" s="143">
        <f t="shared" si="19"/>
        <v>2</v>
      </c>
      <c r="AI14" s="143">
        <f t="shared" si="19"/>
        <v>2</v>
      </c>
      <c r="AJ14" s="143">
        <f t="shared" si="18"/>
        <v>2</v>
      </c>
      <c r="AK14" s="143">
        <f t="shared" si="18"/>
        <v>2</v>
      </c>
      <c r="AL14" s="143">
        <f t="shared" si="18"/>
        <v>2</v>
      </c>
      <c r="AM14" s="143">
        <f t="shared" si="18"/>
        <v>2</v>
      </c>
      <c r="AN14" s="141">
        <f>SUM(I14:AM14)</f>
        <v>62</v>
      </c>
      <c r="AO14" s="141">
        <f>AN14*8</f>
        <v>496</v>
      </c>
    </row>
    <row r="15" spans="1:55" ht="21.95" customHeight="1">
      <c r="A15" s="207"/>
      <c r="B15" s="146" t="s">
        <v>108</v>
      </c>
      <c r="C15" s="146"/>
      <c r="D15" s="146"/>
      <c r="E15" s="147"/>
      <c r="F15" s="147"/>
      <c r="G15" s="147"/>
      <c r="H15" s="149"/>
      <c r="I15" s="252">
        <v>2</v>
      </c>
      <c r="J15" s="151">
        <v>2</v>
      </c>
      <c r="K15" s="186">
        <v>2</v>
      </c>
      <c r="L15" s="151">
        <v>2</v>
      </c>
      <c r="M15" s="151">
        <v>2</v>
      </c>
      <c r="N15" s="151">
        <v>2</v>
      </c>
      <c r="O15" s="151">
        <v>2</v>
      </c>
      <c r="P15" s="151">
        <v>2</v>
      </c>
      <c r="Q15" s="151">
        <v>2</v>
      </c>
      <c r="R15" s="151">
        <v>2</v>
      </c>
      <c r="S15" s="151">
        <v>2</v>
      </c>
      <c r="T15" s="151">
        <v>2</v>
      </c>
      <c r="U15" s="151">
        <v>2</v>
      </c>
      <c r="V15" s="151">
        <v>2</v>
      </c>
      <c r="W15" s="151">
        <v>2</v>
      </c>
      <c r="X15" s="151">
        <v>2</v>
      </c>
      <c r="Y15" s="151">
        <v>2</v>
      </c>
      <c r="Z15" s="151">
        <v>2</v>
      </c>
      <c r="AA15" s="151">
        <v>2</v>
      </c>
      <c r="AB15" s="151">
        <v>2</v>
      </c>
      <c r="AC15" s="151">
        <v>2</v>
      </c>
      <c r="AD15" s="151">
        <v>2</v>
      </c>
      <c r="AE15" s="151">
        <v>2</v>
      </c>
      <c r="AF15" s="151">
        <v>2</v>
      </c>
      <c r="AG15" s="151">
        <v>2</v>
      </c>
      <c r="AH15" s="151">
        <v>2</v>
      </c>
      <c r="AI15" s="151">
        <v>2</v>
      </c>
      <c r="AJ15" s="151">
        <v>2</v>
      </c>
      <c r="AK15" s="151">
        <v>2</v>
      </c>
      <c r="AL15" s="151">
        <v>2</v>
      </c>
      <c r="AM15" s="151">
        <v>2</v>
      </c>
      <c r="AN15" s="149">
        <f>SUM(I15:AM15)</f>
        <v>62</v>
      </c>
      <c r="AO15" s="149">
        <f t="shared" ref="AO15:AO16" si="20">AN15*8</f>
        <v>496</v>
      </c>
    </row>
    <row r="16" spans="1:55" ht="21.95" customHeight="1" thickBot="1">
      <c r="A16" s="207"/>
      <c r="B16" s="154" t="s">
        <v>109</v>
      </c>
      <c r="C16" s="154"/>
      <c r="D16" s="154"/>
      <c r="E16" s="155"/>
      <c r="F16" s="155"/>
      <c r="G16" s="155"/>
      <c r="H16" s="157"/>
      <c r="I16" s="253">
        <f t="shared" ref="I16:AM16" si="21">IF((I14-I15)&lt;0,I14-I15,0)</f>
        <v>0</v>
      </c>
      <c r="J16" s="159">
        <f t="shared" si="21"/>
        <v>0</v>
      </c>
      <c r="K16" s="187">
        <f t="shared" si="21"/>
        <v>0</v>
      </c>
      <c r="L16" s="159">
        <f t="shared" si="21"/>
        <v>0</v>
      </c>
      <c r="M16" s="159">
        <f t="shared" si="21"/>
        <v>0</v>
      </c>
      <c r="N16" s="159">
        <f t="shared" si="21"/>
        <v>0</v>
      </c>
      <c r="O16" s="159">
        <f t="shared" si="21"/>
        <v>0</v>
      </c>
      <c r="P16" s="159">
        <f t="shared" si="21"/>
        <v>0</v>
      </c>
      <c r="Q16" s="159">
        <f t="shared" si="21"/>
        <v>0</v>
      </c>
      <c r="R16" s="159">
        <f>IF((RG14-RG15)&lt;0,RG14-RG15,0)</f>
        <v>0</v>
      </c>
      <c r="S16" s="159">
        <f t="shared" si="21"/>
        <v>0</v>
      </c>
      <c r="T16" s="159">
        <f t="shared" si="21"/>
        <v>0</v>
      </c>
      <c r="U16" s="159">
        <f t="shared" si="21"/>
        <v>0</v>
      </c>
      <c r="V16" s="159">
        <f t="shared" si="21"/>
        <v>0</v>
      </c>
      <c r="W16" s="159">
        <f t="shared" si="21"/>
        <v>0</v>
      </c>
      <c r="X16" s="159">
        <f t="shared" si="21"/>
        <v>0</v>
      </c>
      <c r="Y16" s="159">
        <f t="shared" si="21"/>
        <v>0</v>
      </c>
      <c r="Z16" s="159">
        <f t="shared" si="21"/>
        <v>0</v>
      </c>
      <c r="AA16" s="159">
        <f t="shared" si="21"/>
        <v>0</v>
      </c>
      <c r="AB16" s="159">
        <f t="shared" si="21"/>
        <v>0</v>
      </c>
      <c r="AC16" s="159">
        <f t="shared" si="21"/>
        <v>0</v>
      </c>
      <c r="AD16" s="159">
        <f t="shared" si="21"/>
        <v>0</v>
      </c>
      <c r="AE16" s="159">
        <f t="shared" si="21"/>
        <v>0</v>
      </c>
      <c r="AF16" s="159">
        <f t="shared" si="21"/>
        <v>0</v>
      </c>
      <c r="AG16" s="159">
        <f t="shared" ref="AG16:AI16" si="22">IF((AG14-AG15)&lt;0,AG14-AG15,0)</f>
        <v>0</v>
      </c>
      <c r="AH16" s="159">
        <f t="shared" si="22"/>
        <v>0</v>
      </c>
      <c r="AI16" s="159">
        <f t="shared" si="22"/>
        <v>0</v>
      </c>
      <c r="AJ16" s="159">
        <f t="shared" si="21"/>
        <v>0</v>
      </c>
      <c r="AK16" s="159">
        <f t="shared" si="21"/>
        <v>0</v>
      </c>
      <c r="AL16" s="159">
        <f t="shared" si="21"/>
        <v>0</v>
      </c>
      <c r="AM16" s="159">
        <f t="shared" si="21"/>
        <v>0</v>
      </c>
      <c r="AN16" s="254">
        <f>SUM(I16:AM16)</f>
        <v>0</v>
      </c>
      <c r="AO16" s="205">
        <f t="shared" si="20"/>
        <v>0</v>
      </c>
    </row>
    <row r="17" spans="1:55" ht="21.95" customHeight="1">
      <c r="A17" s="207"/>
      <c r="B17" s="162"/>
      <c r="C17" s="162"/>
      <c r="D17" s="162"/>
      <c r="E17" s="162"/>
      <c r="F17" s="162"/>
      <c r="G17" s="162"/>
      <c r="H17" s="162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</row>
    <row r="18" spans="1:55" ht="21.95" customHeight="1" thickBot="1">
      <c r="A18" s="207"/>
      <c r="B18" s="89" t="s">
        <v>110</v>
      </c>
      <c r="C18" s="162"/>
      <c r="D18" s="162"/>
      <c r="E18" s="162"/>
      <c r="F18" s="162"/>
      <c r="G18" s="162"/>
      <c r="H18" s="162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</row>
    <row r="19" spans="1:55" ht="21.95" customHeight="1">
      <c r="A19" s="207"/>
      <c r="B19" s="255" t="s">
        <v>46</v>
      </c>
      <c r="C19" s="221">
        <v>4956</v>
      </c>
      <c r="D19" s="221" t="s">
        <v>149</v>
      </c>
      <c r="E19" s="222" t="s">
        <v>25</v>
      </c>
      <c r="F19" s="223" t="s">
        <v>45</v>
      </c>
      <c r="G19" s="224">
        <v>8</v>
      </c>
      <c r="H19" s="221" t="s">
        <v>148</v>
      </c>
      <c r="I19" s="257" t="s">
        <v>76</v>
      </c>
      <c r="J19" s="258">
        <v>8</v>
      </c>
      <c r="K19" s="259">
        <v>8</v>
      </c>
      <c r="L19" s="259">
        <v>8</v>
      </c>
      <c r="M19" s="223">
        <v>8</v>
      </c>
      <c r="N19" s="259">
        <v>8</v>
      </c>
      <c r="O19" s="259">
        <v>8</v>
      </c>
      <c r="P19" s="259">
        <v>8</v>
      </c>
      <c r="Q19" s="259">
        <v>8</v>
      </c>
      <c r="R19" s="259">
        <v>8</v>
      </c>
      <c r="S19" s="259">
        <v>8</v>
      </c>
      <c r="T19" s="259">
        <v>8</v>
      </c>
      <c r="U19" s="259">
        <v>8</v>
      </c>
      <c r="V19" s="259" t="s">
        <v>76</v>
      </c>
      <c r="W19" s="259" t="s">
        <v>76</v>
      </c>
      <c r="X19" s="259">
        <v>8</v>
      </c>
      <c r="Y19" s="258">
        <v>8</v>
      </c>
      <c r="Z19" s="259">
        <v>8</v>
      </c>
      <c r="AA19" s="259">
        <v>8</v>
      </c>
      <c r="AB19" s="259">
        <v>8</v>
      </c>
      <c r="AC19" s="259">
        <v>8</v>
      </c>
      <c r="AD19" s="259">
        <v>8</v>
      </c>
      <c r="AE19" s="259">
        <v>8</v>
      </c>
      <c r="AF19" s="259">
        <v>8</v>
      </c>
      <c r="AG19" s="258">
        <v>8</v>
      </c>
      <c r="AH19" s="259">
        <v>8</v>
      </c>
      <c r="AI19" s="259">
        <v>8</v>
      </c>
      <c r="AJ19" s="258">
        <v>8</v>
      </c>
      <c r="AK19" s="259">
        <v>8</v>
      </c>
      <c r="AL19" s="259">
        <v>8</v>
      </c>
      <c r="AM19" s="260">
        <v>8</v>
      </c>
      <c r="AN19" s="255">
        <f t="shared" ref="AN19:AN31" si="23">COUNT(I19:AM19)</f>
        <v>28</v>
      </c>
      <c r="AO19" s="221">
        <f t="shared" ref="AO19:AO27" si="24">SUM(I19:AM19)</f>
        <v>224</v>
      </c>
      <c r="AP19" s="15">
        <f t="shared" ref="AP19:AP31" si="25">COUNTIFS($I19:$AM19,"SH")+COUNTIFS($I19:$AM19,"NSH")</f>
        <v>3</v>
      </c>
      <c r="AQ19" s="3">
        <f t="shared" ref="AQ19:AQ29" si="26">COUNTIFS($I19:$AM19,$AQ$6)</f>
        <v>0</v>
      </c>
      <c r="AR19" s="3">
        <f t="shared" ref="AR19:AR29" si="27">COUNTIFS($I19:$AM19,$AR$6)</f>
        <v>0</v>
      </c>
      <c r="AS19" s="3">
        <f t="shared" ref="AS19:AS29" si="28">COUNTIFS($I19:$AM19,$AS$6)</f>
        <v>0</v>
      </c>
      <c r="AT19" s="76">
        <f t="shared" ref="AT19:AT29" si="29">COUNTIFS($I19:$AM19,$AT$6)</f>
        <v>0</v>
      </c>
      <c r="AU19" s="74" t="e">
        <f>#REF!</f>
        <v>#REF!</v>
      </c>
      <c r="AV19" s="6">
        <f t="shared" ref="AV19:AV29" si="30">COUNTIF(I19:AM19,"RD")</f>
        <v>0</v>
      </c>
      <c r="AW19" s="6" t="e">
        <f t="shared" ref="AW19:AW31" si="31">AU19-AV19</f>
        <v>#REF!</v>
      </c>
      <c r="AX19" s="6">
        <f t="shared" ref="AX19:AX29" si="32">COUNTIF(I19:AM19,"SH")</f>
        <v>0</v>
      </c>
      <c r="AY19" s="6">
        <f t="shared" ref="AY19:AY29" si="33">COUNTIF(I19:AM19,"SL")</f>
        <v>0</v>
      </c>
      <c r="AZ19" s="6">
        <f t="shared" ref="AZ19:AZ29" si="34">COUNTIF(I19:AM19,"np")</f>
        <v>0</v>
      </c>
      <c r="BA19" s="6">
        <f t="shared" ref="BA19:BA29" si="35">COUNTIF(I19:AM19,"AL*")</f>
        <v>0</v>
      </c>
      <c r="BB19" s="6">
        <f t="shared" ref="BB19:BB29" si="36">COUNTIF(I19:AM19,"NC*")</f>
        <v>0</v>
      </c>
      <c r="BC19" s="65"/>
    </row>
    <row r="20" spans="1:55" ht="21.95" customHeight="1">
      <c r="A20" s="207"/>
      <c r="B20" s="241" t="s">
        <v>47</v>
      </c>
      <c r="C20" s="237">
        <v>4962</v>
      </c>
      <c r="D20" s="237" t="s">
        <v>150</v>
      </c>
      <c r="E20" s="261" t="s">
        <v>25</v>
      </c>
      <c r="F20" s="119" t="s">
        <v>45</v>
      </c>
      <c r="G20" s="262">
        <v>8</v>
      </c>
      <c r="H20" s="237" t="s">
        <v>148</v>
      </c>
      <c r="I20" s="263">
        <v>8</v>
      </c>
      <c r="J20" s="264">
        <v>8</v>
      </c>
      <c r="K20" s="264">
        <v>8</v>
      </c>
      <c r="L20" s="264">
        <v>8</v>
      </c>
      <c r="M20" s="264">
        <v>8</v>
      </c>
      <c r="N20" s="264">
        <v>8</v>
      </c>
      <c r="O20" s="264">
        <v>8</v>
      </c>
      <c r="P20" s="265">
        <v>8</v>
      </c>
      <c r="Q20" s="264" t="s">
        <v>76</v>
      </c>
      <c r="R20" s="264">
        <v>8</v>
      </c>
      <c r="S20" s="264">
        <v>8</v>
      </c>
      <c r="T20" s="264">
        <v>8</v>
      </c>
      <c r="U20" s="264">
        <v>8</v>
      </c>
      <c r="V20" s="264">
        <v>8</v>
      </c>
      <c r="W20" s="264" t="s">
        <v>76</v>
      </c>
      <c r="X20" s="264">
        <v>8</v>
      </c>
      <c r="Y20" s="264">
        <v>8</v>
      </c>
      <c r="Z20" s="264">
        <v>8</v>
      </c>
      <c r="AA20" s="265">
        <v>8</v>
      </c>
      <c r="AB20" s="264">
        <v>8</v>
      </c>
      <c r="AC20" s="264">
        <v>8</v>
      </c>
      <c r="AD20" s="264">
        <v>8</v>
      </c>
      <c r="AE20" s="264">
        <v>8</v>
      </c>
      <c r="AF20" s="265">
        <v>8</v>
      </c>
      <c r="AG20" s="264" t="s">
        <v>76</v>
      </c>
      <c r="AH20" s="264">
        <v>8</v>
      </c>
      <c r="AI20" s="264">
        <v>8</v>
      </c>
      <c r="AJ20" s="264" t="s">
        <v>76</v>
      </c>
      <c r="AK20" s="264">
        <v>8</v>
      </c>
      <c r="AL20" s="264">
        <v>8</v>
      </c>
      <c r="AM20" s="266">
        <v>8</v>
      </c>
      <c r="AN20" s="241">
        <f t="shared" si="23"/>
        <v>27</v>
      </c>
      <c r="AO20" s="237">
        <f t="shared" si="24"/>
        <v>216</v>
      </c>
      <c r="AP20" s="60">
        <f t="shared" si="25"/>
        <v>4</v>
      </c>
      <c r="AQ20" s="61">
        <f t="shared" si="26"/>
        <v>0</v>
      </c>
      <c r="AR20" s="61">
        <f t="shared" si="27"/>
        <v>0</v>
      </c>
      <c r="AS20" s="61">
        <f t="shared" si="28"/>
        <v>0</v>
      </c>
      <c r="AT20" s="77">
        <f t="shared" si="29"/>
        <v>0</v>
      </c>
      <c r="AU20" s="46" t="e">
        <f>#REF!</f>
        <v>#REF!</v>
      </c>
      <c r="AV20" s="10">
        <f t="shared" si="30"/>
        <v>0</v>
      </c>
      <c r="AW20" s="10" t="e">
        <f t="shared" si="31"/>
        <v>#REF!</v>
      </c>
      <c r="AX20" s="10">
        <f t="shared" si="32"/>
        <v>0</v>
      </c>
      <c r="AY20" s="10">
        <f t="shared" si="33"/>
        <v>0</v>
      </c>
      <c r="AZ20" s="10">
        <f t="shared" si="34"/>
        <v>0</v>
      </c>
      <c r="BA20" s="10">
        <f t="shared" si="35"/>
        <v>0</v>
      </c>
      <c r="BB20" s="10">
        <f t="shared" si="36"/>
        <v>0</v>
      </c>
      <c r="BC20" s="62"/>
    </row>
    <row r="21" spans="1:55" ht="21.95" customHeight="1">
      <c r="A21" s="207"/>
      <c r="B21" s="241" t="s">
        <v>48</v>
      </c>
      <c r="C21" s="237">
        <v>4955</v>
      </c>
      <c r="D21" s="237" t="s">
        <v>151</v>
      </c>
      <c r="E21" s="261" t="s">
        <v>25</v>
      </c>
      <c r="F21" s="119" t="s">
        <v>45</v>
      </c>
      <c r="G21" s="262">
        <v>8</v>
      </c>
      <c r="H21" s="237" t="s">
        <v>148</v>
      </c>
      <c r="I21" s="263">
        <v>8</v>
      </c>
      <c r="J21" s="264">
        <v>8</v>
      </c>
      <c r="K21" s="265">
        <v>8</v>
      </c>
      <c r="L21" s="264">
        <v>8</v>
      </c>
      <c r="M21" s="264">
        <v>8</v>
      </c>
      <c r="N21" s="264">
        <v>8</v>
      </c>
      <c r="O21" s="264">
        <v>8</v>
      </c>
      <c r="P21" s="264">
        <v>8</v>
      </c>
      <c r="Q21" s="264">
        <v>8</v>
      </c>
      <c r="R21" s="265">
        <v>8</v>
      </c>
      <c r="S21" s="264">
        <v>8</v>
      </c>
      <c r="T21" s="264">
        <v>8</v>
      </c>
      <c r="U21" s="264">
        <v>8</v>
      </c>
      <c r="V21" s="264" t="s">
        <v>76</v>
      </c>
      <c r="W21" s="264">
        <v>8</v>
      </c>
      <c r="X21" s="264">
        <v>8</v>
      </c>
      <c r="Y21" s="264">
        <v>8</v>
      </c>
      <c r="Z21" s="265">
        <v>8</v>
      </c>
      <c r="AA21" s="264">
        <v>8</v>
      </c>
      <c r="AB21" s="264">
        <v>8</v>
      </c>
      <c r="AC21" s="264">
        <v>8</v>
      </c>
      <c r="AD21" s="264" t="s">
        <v>76</v>
      </c>
      <c r="AE21" s="264">
        <v>8</v>
      </c>
      <c r="AF21" s="264">
        <v>8</v>
      </c>
      <c r="AG21" s="265">
        <v>8</v>
      </c>
      <c r="AH21" s="264">
        <v>8</v>
      </c>
      <c r="AI21" s="264">
        <v>8</v>
      </c>
      <c r="AJ21" s="265">
        <v>8</v>
      </c>
      <c r="AK21" s="264">
        <v>8</v>
      </c>
      <c r="AL21" s="264">
        <v>8</v>
      </c>
      <c r="AM21" s="266" t="s">
        <v>76</v>
      </c>
      <c r="AN21" s="241">
        <f t="shared" si="23"/>
        <v>28</v>
      </c>
      <c r="AO21" s="237">
        <f t="shared" si="24"/>
        <v>224</v>
      </c>
      <c r="AP21" s="60">
        <f t="shared" si="25"/>
        <v>3</v>
      </c>
      <c r="AQ21" s="61">
        <f t="shared" si="26"/>
        <v>0</v>
      </c>
      <c r="AR21" s="61">
        <f t="shared" si="27"/>
        <v>0</v>
      </c>
      <c r="AS21" s="61">
        <f t="shared" si="28"/>
        <v>0</v>
      </c>
      <c r="AT21" s="77">
        <f t="shared" si="29"/>
        <v>0</v>
      </c>
      <c r="AU21" s="46" t="e">
        <f>#REF!</f>
        <v>#REF!</v>
      </c>
      <c r="AV21" s="10">
        <f t="shared" si="30"/>
        <v>0</v>
      </c>
      <c r="AW21" s="10" t="e">
        <f t="shared" si="31"/>
        <v>#REF!</v>
      </c>
      <c r="AX21" s="10">
        <f t="shared" si="32"/>
        <v>0</v>
      </c>
      <c r="AY21" s="10">
        <f t="shared" si="33"/>
        <v>0</v>
      </c>
      <c r="AZ21" s="10">
        <f t="shared" si="34"/>
        <v>0</v>
      </c>
      <c r="BA21" s="10">
        <f t="shared" si="35"/>
        <v>0</v>
      </c>
      <c r="BB21" s="10">
        <f t="shared" si="36"/>
        <v>0</v>
      </c>
      <c r="BC21" s="62"/>
    </row>
    <row r="22" spans="1:55" ht="21.95" customHeight="1">
      <c r="A22" s="207"/>
      <c r="B22" s="241" t="s">
        <v>49</v>
      </c>
      <c r="C22" s="237">
        <v>4961</v>
      </c>
      <c r="D22" s="237" t="s">
        <v>152</v>
      </c>
      <c r="E22" s="261" t="s">
        <v>25</v>
      </c>
      <c r="F22" s="119" t="s">
        <v>45</v>
      </c>
      <c r="G22" s="262">
        <v>8</v>
      </c>
      <c r="H22" s="237" t="s">
        <v>148</v>
      </c>
      <c r="I22" s="263">
        <v>8</v>
      </c>
      <c r="J22" s="264">
        <v>8</v>
      </c>
      <c r="K22" s="264">
        <v>8</v>
      </c>
      <c r="L22" s="264" t="s">
        <v>41</v>
      </c>
      <c r="M22" s="264">
        <v>8</v>
      </c>
      <c r="N22" s="264">
        <v>8</v>
      </c>
      <c r="O22" s="264">
        <v>8</v>
      </c>
      <c r="P22" s="264">
        <v>8</v>
      </c>
      <c r="Q22" s="264">
        <v>8</v>
      </c>
      <c r="R22" s="264">
        <v>8</v>
      </c>
      <c r="S22" s="264">
        <v>8</v>
      </c>
      <c r="T22" s="264" t="s">
        <v>76</v>
      </c>
      <c r="U22" s="265">
        <v>8</v>
      </c>
      <c r="V22" s="264">
        <v>8</v>
      </c>
      <c r="W22" s="264">
        <v>8</v>
      </c>
      <c r="X22" s="264" t="s">
        <v>76</v>
      </c>
      <c r="Y22" s="264">
        <v>8</v>
      </c>
      <c r="Z22" s="265">
        <v>8</v>
      </c>
      <c r="AA22" s="264">
        <v>8</v>
      </c>
      <c r="AB22" s="264">
        <v>8</v>
      </c>
      <c r="AC22" s="264">
        <v>8</v>
      </c>
      <c r="AD22" s="264">
        <v>8</v>
      </c>
      <c r="AE22" s="264" t="s">
        <v>76</v>
      </c>
      <c r="AF22" s="264">
        <v>8</v>
      </c>
      <c r="AG22" s="264">
        <v>8</v>
      </c>
      <c r="AH22" s="264">
        <v>8</v>
      </c>
      <c r="AI22" s="265">
        <v>8</v>
      </c>
      <c r="AJ22" s="264">
        <v>8</v>
      </c>
      <c r="AK22" s="264">
        <v>8</v>
      </c>
      <c r="AL22" s="265">
        <v>8</v>
      </c>
      <c r="AM22" s="266">
        <v>8</v>
      </c>
      <c r="AN22" s="241">
        <f t="shared" si="23"/>
        <v>27</v>
      </c>
      <c r="AO22" s="237">
        <f t="shared" si="24"/>
        <v>216</v>
      </c>
      <c r="AP22" s="60">
        <f t="shared" si="25"/>
        <v>3</v>
      </c>
      <c r="AQ22" s="61">
        <f t="shared" si="26"/>
        <v>1</v>
      </c>
      <c r="AR22" s="61">
        <f t="shared" si="27"/>
        <v>0</v>
      </c>
      <c r="AS22" s="61">
        <f t="shared" si="28"/>
        <v>0</v>
      </c>
      <c r="AT22" s="77">
        <f t="shared" si="29"/>
        <v>0</v>
      </c>
      <c r="AU22" s="46" t="e">
        <f>#REF!</f>
        <v>#REF!</v>
      </c>
      <c r="AV22" s="10">
        <f t="shared" si="30"/>
        <v>1</v>
      </c>
      <c r="AW22" s="10" t="e">
        <f t="shared" si="31"/>
        <v>#REF!</v>
      </c>
      <c r="AX22" s="10">
        <f t="shared" si="32"/>
        <v>0</v>
      </c>
      <c r="AY22" s="10">
        <f t="shared" si="33"/>
        <v>0</v>
      </c>
      <c r="AZ22" s="10">
        <f t="shared" si="34"/>
        <v>0</v>
      </c>
      <c r="BA22" s="10">
        <f t="shared" si="35"/>
        <v>0</v>
      </c>
      <c r="BB22" s="10">
        <f t="shared" si="36"/>
        <v>0</v>
      </c>
      <c r="BC22" s="62"/>
    </row>
    <row r="23" spans="1:55" ht="21.95" customHeight="1">
      <c r="A23" s="207"/>
      <c r="B23" s="241" t="s">
        <v>50</v>
      </c>
      <c r="C23" s="237">
        <v>4957</v>
      </c>
      <c r="D23" s="237" t="s">
        <v>153</v>
      </c>
      <c r="E23" s="261" t="s">
        <v>25</v>
      </c>
      <c r="F23" s="119" t="s">
        <v>45</v>
      </c>
      <c r="G23" s="262">
        <v>8</v>
      </c>
      <c r="H23" s="237" t="s">
        <v>148</v>
      </c>
      <c r="I23" s="263">
        <v>8</v>
      </c>
      <c r="J23" s="264" t="s">
        <v>76</v>
      </c>
      <c r="K23" s="264">
        <v>8</v>
      </c>
      <c r="L23" s="264">
        <v>8</v>
      </c>
      <c r="M23" s="264">
        <v>8</v>
      </c>
      <c r="N23" s="264">
        <v>8</v>
      </c>
      <c r="O23" s="264">
        <v>8</v>
      </c>
      <c r="P23" s="264">
        <v>8</v>
      </c>
      <c r="Q23" s="264">
        <v>8</v>
      </c>
      <c r="R23" s="264">
        <v>8</v>
      </c>
      <c r="S23" s="264">
        <v>8</v>
      </c>
      <c r="T23" s="264">
        <v>8</v>
      </c>
      <c r="U23" s="264">
        <v>8</v>
      </c>
      <c r="V23" s="264">
        <v>8</v>
      </c>
      <c r="W23" s="264">
        <v>8</v>
      </c>
      <c r="X23" s="264">
        <v>8</v>
      </c>
      <c r="Y23" s="265">
        <v>8</v>
      </c>
      <c r="Z23" s="264">
        <v>8</v>
      </c>
      <c r="AA23" s="264" t="s">
        <v>76</v>
      </c>
      <c r="AB23" s="264">
        <v>8</v>
      </c>
      <c r="AC23" s="264">
        <v>8</v>
      </c>
      <c r="AD23" s="265">
        <v>8</v>
      </c>
      <c r="AE23" s="264">
        <v>8</v>
      </c>
      <c r="AF23" s="264">
        <v>8</v>
      </c>
      <c r="AG23" s="264" t="s">
        <v>76</v>
      </c>
      <c r="AH23" s="265">
        <v>8</v>
      </c>
      <c r="AI23" s="265">
        <v>8</v>
      </c>
      <c r="AJ23" s="264" t="s">
        <v>76</v>
      </c>
      <c r="AK23" s="265">
        <v>8</v>
      </c>
      <c r="AL23" s="265">
        <v>8</v>
      </c>
      <c r="AM23" s="266">
        <v>8</v>
      </c>
      <c r="AN23" s="241">
        <f t="shared" si="23"/>
        <v>27</v>
      </c>
      <c r="AO23" s="237">
        <f t="shared" si="24"/>
        <v>216</v>
      </c>
      <c r="AP23" s="60">
        <f t="shared" si="25"/>
        <v>4</v>
      </c>
      <c r="AQ23" s="61">
        <f t="shared" si="26"/>
        <v>0</v>
      </c>
      <c r="AR23" s="61">
        <f t="shared" si="27"/>
        <v>0</v>
      </c>
      <c r="AS23" s="61">
        <f t="shared" si="28"/>
        <v>0</v>
      </c>
      <c r="AT23" s="77">
        <f t="shared" si="29"/>
        <v>0</v>
      </c>
      <c r="AU23" s="46" t="e">
        <f>#REF!</f>
        <v>#REF!</v>
      </c>
      <c r="AV23" s="10">
        <f t="shared" si="30"/>
        <v>0</v>
      </c>
      <c r="AW23" s="10" t="e">
        <f t="shared" si="31"/>
        <v>#REF!</v>
      </c>
      <c r="AX23" s="10">
        <f t="shared" si="32"/>
        <v>0</v>
      </c>
      <c r="AY23" s="10">
        <f t="shared" si="33"/>
        <v>0</v>
      </c>
      <c r="AZ23" s="10">
        <f t="shared" si="34"/>
        <v>0</v>
      </c>
      <c r="BA23" s="10">
        <f t="shared" si="35"/>
        <v>0</v>
      </c>
      <c r="BB23" s="10">
        <f t="shared" si="36"/>
        <v>0</v>
      </c>
      <c r="BC23" s="62"/>
    </row>
    <row r="24" spans="1:55" ht="21.95" customHeight="1">
      <c r="A24" s="207"/>
      <c r="B24" s="241" t="s">
        <v>51</v>
      </c>
      <c r="C24" s="237">
        <v>4959</v>
      </c>
      <c r="D24" s="237" t="s">
        <v>154</v>
      </c>
      <c r="E24" s="261" t="s">
        <v>25</v>
      </c>
      <c r="F24" s="119" t="s">
        <v>45</v>
      </c>
      <c r="G24" s="262">
        <v>8</v>
      </c>
      <c r="H24" s="237" t="s">
        <v>148</v>
      </c>
      <c r="I24" s="267">
        <v>8</v>
      </c>
      <c r="J24" s="264">
        <v>8</v>
      </c>
      <c r="K24" s="264">
        <v>8</v>
      </c>
      <c r="L24" s="264">
        <v>8</v>
      </c>
      <c r="M24" s="264">
        <v>8</v>
      </c>
      <c r="N24" s="264">
        <v>8</v>
      </c>
      <c r="O24" s="264">
        <v>8</v>
      </c>
      <c r="P24" s="264">
        <v>8</v>
      </c>
      <c r="Q24" s="264">
        <v>8</v>
      </c>
      <c r="R24" s="264">
        <v>8</v>
      </c>
      <c r="S24" s="264">
        <v>8</v>
      </c>
      <c r="T24" s="264">
        <v>8</v>
      </c>
      <c r="U24" s="264" t="s">
        <v>76</v>
      </c>
      <c r="V24" s="264">
        <v>8</v>
      </c>
      <c r="W24" s="264">
        <v>8</v>
      </c>
      <c r="X24" s="264" t="s">
        <v>76</v>
      </c>
      <c r="Y24" s="264">
        <v>8</v>
      </c>
      <c r="Z24" s="264">
        <v>8</v>
      </c>
      <c r="AA24" s="264">
        <v>8</v>
      </c>
      <c r="AB24" s="264">
        <v>8</v>
      </c>
      <c r="AC24" s="264">
        <v>8</v>
      </c>
      <c r="AD24" s="265">
        <v>8</v>
      </c>
      <c r="AE24" s="265" t="s">
        <v>76</v>
      </c>
      <c r="AF24" s="264">
        <v>8</v>
      </c>
      <c r="AG24" s="264">
        <v>8</v>
      </c>
      <c r="AH24" s="264">
        <v>8</v>
      </c>
      <c r="AI24" s="264">
        <v>8</v>
      </c>
      <c r="AJ24" s="264">
        <v>8</v>
      </c>
      <c r="AK24" s="264">
        <v>8</v>
      </c>
      <c r="AL24" s="264">
        <v>8</v>
      </c>
      <c r="AM24" s="266">
        <v>8</v>
      </c>
      <c r="AN24" s="241">
        <f t="shared" si="23"/>
        <v>28</v>
      </c>
      <c r="AO24" s="237">
        <f t="shared" si="24"/>
        <v>224</v>
      </c>
      <c r="AP24" s="60">
        <f t="shared" si="25"/>
        <v>3</v>
      </c>
      <c r="AQ24" s="61">
        <f t="shared" si="26"/>
        <v>0</v>
      </c>
      <c r="AR24" s="61">
        <f t="shared" si="27"/>
        <v>0</v>
      </c>
      <c r="AS24" s="61">
        <f t="shared" si="28"/>
        <v>0</v>
      </c>
      <c r="AT24" s="77">
        <f t="shared" si="29"/>
        <v>0</v>
      </c>
      <c r="AU24" s="46" t="e">
        <f>#REF!</f>
        <v>#REF!</v>
      </c>
      <c r="AV24" s="10">
        <f t="shared" si="30"/>
        <v>0</v>
      </c>
      <c r="AW24" s="10" t="e">
        <f t="shared" si="31"/>
        <v>#REF!</v>
      </c>
      <c r="AX24" s="10">
        <f t="shared" si="32"/>
        <v>0</v>
      </c>
      <c r="AY24" s="10">
        <f t="shared" si="33"/>
        <v>0</v>
      </c>
      <c r="AZ24" s="10">
        <f t="shared" si="34"/>
        <v>0</v>
      </c>
      <c r="BA24" s="10">
        <f t="shared" si="35"/>
        <v>0</v>
      </c>
      <c r="BB24" s="10">
        <f t="shared" si="36"/>
        <v>0</v>
      </c>
      <c r="BC24" s="62"/>
    </row>
    <row r="25" spans="1:55" s="22" customFormat="1" ht="21.95" customHeight="1">
      <c r="A25" s="232"/>
      <c r="B25" s="268" t="s">
        <v>52</v>
      </c>
      <c r="C25" s="269">
        <v>4954</v>
      </c>
      <c r="D25" s="269" t="s">
        <v>155</v>
      </c>
      <c r="E25" s="261" t="s">
        <v>25</v>
      </c>
      <c r="F25" s="119" t="s">
        <v>45</v>
      </c>
      <c r="G25" s="262">
        <v>8</v>
      </c>
      <c r="H25" s="237" t="s">
        <v>148</v>
      </c>
      <c r="I25" s="263">
        <v>8</v>
      </c>
      <c r="J25" s="264">
        <v>8</v>
      </c>
      <c r="K25" s="264" t="s">
        <v>76</v>
      </c>
      <c r="L25" s="264">
        <v>8</v>
      </c>
      <c r="M25" s="264">
        <v>8</v>
      </c>
      <c r="N25" s="265">
        <v>8</v>
      </c>
      <c r="O25" s="264">
        <v>8</v>
      </c>
      <c r="P25" s="264">
        <v>8</v>
      </c>
      <c r="Q25" s="264">
        <v>8</v>
      </c>
      <c r="R25" s="264" t="s">
        <v>76</v>
      </c>
      <c r="S25" s="264">
        <v>8</v>
      </c>
      <c r="T25" s="264">
        <v>8</v>
      </c>
      <c r="U25" s="264">
        <v>8</v>
      </c>
      <c r="V25" s="264">
        <v>8</v>
      </c>
      <c r="W25" s="264">
        <v>8</v>
      </c>
      <c r="X25" s="264">
        <v>8</v>
      </c>
      <c r="Y25" s="264" t="s">
        <v>76</v>
      </c>
      <c r="Z25" s="264">
        <v>8</v>
      </c>
      <c r="AA25" s="264">
        <v>8</v>
      </c>
      <c r="AB25" s="264">
        <v>8</v>
      </c>
      <c r="AC25" s="264">
        <v>8</v>
      </c>
      <c r="AD25" s="264">
        <v>8</v>
      </c>
      <c r="AE25" s="264">
        <v>8</v>
      </c>
      <c r="AF25" s="264">
        <v>8</v>
      </c>
      <c r="AG25" s="264">
        <v>8</v>
      </c>
      <c r="AH25" s="265">
        <v>8</v>
      </c>
      <c r="AI25" s="264">
        <v>8</v>
      </c>
      <c r="AJ25" s="264">
        <v>8</v>
      </c>
      <c r="AK25" s="265">
        <v>8</v>
      </c>
      <c r="AL25" s="264">
        <v>8</v>
      </c>
      <c r="AM25" s="266">
        <v>8</v>
      </c>
      <c r="AN25" s="268">
        <f t="shared" si="23"/>
        <v>28</v>
      </c>
      <c r="AO25" s="269">
        <f t="shared" si="24"/>
        <v>224</v>
      </c>
      <c r="AP25" s="60">
        <f t="shared" si="25"/>
        <v>3</v>
      </c>
      <c r="AQ25" s="61">
        <f t="shared" si="26"/>
        <v>0</v>
      </c>
      <c r="AR25" s="61">
        <f t="shared" si="27"/>
        <v>0</v>
      </c>
      <c r="AS25" s="61">
        <f t="shared" si="28"/>
        <v>0</v>
      </c>
      <c r="AT25" s="77">
        <f t="shared" si="29"/>
        <v>0</v>
      </c>
      <c r="AU25" s="46" t="e">
        <f>#REF!</f>
        <v>#REF!</v>
      </c>
      <c r="AV25" s="10">
        <f t="shared" si="30"/>
        <v>0</v>
      </c>
      <c r="AW25" s="10" t="e">
        <f t="shared" si="31"/>
        <v>#REF!</v>
      </c>
      <c r="AX25" s="10">
        <f t="shared" si="32"/>
        <v>0</v>
      </c>
      <c r="AY25" s="10">
        <f t="shared" si="33"/>
        <v>0</v>
      </c>
      <c r="AZ25" s="10">
        <f t="shared" si="34"/>
        <v>0</v>
      </c>
      <c r="BA25" s="10">
        <f t="shared" si="35"/>
        <v>0</v>
      </c>
      <c r="BB25" s="10">
        <f t="shared" si="36"/>
        <v>0</v>
      </c>
      <c r="BC25" s="62"/>
    </row>
    <row r="26" spans="1:55" ht="21.95" customHeight="1">
      <c r="A26" s="207"/>
      <c r="B26" s="241" t="s">
        <v>53</v>
      </c>
      <c r="C26" s="237">
        <v>4963</v>
      </c>
      <c r="D26" s="313" t="s">
        <v>147</v>
      </c>
      <c r="E26" s="261" t="s">
        <v>25</v>
      </c>
      <c r="F26" s="119" t="s">
        <v>45</v>
      </c>
      <c r="G26" s="262">
        <v>8</v>
      </c>
      <c r="H26" s="237" t="s">
        <v>148</v>
      </c>
      <c r="I26" s="263">
        <v>8</v>
      </c>
      <c r="J26" s="264">
        <v>8</v>
      </c>
      <c r="K26" s="264">
        <v>8</v>
      </c>
      <c r="L26" s="264">
        <v>8</v>
      </c>
      <c r="M26" s="264" t="s">
        <v>72</v>
      </c>
      <c r="N26" s="264" t="s">
        <v>41</v>
      </c>
      <c r="O26" s="265" t="s">
        <v>76</v>
      </c>
      <c r="P26" s="264" t="s">
        <v>76</v>
      </c>
      <c r="Q26" s="264">
        <v>8</v>
      </c>
      <c r="R26" s="264">
        <v>8</v>
      </c>
      <c r="S26" s="264">
        <v>8</v>
      </c>
      <c r="T26" s="264">
        <v>8</v>
      </c>
      <c r="U26" s="264">
        <v>8</v>
      </c>
      <c r="V26" s="264">
        <v>8</v>
      </c>
      <c r="W26" s="264">
        <v>8</v>
      </c>
      <c r="X26" s="264">
        <v>8</v>
      </c>
      <c r="Y26" s="264" t="s">
        <v>72</v>
      </c>
      <c r="Z26" s="264" t="s">
        <v>72</v>
      </c>
      <c r="AA26" s="264" t="s">
        <v>72</v>
      </c>
      <c r="AB26" s="265" t="s">
        <v>76</v>
      </c>
      <c r="AC26" s="264" t="s">
        <v>72</v>
      </c>
      <c r="AD26" s="264">
        <v>8</v>
      </c>
      <c r="AE26" s="264">
        <v>8</v>
      </c>
      <c r="AF26" s="264">
        <v>8</v>
      </c>
      <c r="AG26" s="264">
        <v>8</v>
      </c>
      <c r="AH26" s="264" t="s">
        <v>72</v>
      </c>
      <c r="AI26" s="264">
        <v>8</v>
      </c>
      <c r="AJ26" s="264">
        <v>8</v>
      </c>
      <c r="AK26" s="264" t="s">
        <v>72</v>
      </c>
      <c r="AL26" s="264">
        <v>8</v>
      </c>
      <c r="AM26" s="266">
        <v>8</v>
      </c>
      <c r="AN26" s="241">
        <f t="shared" si="23"/>
        <v>20</v>
      </c>
      <c r="AO26" s="237">
        <f>SUM(I26:AM26)</f>
        <v>160</v>
      </c>
      <c r="AP26" s="60">
        <f t="shared" si="25"/>
        <v>3</v>
      </c>
      <c r="AQ26" s="61">
        <f t="shared" si="26"/>
        <v>1</v>
      </c>
      <c r="AR26" s="61">
        <f t="shared" si="27"/>
        <v>0</v>
      </c>
      <c r="AS26" s="61">
        <f t="shared" si="28"/>
        <v>0</v>
      </c>
      <c r="AT26" s="77">
        <f t="shared" si="29"/>
        <v>0</v>
      </c>
      <c r="AU26" s="46" t="e">
        <f>#REF!</f>
        <v>#REF!</v>
      </c>
      <c r="AV26" s="10">
        <f t="shared" si="30"/>
        <v>1</v>
      </c>
      <c r="AW26" s="10" t="e">
        <f t="shared" si="31"/>
        <v>#REF!</v>
      </c>
      <c r="AX26" s="10">
        <f t="shared" si="32"/>
        <v>0</v>
      </c>
      <c r="AY26" s="10">
        <f t="shared" si="33"/>
        <v>0</v>
      </c>
      <c r="AZ26" s="10">
        <f t="shared" si="34"/>
        <v>0</v>
      </c>
      <c r="BA26" s="10">
        <f t="shared" si="35"/>
        <v>0</v>
      </c>
      <c r="BB26" s="10">
        <f t="shared" si="36"/>
        <v>0</v>
      </c>
      <c r="BC26" s="62"/>
    </row>
    <row r="27" spans="1:55" ht="21.95" customHeight="1">
      <c r="A27" s="207"/>
      <c r="B27" s="241" t="s">
        <v>54</v>
      </c>
      <c r="C27" s="237">
        <v>4958</v>
      </c>
      <c r="D27" s="237" t="s">
        <v>156</v>
      </c>
      <c r="E27" s="261" t="s">
        <v>25</v>
      </c>
      <c r="F27" s="119" t="s">
        <v>45</v>
      </c>
      <c r="G27" s="262">
        <v>8</v>
      </c>
      <c r="H27" s="237" t="s">
        <v>148</v>
      </c>
      <c r="I27" s="263">
        <v>8</v>
      </c>
      <c r="J27" s="264">
        <v>8</v>
      </c>
      <c r="K27" s="264">
        <v>8</v>
      </c>
      <c r="L27" s="264">
        <v>8</v>
      </c>
      <c r="M27" s="264">
        <v>8</v>
      </c>
      <c r="N27" s="264">
        <v>8</v>
      </c>
      <c r="O27" s="264">
        <v>8</v>
      </c>
      <c r="P27" s="264">
        <v>8</v>
      </c>
      <c r="Q27" s="265">
        <v>8</v>
      </c>
      <c r="R27" s="264">
        <v>8</v>
      </c>
      <c r="S27" s="264">
        <v>8</v>
      </c>
      <c r="T27" s="264">
        <v>8</v>
      </c>
      <c r="U27" s="264">
        <v>8</v>
      </c>
      <c r="V27" s="264">
        <v>8</v>
      </c>
      <c r="W27" s="264">
        <v>8</v>
      </c>
      <c r="X27" s="264">
        <v>8</v>
      </c>
      <c r="Y27" s="264">
        <v>8</v>
      </c>
      <c r="Z27" s="264">
        <v>8</v>
      </c>
      <c r="AA27" s="264">
        <v>8</v>
      </c>
      <c r="AB27" s="264" t="s">
        <v>41</v>
      </c>
      <c r="AC27" s="265">
        <v>8</v>
      </c>
      <c r="AD27" s="264">
        <v>8</v>
      </c>
      <c r="AE27" s="264">
        <v>8</v>
      </c>
      <c r="AF27" s="264">
        <v>8</v>
      </c>
      <c r="AG27" s="264">
        <v>8</v>
      </c>
      <c r="AH27" s="264" t="s">
        <v>76</v>
      </c>
      <c r="AI27" s="264" t="s">
        <v>76</v>
      </c>
      <c r="AJ27" s="264">
        <v>8</v>
      </c>
      <c r="AK27" s="264" t="s">
        <v>76</v>
      </c>
      <c r="AL27" s="264" t="s">
        <v>76</v>
      </c>
      <c r="AM27" s="266" t="s">
        <v>76</v>
      </c>
      <c r="AN27" s="241">
        <f t="shared" si="23"/>
        <v>25</v>
      </c>
      <c r="AO27" s="237">
        <f t="shared" si="24"/>
        <v>200</v>
      </c>
      <c r="AP27" s="60">
        <f t="shared" si="25"/>
        <v>5</v>
      </c>
      <c r="AQ27" s="61">
        <f t="shared" si="26"/>
        <v>1</v>
      </c>
      <c r="AR27" s="61">
        <f t="shared" si="27"/>
        <v>0</v>
      </c>
      <c r="AS27" s="61">
        <f t="shared" si="28"/>
        <v>0</v>
      </c>
      <c r="AT27" s="77">
        <f t="shared" si="29"/>
        <v>0</v>
      </c>
      <c r="AU27" s="46" t="e">
        <f>#REF!</f>
        <v>#REF!</v>
      </c>
      <c r="AV27" s="10">
        <f t="shared" si="30"/>
        <v>1</v>
      </c>
      <c r="AW27" s="10" t="e">
        <f t="shared" si="31"/>
        <v>#REF!</v>
      </c>
      <c r="AX27" s="10">
        <f t="shared" si="32"/>
        <v>0</v>
      </c>
      <c r="AY27" s="10">
        <f t="shared" si="33"/>
        <v>0</v>
      </c>
      <c r="AZ27" s="10">
        <f t="shared" si="34"/>
        <v>0</v>
      </c>
      <c r="BA27" s="10">
        <f t="shared" si="35"/>
        <v>0</v>
      </c>
      <c r="BB27" s="10">
        <f t="shared" si="36"/>
        <v>0</v>
      </c>
      <c r="BC27" s="62"/>
    </row>
    <row r="28" spans="1:55" ht="21.95" customHeight="1">
      <c r="A28" s="207"/>
      <c r="B28" s="241" t="s">
        <v>55</v>
      </c>
      <c r="C28" s="237">
        <v>4978</v>
      </c>
      <c r="D28" s="237" t="s">
        <v>157</v>
      </c>
      <c r="E28" s="261" t="s">
        <v>25</v>
      </c>
      <c r="F28" s="119" t="s">
        <v>45</v>
      </c>
      <c r="G28" s="262">
        <v>8</v>
      </c>
      <c r="H28" s="237" t="s">
        <v>148</v>
      </c>
      <c r="I28" s="263">
        <v>8</v>
      </c>
      <c r="J28" s="264">
        <v>8</v>
      </c>
      <c r="K28" s="264">
        <v>8</v>
      </c>
      <c r="L28" s="264">
        <v>8</v>
      </c>
      <c r="M28" s="265">
        <v>8</v>
      </c>
      <c r="N28" s="264">
        <v>8</v>
      </c>
      <c r="O28" s="264" t="s">
        <v>41</v>
      </c>
      <c r="P28" s="264">
        <v>8</v>
      </c>
      <c r="Q28" s="264">
        <v>8</v>
      </c>
      <c r="R28" s="264">
        <v>8</v>
      </c>
      <c r="S28" s="264" t="s">
        <v>82</v>
      </c>
      <c r="T28" s="264">
        <v>8</v>
      </c>
      <c r="U28" s="264">
        <v>8</v>
      </c>
      <c r="V28" s="265" t="s">
        <v>42</v>
      </c>
      <c r="W28" s="265" t="s">
        <v>42</v>
      </c>
      <c r="X28" s="265" t="s">
        <v>42</v>
      </c>
      <c r="Y28" s="265" t="s">
        <v>42</v>
      </c>
      <c r="Z28" s="265" t="s">
        <v>42</v>
      </c>
      <c r="AA28" s="265" t="s">
        <v>42</v>
      </c>
      <c r="AB28" s="265" t="s">
        <v>42</v>
      </c>
      <c r="AC28" s="265" t="s">
        <v>42</v>
      </c>
      <c r="AD28" s="265" t="s">
        <v>42</v>
      </c>
      <c r="AE28" s="265" t="s">
        <v>42</v>
      </c>
      <c r="AF28" s="265" t="s">
        <v>42</v>
      </c>
      <c r="AG28" s="265" t="s">
        <v>42</v>
      </c>
      <c r="AH28" s="265" t="s">
        <v>42</v>
      </c>
      <c r="AI28" s="265" t="s">
        <v>42</v>
      </c>
      <c r="AJ28" s="265" t="s">
        <v>42</v>
      </c>
      <c r="AK28" s="265" t="s">
        <v>42</v>
      </c>
      <c r="AL28" s="265" t="s">
        <v>42</v>
      </c>
      <c r="AM28" s="270" t="s">
        <v>42</v>
      </c>
      <c r="AN28" s="241">
        <f t="shared" si="23"/>
        <v>11</v>
      </c>
      <c r="AO28" s="237">
        <f>SUM(I28:AM28)</f>
        <v>88</v>
      </c>
      <c r="AP28" s="60">
        <f t="shared" si="25"/>
        <v>0</v>
      </c>
      <c r="AQ28" s="61">
        <f t="shared" si="26"/>
        <v>1</v>
      </c>
      <c r="AR28" s="61">
        <f t="shared" si="27"/>
        <v>0</v>
      </c>
      <c r="AS28" s="61">
        <f t="shared" si="28"/>
        <v>0</v>
      </c>
      <c r="AT28" s="77">
        <f t="shared" si="29"/>
        <v>0</v>
      </c>
      <c r="AU28" s="46" t="e">
        <f>#REF!</f>
        <v>#REF!</v>
      </c>
      <c r="AV28" s="10">
        <f t="shared" si="30"/>
        <v>1</v>
      </c>
      <c r="AW28" s="10" t="e">
        <f t="shared" si="31"/>
        <v>#REF!</v>
      </c>
      <c r="AX28" s="10">
        <f t="shared" si="32"/>
        <v>0</v>
      </c>
      <c r="AY28" s="10">
        <f t="shared" si="33"/>
        <v>0</v>
      </c>
      <c r="AZ28" s="10">
        <f t="shared" si="34"/>
        <v>0</v>
      </c>
      <c r="BA28" s="10">
        <f t="shared" si="35"/>
        <v>0</v>
      </c>
      <c r="BB28" s="10">
        <f t="shared" si="36"/>
        <v>18</v>
      </c>
      <c r="BC28" s="62"/>
    </row>
    <row r="29" spans="1:55" ht="21.95" customHeight="1" thickBot="1">
      <c r="A29" s="207"/>
      <c r="B29" s="352" t="s">
        <v>56</v>
      </c>
      <c r="C29" s="353">
        <v>5041</v>
      </c>
      <c r="D29" s="354" t="s">
        <v>83</v>
      </c>
      <c r="E29" s="229" t="s">
        <v>25</v>
      </c>
      <c r="F29" s="230" t="s">
        <v>45</v>
      </c>
      <c r="G29" s="231">
        <v>8</v>
      </c>
      <c r="H29" s="353" t="s">
        <v>148</v>
      </c>
      <c r="I29" s="355" t="s">
        <v>42</v>
      </c>
      <c r="J29" s="356" t="s">
        <v>42</v>
      </c>
      <c r="K29" s="356" t="s">
        <v>42</v>
      </c>
      <c r="L29" s="356" t="s">
        <v>42</v>
      </c>
      <c r="M29" s="356" t="s">
        <v>42</v>
      </c>
      <c r="N29" s="356" t="s">
        <v>42</v>
      </c>
      <c r="O29" s="356" t="s">
        <v>42</v>
      </c>
      <c r="P29" s="356" t="s">
        <v>42</v>
      </c>
      <c r="Q29" s="356" t="s">
        <v>42</v>
      </c>
      <c r="R29" s="356" t="s">
        <v>42</v>
      </c>
      <c r="S29" s="356" t="s">
        <v>42</v>
      </c>
      <c r="T29" s="356" t="s">
        <v>42</v>
      </c>
      <c r="U29" s="356" t="s">
        <v>42</v>
      </c>
      <c r="V29" s="356" t="s">
        <v>42</v>
      </c>
      <c r="W29" s="356" t="s">
        <v>42</v>
      </c>
      <c r="X29" s="357">
        <v>8</v>
      </c>
      <c r="Y29" s="357">
        <v>8</v>
      </c>
      <c r="Z29" s="357">
        <v>8</v>
      </c>
      <c r="AA29" s="357">
        <v>8</v>
      </c>
      <c r="AB29" s="357">
        <v>8</v>
      </c>
      <c r="AC29" s="357" t="s">
        <v>76</v>
      </c>
      <c r="AD29" s="357">
        <v>8</v>
      </c>
      <c r="AE29" s="356">
        <v>8</v>
      </c>
      <c r="AF29" s="357" t="s">
        <v>76</v>
      </c>
      <c r="AG29" s="357">
        <v>8</v>
      </c>
      <c r="AH29" s="357">
        <v>8</v>
      </c>
      <c r="AI29" s="357" t="s">
        <v>76</v>
      </c>
      <c r="AJ29" s="357">
        <v>8</v>
      </c>
      <c r="AK29" s="357">
        <v>8</v>
      </c>
      <c r="AL29" s="357" t="s">
        <v>76</v>
      </c>
      <c r="AM29" s="358">
        <v>8</v>
      </c>
      <c r="AN29" s="352">
        <f t="shared" si="23"/>
        <v>12</v>
      </c>
      <c r="AO29" s="353">
        <f>SUM(I29:AM29)</f>
        <v>96</v>
      </c>
      <c r="AP29" s="66">
        <f t="shared" si="25"/>
        <v>4</v>
      </c>
      <c r="AQ29" s="67">
        <f t="shared" si="26"/>
        <v>0</v>
      </c>
      <c r="AR29" s="67">
        <f t="shared" si="27"/>
        <v>0</v>
      </c>
      <c r="AS29" s="67">
        <f t="shared" si="28"/>
        <v>0</v>
      </c>
      <c r="AT29" s="78">
        <f t="shared" si="29"/>
        <v>0</v>
      </c>
      <c r="AU29" s="75" t="e">
        <f>#REF!</f>
        <v>#REF!</v>
      </c>
      <c r="AV29" s="68">
        <f t="shared" si="30"/>
        <v>0</v>
      </c>
      <c r="AW29" s="68" t="e">
        <f t="shared" si="31"/>
        <v>#REF!</v>
      </c>
      <c r="AX29" s="68">
        <f t="shared" si="32"/>
        <v>0</v>
      </c>
      <c r="AY29" s="68">
        <f t="shared" si="33"/>
        <v>0</v>
      </c>
      <c r="AZ29" s="68">
        <f t="shared" si="34"/>
        <v>0</v>
      </c>
      <c r="BA29" s="68">
        <f t="shared" si="35"/>
        <v>0</v>
      </c>
      <c r="BB29" s="68">
        <f t="shared" si="36"/>
        <v>15</v>
      </c>
      <c r="BC29" s="69"/>
    </row>
    <row r="30" spans="1:55" s="344" customFormat="1" ht="21.95" customHeight="1">
      <c r="B30" s="359" t="s">
        <v>36</v>
      </c>
      <c r="C30" s="360">
        <v>4946</v>
      </c>
      <c r="D30" s="359" t="s">
        <v>121</v>
      </c>
      <c r="E30" s="361" t="s">
        <v>25</v>
      </c>
      <c r="F30" s="362" t="s">
        <v>26</v>
      </c>
      <c r="G30" s="363">
        <v>8</v>
      </c>
      <c r="H30" s="359" t="s">
        <v>181</v>
      </c>
      <c r="I30" s="368" t="s">
        <v>178</v>
      </c>
      <c r="J30" s="369" t="s">
        <v>180</v>
      </c>
      <c r="K30" s="369" t="s">
        <v>180</v>
      </c>
      <c r="L30" s="369" t="s">
        <v>180</v>
      </c>
      <c r="M30" s="369" t="s">
        <v>180</v>
      </c>
      <c r="N30" s="364">
        <v>8</v>
      </c>
      <c r="O30" s="364" t="s">
        <v>82</v>
      </c>
      <c r="P30" s="369" t="s">
        <v>180</v>
      </c>
      <c r="Q30" s="369" t="s">
        <v>180</v>
      </c>
      <c r="R30" s="369" t="s">
        <v>180</v>
      </c>
      <c r="S30" s="369" t="s">
        <v>180</v>
      </c>
      <c r="T30" s="369" t="s">
        <v>180</v>
      </c>
      <c r="U30" s="364">
        <v>8</v>
      </c>
      <c r="V30" s="364">
        <v>8</v>
      </c>
      <c r="W30" s="364" t="s">
        <v>76</v>
      </c>
      <c r="X30" s="369" t="s">
        <v>180</v>
      </c>
      <c r="Y30" s="369" t="s">
        <v>180</v>
      </c>
      <c r="Z30" s="369" t="s">
        <v>180</v>
      </c>
      <c r="AA30" s="369" t="s">
        <v>180</v>
      </c>
      <c r="AB30" s="369" t="s">
        <v>180</v>
      </c>
      <c r="AC30" s="364">
        <v>8</v>
      </c>
      <c r="AD30" s="364" t="s">
        <v>76</v>
      </c>
      <c r="AE30" s="369" t="s">
        <v>180</v>
      </c>
      <c r="AF30" s="369" t="s">
        <v>180</v>
      </c>
      <c r="AG30" s="369" t="s">
        <v>180</v>
      </c>
      <c r="AH30" s="369" t="s">
        <v>180</v>
      </c>
      <c r="AI30" s="364">
        <v>8</v>
      </c>
      <c r="AJ30" s="369" t="s">
        <v>180</v>
      </c>
      <c r="AK30" s="369" t="s">
        <v>180</v>
      </c>
      <c r="AL30" s="364">
        <v>8</v>
      </c>
      <c r="AM30" s="364" t="s">
        <v>76</v>
      </c>
      <c r="AN30" s="365">
        <f>COUNT(I30:AM30)</f>
        <v>6</v>
      </c>
      <c r="AO30" s="359">
        <f>SUM(I30:AM30)</f>
        <v>48</v>
      </c>
      <c r="AP30" s="345">
        <f>COUNTIFS($I30:$AM30,"SH")+COUNTIFS($I30:$AM30,"NSH")</f>
        <v>3</v>
      </c>
      <c r="AQ30" s="346">
        <f>COUNTIFS($I30:$AM30,#REF!)</f>
        <v>0</v>
      </c>
      <c r="AR30" s="346">
        <f>COUNTIFS($I30:$AM30,#REF!)</f>
        <v>0</v>
      </c>
      <c r="AS30" s="346">
        <f>COUNTIFS($I30:$AM30,#REF!)</f>
        <v>0</v>
      </c>
      <c r="AT30" s="347">
        <f>COUNTIFS($I30:$AM30,#REF!)</f>
        <v>0</v>
      </c>
      <c r="AU30" s="348" t="e">
        <f>#REF!</f>
        <v>#REF!</v>
      </c>
      <c r="AV30" s="349">
        <f>COUNTIF(W30:AO30,"RD")</f>
        <v>0</v>
      </c>
      <c r="AW30" s="349" t="e">
        <f>AU30-AV30</f>
        <v>#REF!</v>
      </c>
      <c r="AX30" s="349">
        <f>COUNTIF(W30:AO30,"SH")</f>
        <v>0</v>
      </c>
      <c r="AY30" s="349">
        <f>COUNTIF(W30:AO30,"SL")</f>
        <v>0</v>
      </c>
      <c r="AZ30" s="349">
        <f>COUNTIF(W30:AO30,"np")</f>
        <v>0</v>
      </c>
      <c r="BA30" s="349">
        <f>COUNTIF(W30:AO30,"AL*")</f>
        <v>0</v>
      </c>
      <c r="BB30" s="349">
        <f>COUNTIF(W30:AO30,"NC*")</f>
        <v>0</v>
      </c>
      <c r="BC30" s="350"/>
    </row>
    <row r="31" spans="1:55" s="1" customFormat="1" ht="21.95" customHeight="1" thickBot="1">
      <c r="B31" s="132" t="s">
        <v>37</v>
      </c>
      <c r="C31" s="322">
        <v>4951</v>
      </c>
      <c r="D31" s="132" t="s">
        <v>122</v>
      </c>
      <c r="E31" s="323" t="s">
        <v>25</v>
      </c>
      <c r="F31" s="324" t="s">
        <v>26</v>
      </c>
      <c r="G31" s="325">
        <v>8</v>
      </c>
      <c r="H31" s="132" t="s">
        <v>181</v>
      </c>
      <c r="I31" s="326">
        <v>8</v>
      </c>
      <c r="J31" s="327">
        <v>8</v>
      </c>
      <c r="K31" s="327">
        <v>8</v>
      </c>
      <c r="L31" s="327">
        <v>8</v>
      </c>
      <c r="M31" s="327">
        <v>8</v>
      </c>
      <c r="N31" s="327" t="s">
        <v>82</v>
      </c>
      <c r="O31" s="327">
        <v>8</v>
      </c>
      <c r="P31" s="327">
        <v>8</v>
      </c>
      <c r="Q31" s="327">
        <v>8</v>
      </c>
      <c r="R31" s="327">
        <v>8</v>
      </c>
      <c r="S31" s="327">
        <v>8</v>
      </c>
      <c r="T31" s="327">
        <v>8</v>
      </c>
      <c r="U31" s="327" t="s">
        <v>76</v>
      </c>
      <c r="V31" s="327" t="s">
        <v>82</v>
      </c>
      <c r="W31" s="327">
        <v>8</v>
      </c>
      <c r="X31" s="327">
        <v>8</v>
      </c>
      <c r="Y31" s="327">
        <v>8</v>
      </c>
      <c r="Z31" s="327">
        <v>8</v>
      </c>
      <c r="AA31" s="327">
        <v>8</v>
      </c>
      <c r="AB31" s="327">
        <v>8</v>
      </c>
      <c r="AC31" s="327" t="s">
        <v>76</v>
      </c>
      <c r="AD31" s="327">
        <v>8</v>
      </c>
      <c r="AE31" s="327">
        <v>8</v>
      </c>
      <c r="AF31" s="327">
        <v>8</v>
      </c>
      <c r="AG31" s="327">
        <v>8</v>
      </c>
      <c r="AH31" s="327">
        <v>8</v>
      </c>
      <c r="AI31" s="327" t="s">
        <v>76</v>
      </c>
      <c r="AJ31" s="327">
        <v>8</v>
      </c>
      <c r="AK31" s="327">
        <v>8</v>
      </c>
      <c r="AL31" s="327" t="s">
        <v>76</v>
      </c>
      <c r="AM31" s="327">
        <v>8</v>
      </c>
      <c r="AN31" s="343">
        <f t="shared" si="23"/>
        <v>25</v>
      </c>
      <c r="AO31" s="132">
        <f t="shared" ref="AO31" si="37">SUM(I31:AM31)</f>
        <v>200</v>
      </c>
      <c r="AP31" s="11">
        <f t="shared" si="25"/>
        <v>4</v>
      </c>
      <c r="AQ31" s="4">
        <f>COUNTIFS($I31:$AM31,#REF!)</f>
        <v>0</v>
      </c>
      <c r="AR31" s="4">
        <f>COUNTIFS($I31:$AM31,#REF!)</f>
        <v>0</v>
      </c>
      <c r="AS31" s="4">
        <f>COUNTIFS($I31:$AM31,#REF!)</f>
        <v>0</v>
      </c>
      <c r="AT31" s="81">
        <f>COUNTIFS($I31:$AM31,#REF!)</f>
        <v>0</v>
      </c>
      <c r="AU31" s="75" t="e">
        <f>#REF!</f>
        <v>#REF!</v>
      </c>
      <c r="AV31" s="20">
        <f t="shared" ref="AV31" si="38">COUNTIF(W31:AO31,"RD")</f>
        <v>0</v>
      </c>
      <c r="AW31" s="20" t="e">
        <f t="shared" si="31"/>
        <v>#REF!</v>
      </c>
      <c r="AX31" s="20">
        <f t="shared" ref="AX31" si="39">COUNTIF(W31:AO31,"SH")</f>
        <v>0</v>
      </c>
      <c r="AY31" s="20">
        <f t="shared" ref="AY31" si="40">COUNTIF(W31:AO31,"SL")</f>
        <v>0</v>
      </c>
      <c r="AZ31" s="20">
        <f t="shared" ref="AZ31" si="41">COUNTIF(W31:AO31,"np")</f>
        <v>0</v>
      </c>
      <c r="BA31" s="20">
        <f t="shared" ref="BA31" si="42">COUNTIF(W31:AO31,"AL*")</f>
        <v>0</v>
      </c>
      <c r="BB31" s="20">
        <f t="shared" ref="BB31" si="43">COUNTIF(W31:AO31,"NC*")</f>
        <v>0</v>
      </c>
      <c r="BC31" s="64"/>
    </row>
    <row r="32" spans="1:55" ht="21.95" customHeight="1" thickBot="1">
      <c r="A32" s="207"/>
      <c r="B32" s="422" t="s">
        <v>177</v>
      </c>
      <c r="C32" s="391"/>
      <c r="D32" s="423" t="s">
        <v>124</v>
      </c>
      <c r="E32" s="423"/>
      <c r="F32" s="423"/>
      <c r="G32" s="423"/>
      <c r="H32" s="423"/>
      <c r="I32" s="90">
        <f t="shared" ref="I32:AM32" si="44">COUNTIF(I19:I31,"8")</f>
        <v>10</v>
      </c>
      <c r="J32" s="90">
        <f t="shared" si="44"/>
        <v>10</v>
      </c>
      <c r="K32" s="90">
        <f t="shared" si="44"/>
        <v>10</v>
      </c>
      <c r="L32" s="90">
        <f t="shared" si="44"/>
        <v>10</v>
      </c>
      <c r="M32" s="90">
        <f t="shared" si="44"/>
        <v>10</v>
      </c>
      <c r="N32" s="90">
        <f t="shared" si="44"/>
        <v>10</v>
      </c>
      <c r="O32" s="90">
        <f t="shared" si="44"/>
        <v>9</v>
      </c>
      <c r="P32" s="90">
        <f t="shared" si="44"/>
        <v>10</v>
      </c>
      <c r="Q32" s="90">
        <f t="shared" si="44"/>
        <v>10</v>
      </c>
      <c r="R32" s="90">
        <f t="shared" si="44"/>
        <v>10</v>
      </c>
      <c r="S32" s="90">
        <f t="shared" si="44"/>
        <v>10</v>
      </c>
      <c r="T32" s="90">
        <f t="shared" si="44"/>
        <v>10</v>
      </c>
      <c r="U32" s="90">
        <f t="shared" si="44"/>
        <v>10</v>
      </c>
      <c r="V32" s="90">
        <f t="shared" si="44"/>
        <v>8</v>
      </c>
      <c r="W32" s="90">
        <f t="shared" si="44"/>
        <v>8</v>
      </c>
      <c r="X32" s="90">
        <f t="shared" si="44"/>
        <v>9</v>
      </c>
      <c r="Y32" s="90">
        <f t="shared" si="44"/>
        <v>9</v>
      </c>
      <c r="Z32" s="90">
        <f t="shared" si="44"/>
        <v>10</v>
      </c>
      <c r="AA32" s="90">
        <f t="shared" si="44"/>
        <v>9</v>
      </c>
      <c r="AB32" s="90">
        <f t="shared" si="44"/>
        <v>9</v>
      </c>
      <c r="AC32" s="90">
        <f t="shared" si="44"/>
        <v>9</v>
      </c>
      <c r="AD32" s="90">
        <f t="shared" si="44"/>
        <v>10</v>
      </c>
      <c r="AE32" s="90">
        <f t="shared" si="44"/>
        <v>9</v>
      </c>
      <c r="AF32" s="90">
        <f t="shared" si="44"/>
        <v>10</v>
      </c>
      <c r="AG32" s="90">
        <f t="shared" ref="AG32:AI32" si="45">COUNTIF(AG19:AG31,"8")</f>
        <v>9</v>
      </c>
      <c r="AH32" s="90">
        <f t="shared" si="45"/>
        <v>9</v>
      </c>
      <c r="AI32" s="90">
        <f t="shared" si="45"/>
        <v>9</v>
      </c>
      <c r="AJ32" s="90">
        <f t="shared" si="44"/>
        <v>9</v>
      </c>
      <c r="AK32" s="90">
        <f t="shared" si="44"/>
        <v>9</v>
      </c>
      <c r="AL32" s="90">
        <f t="shared" si="44"/>
        <v>9</v>
      </c>
      <c r="AM32" s="90">
        <f t="shared" si="44"/>
        <v>9</v>
      </c>
      <c r="AN32" s="132">
        <f>SUM(AN19:AN29)</f>
        <v>261</v>
      </c>
      <c r="AO32" s="132">
        <f>SUM(AO19:AO29)</f>
        <v>2088</v>
      </c>
    </row>
    <row r="33" spans="1:41" s="22" customFormat="1" ht="21.95" customHeight="1" thickBot="1">
      <c r="A33" s="207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207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273"/>
      <c r="AO33" s="273"/>
    </row>
    <row r="34" spans="1:41" ht="21.95" customHeight="1" thickBot="1">
      <c r="A34" s="207"/>
      <c r="B34" s="207"/>
      <c r="C34" s="208"/>
      <c r="D34" s="208"/>
      <c r="E34" s="208"/>
      <c r="F34" s="208"/>
      <c r="G34" s="208"/>
      <c r="H34" s="208"/>
      <c r="I34" s="207"/>
      <c r="J34" s="207"/>
      <c r="K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7"/>
      <c r="AL34" s="207"/>
      <c r="AM34" s="207"/>
      <c r="AN34" s="249" t="s">
        <v>125</v>
      </c>
      <c r="AO34" s="250" t="s">
        <v>126</v>
      </c>
    </row>
    <row r="35" spans="1:41" ht="21.95" customHeight="1">
      <c r="A35" s="207"/>
      <c r="B35" s="393" t="s">
        <v>127</v>
      </c>
      <c r="C35" s="394"/>
      <c r="D35" s="395"/>
      <c r="E35" s="139"/>
      <c r="F35" s="139"/>
      <c r="G35" s="139"/>
      <c r="H35" s="141" t="s">
        <v>38</v>
      </c>
      <c r="I35" s="143">
        <v>6</v>
      </c>
      <c r="J35" s="143">
        <v>6</v>
      </c>
      <c r="K35" s="143">
        <v>6</v>
      </c>
      <c r="L35" s="143">
        <v>6</v>
      </c>
      <c r="M35" s="143">
        <v>6</v>
      </c>
      <c r="N35" s="143">
        <v>6</v>
      </c>
      <c r="O35" s="143">
        <v>6</v>
      </c>
      <c r="P35" s="143">
        <v>6</v>
      </c>
      <c r="Q35" s="143">
        <v>6</v>
      </c>
      <c r="R35" s="143">
        <v>6</v>
      </c>
      <c r="S35" s="143">
        <v>6</v>
      </c>
      <c r="T35" s="143">
        <v>6</v>
      </c>
      <c r="U35" s="143">
        <v>6</v>
      </c>
      <c r="V35" s="143">
        <v>6</v>
      </c>
      <c r="W35" s="143">
        <v>6</v>
      </c>
      <c r="X35" s="143">
        <v>6</v>
      </c>
      <c r="Y35" s="143">
        <v>6</v>
      </c>
      <c r="Z35" s="143">
        <v>6</v>
      </c>
      <c r="AA35" s="143">
        <v>6</v>
      </c>
      <c r="AB35" s="143">
        <v>6</v>
      </c>
      <c r="AC35" s="143">
        <v>6</v>
      </c>
      <c r="AD35" s="143">
        <v>6</v>
      </c>
      <c r="AE35" s="143">
        <v>6</v>
      </c>
      <c r="AF35" s="143">
        <v>6</v>
      </c>
      <c r="AG35" s="143">
        <v>6</v>
      </c>
      <c r="AH35" s="143">
        <v>6</v>
      </c>
      <c r="AI35" s="143">
        <v>6</v>
      </c>
      <c r="AJ35" s="143">
        <v>6</v>
      </c>
      <c r="AK35" s="143">
        <v>6</v>
      </c>
      <c r="AL35" s="143">
        <v>6</v>
      </c>
      <c r="AM35" s="143">
        <v>6</v>
      </c>
      <c r="AN35" s="141">
        <f t="shared" ref="AN35:AN40" si="46">SUM(I35:AM35)</f>
        <v>186</v>
      </c>
      <c r="AO35" s="141">
        <f t="shared" ref="AO35:AO40" si="47">AN35*8</f>
        <v>1488</v>
      </c>
    </row>
    <row r="36" spans="1:41" ht="21.95" customHeight="1">
      <c r="A36" s="207"/>
      <c r="B36" s="396" t="s">
        <v>128</v>
      </c>
      <c r="C36" s="397"/>
      <c r="D36" s="398"/>
      <c r="E36" s="147"/>
      <c r="F36" s="147"/>
      <c r="G36" s="147"/>
      <c r="H36" s="149"/>
      <c r="I36" s="151">
        <v>6</v>
      </c>
      <c r="J36" s="151">
        <v>6</v>
      </c>
      <c r="K36" s="151">
        <v>6</v>
      </c>
      <c r="L36" s="151">
        <v>6</v>
      </c>
      <c r="M36" s="151">
        <v>6</v>
      </c>
      <c r="N36" s="151">
        <v>6</v>
      </c>
      <c r="O36" s="151">
        <v>6</v>
      </c>
      <c r="P36" s="151">
        <v>6</v>
      </c>
      <c r="Q36" s="151">
        <v>6</v>
      </c>
      <c r="R36" s="151">
        <v>6</v>
      </c>
      <c r="S36" s="151">
        <v>6</v>
      </c>
      <c r="T36" s="151">
        <v>6</v>
      </c>
      <c r="U36" s="151">
        <v>6</v>
      </c>
      <c r="V36" s="151">
        <v>6</v>
      </c>
      <c r="W36" s="151">
        <v>6</v>
      </c>
      <c r="X36" s="151">
        <v>6</v>
      </c>
      <c r="Y36" s="151">
        <v>6</v>
      </c>
      <c r="Z36" s="375">
        <v>6</v>
      </c>
      <c r="AA36" s="151">
        <v>6</v>
      </c>
      <c r="AB36" s="151">
        <v>6</v>
      </c>
      <c r="AC36" s="151">
        <v>6</v>
      </c>
      <c r="AD36" s="151">
        <v>6</v>
      </c>
      <c r="AE36" s="151">
        <v>6</v>
      </c>
      <c r="AF36" s="151">
        <v>6</v>
      </c>
      <c r="AG36" s="151">
        <v>6</v>
      </c>
      <c r="AH36" s="151">
        <v>6</v>
      </c>
      <c r="AI36" s="151">
        <v>6</v>
      </c>
      <c r="AJ36" s="151">
        <v>6</v>
      </c>
      <c r="AK36" s="151">
        <v>6</v>
      </c>
      <c r="AL36" s="151">
        <v>6</v>
      </c>
      <c r="AM36" s="151">
        <v>6</v>
      </c>
      <c r="AN36" s="149">
        <f t="shared" si="46"/>
        <v>186</v>
      </c>
      <c r="AO36" s="149">
        <f t="shared" si="47"/>
        <v>1488</v>
      </c>
    </row>
    <row r="37" spans="1:41" ht="21.95" customHeight="1" thickBot="1">
      <c r="A37" s="207"/>
      <c r="B37" s="402" t="s">
        <v>129</v>
      </c>
      <c r="C37" s="403"/>
      <c r="D37" s="404"/>
      <c r="E37" s="155"/>
      <c r="F37" s="155"/>
      <c r="G37" s="155"/>
      <c r="H37" s="157"/>
      <c r="I37" s="159">
        <f>I35-I36</f>
        <v>0</v>
      </c>
      <c r="J37" s="159">
        <f t="shared" ref="J37" si="48">IF((J35-J36)&lt;0,J35-J36,0)</f>
        <v>0</v>
      </c>
      <c r="K37" s="159">
        <f t="shared" ref="K37" si="49">IF((K35-K36)&lt;0,K35-K36,0)</f>
        <v>0</v>
      </c>
      <c r="L37" s="159">
        <f t="shared" ref="L37" si="50">IF((L35-L36)&lt;0,L35-L36,0)</f>
        <v>0</v>
      </c>
      <c r="M37" s="159">
        <f t="shared" ref="M37" si="51">IF((M35-M36)&lt;0,M35-M36,0)</f>
        <v>0</v>
      </c>
      <c r="N37" s="159">
        <f t="shared" ref="N37" si="52">IF((N35-N36)&lt;0,N35-N36,0)</f>
        <v>0</v>
      </c>
      <c r="O37" s="159">
        <f t="shared" ref="O37" si="53">IF((O35-O36)&lt;0,O35-O36,0)</f>
        <v>0</v>
      </c>
      <c r="P37" s="159">
        <f t="shared" ref="P37" si="54">IF((P35-P36)&lt;0,P35-P36,0)</f>
        <v>0</v>
      </c>
      <c r="Q37" s="159">
        <f t="shared" ref="Q37" si="55">IF((Q35-Q36)&lt;0,Q35-Q36,0)</f>
        <v>0</v>
      </c>
      <c r="R37" s="159">
        <f t="shared" ref="R37" si="56">IF((R35-R36)&lt;0,R35-R36,0)</f>
        <v>0</v>
      </c>
      <c r="S37" s="159">
        <f t="shared" ref="S37" si="57">IF((S35-S36)&lt;0,S35-S36,0)</f>
        <v>0</v>
      </c>
      <c r="T37" s="159">
        <f t="shared" ref="T37" si="58">IF((T35-T36)&lt;0,T35-T36,0)</f>
        <v>0</v>
      </c>
      <c r="U37" s="159">
        <f t="shared" ref="U37" si="59">IF((U35-U36)&lt;0,U35-U36,0)</f>
        <v>0</v>
      </c>
      <c r="V37" s="159">
        <f t="shared" ref="V37" si="60">IF((V35-V36)&lt;0,V35-V36,0)</f>
        <v>0</v>
      </c>
      <c r="W37" s="159">
        <f t="shared" ref="W37" si="61">IF((W35-W36)&lt;0,W35-W36,0)</f>
        <v>0</v>
      </c>
      <c r="X37" s="159">
        <f t="shared" ref="X37" si="62">IF((X35-X36)&lt;0,X35-X36,0)</f>
        <v>0</v>
      </c>
      <c r="Y37" s="159">
        <f t="shared" ref="Y37" si="63">IF((Y35-Y36)&lt;0,Y35-Y36,0)</f>
        <v>0</v>
      </c>
      <c r="Z37" s="374">
        <f>IF((Z35-Z36)&lt;0,Z35-Z36,0)</f>
        <v>0</v>
      </c>
      <c r="AA37" s="159">
        <f t="shared" ref="AA37" si="64">IF((AA35-AA36)&lt;0,AA35-AA36,0)</f>
        <v>0</v>
      </c>
      <c r="AB37" s="159">
        <f t="shared" ref="AB37" si="65">IF((AB35-AB36)&lt;0,AB35-AB36,0)</f>
        <v>0</v>
      </c>
      <c r="AC37" s="159">
        <f t="shared" ref="AC37" si="66">IF((AC35-AC36)&lt;0,AC35-AC36,0)</f>
        <v>0</v>
      </c>
      <c r="AD37" s="159">
        <f t="shared" ref="AD37" si="67">IF((AD35-AD36)&lt;0,AD35-AD36,0)</f>
        <v>0</v>
      </c>
      <c r="AE37" s="159">
        <f t="shared" ref="AE37" si="68">IF((AE35-AE36)&lt;0,AE35-AE36,0)</f>
        <v>0</v>
      </c>
      <c r="AF37" s="159">
        <f t="shared" ref="AF37:AI37" si="69">IF((AF35-AF36)&lt;0,AF35-AF36,0)</f>
        <v>0</v>
      </c>
      <c r="AG37" s="159">
        <f t="shared" si="69"/>
        <v>0</v>
      </c>
      <c r="AH37" s="159">
        <f t="shared" si="69"/>
        <v>0</v>
      </c>
      <c r="AI37" s="159">
        <f t="shared" si="69"/>
        <v>0</v>
      </c>
      <c r="AJ37" s="159">
        <f t="shared" ref="AJ37" si="70">IF((AJ35-AJ36)&lt;0,AJ35-AJ36,0)</f>
        <v>0</v>
      </c>
      <c r="AK37" s="159">
        <f t="shared" ref="AK37" si="71">IF((AK35-AK36)&lt;0,AK35-AK36,0)</f>
        <v>0</v>
      </c>
      <c r="AL37" s="159">
        <f t="shared" ref="AL37" si="72">IF((AL35-AL36)&lt;0,AL35-AL36,0)</f>
        <v>0</v>
      </c>
      <c r="AM37" s="159">
        <f t="shared" ref="AM37" si="73">IF((AM35-AM36)&lt;0,AM35-AM36,0)</f>
        <v>0</v>
      </c>
      <c r="AN37" s="205">
        <f t="shared" si="46"/>
        <v>0</v>
      </c>
      <c r="AO37" s="205">
        <f t="shared" si="47"/>
        <v>0</v>
      </c>
    </row>
    <row r="38" spans="1:41" ht="21.95" customHeight="1">
      <c r="A38" s="207"/>
      <c r="B38" s="393" t="s">
        <v>130</v>
      </c>
      <c r="C38" s="394"/>
      <c r="D38" s="395"/>
      <c r="E38" s="139"/>
      <c r="F38" s="139"/>
      <c r="G38" s="139"/>
      <c r="H38" s="141" t="s">
        <v>39</v>
      </c>
      <c r="I38" s="274">
        <f t="shared" ref="I38:AM38" si="74">COUNT(I18:I31)-I35</f>
        <v>4</v>
      </c>
      <c r="J38" s="274">
        <f t="shared" si="74"/>
        <v>4</v>
      </c>
      <c r="K38" s="274">
        <f t="shared" si="74"/>
        <v>4</v>
      </c>
      <c r="L38" s="274">
        <f t="shared" si="74"/>
        <v>4</v>
      </c>
      <c r="M38" s="274">
        <f t="shared" si="74"/>
        <v>4</v>
      </c>
      <c r="N38" s="274">
        <f t="shared" si="74"/>
        <v>4</v>
      </c>
      <c r="O38" s="274">
        <f t="shared" si="74"/>
        <v>3</v>
      </c>
      <c r="P38" s="274">
        <f t="shared" si="74"/>
        <v>4</v>
      </c>
      <c r="Q38" s="274">
        <f t="shared" si="74"/>
        <v>4</v>
      </c>
      <c r="R38" s="274">
        <f t="shared" si="74"/>
        <v>4</v>
      </c>
      <c r="S38" s="274">
        <f t="shared" si="74"/>
        <v>4</v>
      </c>
      <c r="T38" s="274">
        <f t="shared" si="74"/>
        <v>4</v>
      </c>
      <c r="U38" s="274">
        <f t="shared" si="74"/>
        <v>4</v>
      </c>
      <c r="V38" s="274">
        <f t="shared" si="74"/>
        <v>2</v>
      </c>
      <c r="W38" s="274">
        <f t="shared" si="74"/>
        <v>2</v>
      </c>
      <c r="X38" s="274">
        <f t="shared" si="74"/>
        <v>3</v>
      </c>
      <c r="Y38" s="274">
        <f t="shared" si="74"/>
        <v>3</v>
      </c>
      <c r="Z38" s="373">
        <f t="shared" si="74"/>
        <v>4</v>
      </c>
      <c r="AA38" s="274">
        <f t="shared" si="74"/>
        <v>3</v>
      </c>
      <c r="AB38" s="274">
        <f t="shared" si="74"/>
        <v>3</v>
      </c>
      <c r="AC38" s="274">
        <f t="shared" si="74"/>
        <v>3</v>
      </c>
      <c r="AD38" s="274">
        <f t="shared" si="74"/>
        <v>4</v>
      </c>
      <c r="AE38" s="274">
        <f t="shared" si="74"/>
        <v>3</v>
      </c>
      <c r="AF38" s="274">
        <f t="shared" si="74"/>
        <v>4</v>
      </c>
      <c r="AG38" s="274">
        <f t="shared" ref="AG38:AI38" si="75">COUNT(AG18:AG31)-AG35</f>
        <v>3</v>
      </c>
      <c r="AH38" s="274">
        <f t="shared" si="75"/>
        <v>3</v>
      </c>
      <c r="AI38" s="274">
        <f t="shared" si="75"/>
        <v>3</v>
      </c>
      <c r="AJ38" s="274">
        <f t="shared" si="74"/>
        <v>3</v>
      </c>
      <c r="AK38" s="274">
        <f t="shared" si="74"/>
        <v>3</v>
      </c>
      <c r="AL38" s="274">
        <f t="shared" si="74"/>
        <v>3</v>
      </c>
      <c r="AM38" s="274">
        <f t="shared" si="74"/>
        <v>3</v>
      </c>
      <c r="AN38" s="141">
        <f t="shared" si="46"/>
        <v>106</v>
      </c>
      <c r="AO38" s="141">
        <f>AN38*8</f>
        <v>848</v>
      </c>
    </row>
    <row r="39" spans="1:41" ht="21.95" customHeight="1">
      <c r="A39" s="207"/>
      <c r="B39" s="396" t="s">
        <v>131</v>
      </c>
      <c r="C39" s="397"/>
      <c r="D39" s="398"/>
      <c r="E39" s="147"/>
      <c r="F39" s="147"/>
      <c r="G39" s="147"/>
      <c r="H39" s="149"/>
      <c r="I39" s="151">
        <v>4</v>
      </c>
      <c r="J39" s="151">
        <v>4</v>
      </c>
      <c r="K39" s="151">
        <v>4</v>
      </c>
      <c r="L39" s="151">
        <v>4</v>
      </c>
      <c r="M39" s="151">
        <v>4</v>
      </c>
      <c r="N39" s="151">
        <v>4</v>
      </c>
      <c r="O39" s="151">
        <v>4</v>
      </c>
      <c r="P39" s="151">
        <v>4</v>
      </c>
      <c r="Q39" s="151">
        <v>4</v>
      </c>
      <c r="R39" s="151">
        <v>4</v>
      </c>
      <c r="S39" s="151">
        <v>4</v>
      </c>
      <c r="T39" s="151">
        <v>4</v>
      </c>
      <c r="U39" s="151">
        <v>4</v>
      </c>
      <c r="V39" s="151">
        <v>4</v>
      </c>
      <c r="W39" s="151">
        <v>4</v>
      </c>
      <c r="X39" s="151">
        <v>4</v>
      </c>
      <c r="Y39" s="151">
        <v>4</v>
      </c>
      <c r="Z39" s="151">
        <v>4</v>
      </c>
      <c r="AA39" s="151">
        <v>4</v>
      </c>
      <c r="AB39" s="151">
        <v>4</v>
      </c>
      <c r="AC39" s="151">
        <v>4</v>
      </c>
      <c r="AD39" s="151">
        <v>4</v>
      </c>
      <c r="AE39" s="151">
        <v>4</v>
      </c>
      <c r="AF39" s="151">
        <v>4</v>
      </c>
      <c r="AG39" s="151">
        <v>4</v>
      </c>
      <c r="AH39" s="151">
        <v>4</v>
      </c>
      <c r="AI39" s="151">
        <v>4</v>
      </c>
      <c r="AJ39" s="151">
        <v>4</v>
      </c>
      <c r="AK39" s="151">
        <v>4</v>
      </c>
      <c r="AL39" s="151">
        <v>4</v>
      </c>
      <c r="AM39" s="151">
        <v>4</v>
      </c>
      <c r="AN39" s="149">
        <f t="shared" si="46"/>
        <v>124</v>
      </c>
      <c r="AO39" s="149">
        <f t="shared" si="47"/>
        <v>992</v>
      </c>
    </row>
    <row r="40" spans="1:41" ht="21.95" customHeight="1" thickBot="1">
      <c r="A40" s="207"/>
      <c r="B40" s="402" t="s">
        <v>132</v>
      </c>
      <c r="C40" s="403"/>
      <c r="D40" s="404"/>
      <c r="E40" s="155"/>
      <c r="F40" s="155"/>
      <c r="G40" s="155"/>
      <c r="H40" s="157"/>
      <c r="I40" s="159">
        <f>I38-I39</f>
        <v>0</v>
      </c>
      <c r="J40" s="159">
        <f t="shared" ref="J40:AM40" si="76">J38-J39</f>
        <v>0</v>
      </c>
      <c r="K40" s="159">
        <f t="shared" si="76"/>
        <v>0</v>
      </c>
      <c r="L40" s="159">
        <f t="shared" si="76"/>
        <v>0</v>
      </c>
      <c r="M40" s="159">
        <f t="shared" si="76"/>
        <v>0</v>
      </c>
      <c r="N40" s="159">
        <f t="shared" si="76"/>
        <v>0</v>
      </c>
      <c r="O40" s="159">
        <f t="shared" si="76"/>
        <v>-1</v>
      </c>
      <c r="P40" s="159">
        <f t="shared" si="76"/>
        <v>0</v>
      </c>
      <c r="Q40" s="159">
        <f t="shared" si="76"/>
        <v>0</v>
      </c>
      <c r="R40" s="159">
        <f t="shared" si="76"/>
        <v>0</v>
      </c>
      <c r="S40" s="159">
        <f t="shared" si="76"/>
        <v>0</v>
      </c>
      <c r="T40" s="159">
        <f t="shared" si="76"/>
        <v>0</v>
      </c>
      <c r="U40" s="159">
        <f t="shared" si="76"/>
        <v>0</v>
      </c>
      <c r="V40" s="159">
        <f t="shared" si="76"/>
        <v>-2</v>
      </c>
      <c r="W40" s="159">
        <f t="shared" si="76"/>
        <v>-2</v>
      </c>
      <c r="X40" s="159">
        <f t="shared" si="76"/>
        <v>-1</v>
      </c>
      <c r="Y40" s="159">
        <f t="shared" si="76"/>
        <v>-1</v>
      </c>
      <c r="Z40" s="374">
        <f t="shared" si="76"/>
        <v>0</v>
      </c>
      <c r="AA40" s="159">
        <f t="shared" si="76"/>
        <v>-1</v>
      </c>
      <c r="AB40" s="159">
        <f t="shared" si="76"/>
        <v>-1</v>
      </c>
      <c r="AC40" s="159">
        <f t="shared" si="76"/>
        <v>-1</v>
      </c>
      <c r="AD40" s="159">
        <f t="shared" si="76"/>
        <v>0</v>
      </c>
      <c r="AE40" s="159">
        <f t="shared" si="76"/>
        <v>-1</v>
      </c>
      <c r="AF40" s="159">
        <f t="shared" si="76"/>
        <v>0</v>
      </c>
      <c r="AG40" s="159">
        <f t="shared" ref="AG40:AI40" si="77">AG38-AG39</f>
        <v>-1</v>
      </c>
      <c r="AH40" s="159">
        <f t="shared" si="77"/>
        <v>-1</v>
      </c>
      <c r="AI40" s="159">
        <f t="shared" si="77"/>
        <v>-1</v>
      </c>
      <c r="AJ40" s="159">
        <f t="shared" si="76"/>
        <v>-1</v>
      </c>
      <c r="AK40" s="159">
        <f t="shared" si="76"/>
        <v>-1</v>
      </c>
      <c r="AL40" s="159">
        <f t="shared" si="76"/>
        <v>-1</v>
      </c>
      <c r="AM40" s="159">
        <f t="shared" si="76"/>
        <v>-1</v>
      </c>
      <c r="AN40" s="205">
        <f t="shared" si="46"/>
        <v>-18</v>
      </c>
      <c r="AO40" s="205">
        <f t="shared" si="47"/>
        <v>-144</v>
      </c>
    </row>
    <row r="41" spans="1:41" ht="21.95" customHeight="1">
      <c r="A41" s="207"/>
      <c r="B41" s="424" t="s">
        <v>133</v>
      </c>
      <c r="C41" s="409"/>
      <c r="D41" s="410"/>
      <c r="E41" s="195"/>
      <c r="F41" s="195"/>
      <c r="G41" s="195"/>
      <c r="H41" s="196"/>
      <c r="I41" s="318">
        <f t="shared" ref="I41:AM41" si="78">SUM(I14+I35+I38)</f>
        <v>12</v>
      </c>
      <c r="J41" s="275">
        <f t="shared" si="78"/>
        <v>12</v>
      </c>
      <c r="K41" s="275">
        <f t="shared" si="78"/>
        <v>12</v>
      </c>
      <c r="L41" s="275">
        <f t="shared" si="78"/>
        <v>12</v>
      </c>
      <c r="M41" s="275">
        <f t="shared" si="78"/>
        <v>12</v>
      </c>
      <c r="N41" s="275">
        <f t="shared" si="78"/>
        <v>12</v>
      </c>
      <c r="O41" s="275">
        <f t="shared" si="78"/>
        <v>11</v>
      </c>
      <c r="P41" s="275">
        <f t="shared" si="78"/>
        <v>12</v>
      </c>
      <c r="Q41" s="275">
        <f t="shared" si="78"/>
        <v>12</v>
      </c>
      <c r="R41" s="275">
        <f t="shared" si="78"/>
        <v>12</v>
      </c>
      <c r="S41" s="275">
        <f t="shared" si="78"/>
        <v>12</v>
      </c>
      <c r="T41" s="275">
        <f t="shared" si="78"/>
        <v>12</v>
      </c>
      <c r="U41" s="275">
        <f t="shared" si="78"/>
        <v>12</v>
      </c>
      <c r="V41" s="320">
        <f t="shared" si="78"/>
        <v>10</v>
      </c>
      <c r="W41" s="275">
        <f t="shared" si="78"/>
        <v>10</v>
      </c>
      <c r="X41" s="275">
        <f t="shared" si="78"/>
        <v>11</v>
      </c>
      <c r="Y41" s="275">
        <f t="shared" si="78"/>
        <v>11</v>
      </c>
      <c r="Z41" s="372">
        <f t="shared" si="78"/>
        <v>12</v>
      </c>
      <c r="AA41" s="275">
        <f t="shared" si="78"/>
        <v>11</v>
      </c>
      <c r="AB41" s="275">
        <f t="shared" si="78"/>
        <v>11</v>
      </c>
      <c r="AC41" s="275">
        <f t="shared" si="78"/>
        <v>11</v>
      </c>
      <c r="AD41" s="275">
        <f t="shared" si="78"/>
        <v>12</v>
      </c>
      <c r="AE41" s="275">
        <f t="shared" si="78"/>
        <v>11</v>
      </c>
      <c r="AF41" s="275">
        <f t="shared" si="78"/>
        <v>12</v>
      </c>
      <c r="AG41" s="275">
        <f t="shared" ref="AG41:AI41" si="79">SUM(AG14+AG35+AG38)</f>
        <v>11</v>
      </c>
      <c r="AH41" s="275">
        <f t="shared" si="79"/>
        <v>11</v>
      </c>
      <c r="AI41" s="275">
        <f t="shared" si="79"/>
        <v>11</v>
      </c>
      <c r="AJ41" s="275">
        <f t="shared" si="78"/>
        <v>11</v>
      </c>
      <c r="AK41" s="275">
        <f t="shared" si="78"/>
        <v>11</v>
      </c>
      <c r="AL41" s="275">
        <f t="shared" si="78"/>
        <v>11</v>
      </c>
      <c r="AM41" s="275">
        <f t="shared" si="78"/>
        <v>11</v>
      </c>
      <c r="AN41" s="196">
        <f>SUM(I41:AM41)</f>
        <v>354</v>
      </c>
      <c r="AO41" s="196">
        <f>SUM(AO14+AO35+AO38)</f>
        <v>2832</v>
      </c>
    </row>
    <row r="42" spans="1:41" ht="21.95" hidden="1" customHeight="1">
      <c r="A42" s="207"/>
      <c r="B42" s="425" t="s">
        <v>176</v>
      </c>
      <c r="C42" s="426"/>
      <c r="D42" s="427"/>
      <c r="E42" s="340"/>
      <c r="F42" s="340"/>
      <c r="G42" s="340"/>
      <c r="H42" s="341"/>
      <c r="I42" s="319">
        <f t="shared" ref="I42:AM42" si="80">I41-1</f>
        <v>11</v>
      </c>
      <c r="J42" s="198">
        <f t="shared" si="80"/>
        <v>11</v>
      </c>
      <c r="K42" s="198">
        <f t="shared" si="80"/>
        <v>11</v>
      </c>
      <c r="L42" s="198">
        <f t="shared" si="80"/>
        <v>11</v>
      </c>
      <c r="M42" s="198">
        <f t="shared" si="80"/>
        <v>11</v>
      </c>
      <c r="N42" s="198">
        <f t="shared" si="80"/>
        <v>11</v>
      </c>
      <c r="O42" s="198">
        <f t="shared" si="80"/>
        <v>10</v>
      </c>
      <c r="P42" s="198">
        <f t="shared" si="80"/>
        <v>11</v>
      </c>
      <c r="Q42" s="198">
        <f t="shared" si="80"/>
        <v>11</v>
      </c>
      <c r="R42" s="198">
        <f t="shared" si="80"/>
        <v>11</v>
      </c>
      <c r="S42" s="198">
        <f t="shared" si="80"/>
        <v>11</v>
      </c>
      <c r="T42" s="198">
        <f t="shared" si="80"/>
        <v>11</v>
      </c>
      <c r="U42" s="198">
        <f t="shared" si="80"/>
        <v>11</v>
      </c>
      <c r="V42" s="342">
        <f t="shared" si="80"/>
        <v>9</v>
      </c>
      <c r="W42" s="198">
        <f t="shared" si="80"/>
        <v>9</v>
      </c>
      <c r="X42" s="198">
        <f t="shared" si="80"/>
        <v>10</v>
      </c>
      <c r="Y42" s="198">
        <f t="shared" si="80"/>
        <v>10</v>
      </c>
      <c r="Z42" s="371">
        <f>Z41-1</f>
        <v>11</v>
      </c>
      <c r="AA42" s="198">
        <f t="shared" si="80"/>
        <v>10</v>
      </c>
      <c r="AB42" s="198">
        <f t="shared" si="80"/>
        <v>10</v>
      </c>
      <c r="AC42" s="198">
        <f t="shared" si="80"/>
        <v>10</v>
      </c>
      <c r="AD42" s="198">
        <f t="shared" si="80"/>
        <v>11</v>
      </c>
      <c r="AE42" s="198">
        <f t="shared" si="80"/>
        <v>10</v>
      </c>
      <c r="AF42" s="198">
        <f t="shared" si="80"/>
        <v>11</v>
      </c>
      <c r="AG42" s="198">
        <f t="shared" ref="AG42:AI42" si="81">AG41-1</f>
        <v>10</v>
      </c>
      <c r="AH42" s="198">
        <f t="shared" si="81"/>
        <v>10</v>
      </c>
      <c r="AI42" s="198">
        <f t="shared" si="81"/>
        <v>10</v>
      </c>
      <c r="AJ42" s="198">
        <f t="shared" si="80"/>
        <v>10</v>
      </c>
      <c r="AK42" s="198">
        <f t="shared" si="80"/>
        <v>10</v>
      </c>
      <c r="AL42" s="198">
        <f t="shared" si="80"/>
        <v>10</v>
      </c>
      <c r="AM42" s="198">
        <f t="shared" si="80"/>
        <v>10</v>
      </c>
      <c r="AN42" s="341"/>
      <c r="AO42" s="341"/>
    </row>
    <row r="43" spans="1:41" ht="21.95" customHeight="1">
      <c r="A43" s="207"/>
      <c r="B43" s="396" t="s">
        <v>134</v>
      </c>
      <c r="C43" s="397"/>
      <c r="D43" s="398"/>
      <c r="E43" s="147"/>
      <c r="F43" s="147"/>
      <c r="G43" s="147"/>
      <c r="H43" s="149"/>
      <c r="I43" s="151">
        <f t="shared" ref="I43:AM43" si="82">SUM(I15+I36+I39)</f>
        <v>12</v>
      </c>
      <c r="J43" s="151">
        <f t="shared" si="82"/>
        <v>12</v>
      </c>
      <c r="K43" s="151">
        <f t="shared" si="82"/>
        <v>12</v>
      </c>
      <c r="L43" s="151">
        <f t="shared" si="82"/>
        <v>12</v>
      </c>
      <c r="M43" s="151">
        <f t="shared" si="82"/>
        <v>12</v>
      </c>
      <c r="N43" s="151">
        <f t="shared" si="82"/>
        <v>12</v>
      </c>
      <c r="O43" s="151">
        <f t="shared" si="82"/>
        <v>12</v>
      </c>
      <c r="P43" s="151">
        <f t="shared" si="82"/>
        <v>12</v>
      </c>
      <c r="Q43" s="151">
        <f t="shared" si="82"/>
        <v>12</v>
      </c>
      <c r="R43" s="151">
        <f t="shared" si="82"/>
        <v>12</v>
      </c>
      <c r="S43" s="151">
        <f t="shared" si="82"/>
        <v>12</v>
      </c>
      <c r="T43" s="151">
        <f t="shared" si="82"/>
        <v>12</v>
      </c>
      <c r="U43" s="151">
        <f t="shared" si="82"/>
        <v>12</v>
      </c>
      <c r="V43" s="151">
        <f t="shared" si="82"/>
        <v>12</v>
      </c>
      <c r="W43" s="151">
        <f t="shared" si="82"/>
        <v>12</v>
      </c>
      <c r="X43" s="151">
        <f t="shared" si="82"/>
        <v>12</v>
      </c>
      <c r="Y43" s="151">
        <f t="shared" si="82"/>
        <v>12</v>
      </c>
      <c r="Z43" s="375">
        <f t="shared" si="82"/>
        <v>12</v>
      </c>
      <c r="AA43" s="151">
        <f t="shared" si="82"/>
        <v>12</v>
      </c>
      <c r="AB43" s="151">
        <f t="shared" si="82"/>
        <v>12</v>
      </c>
      <c r="AC43" s="151">
        <f t="shared" si="82"/>
        <v>12</v>
      </c>
      <c r="AD43" s="151">
        <f t="shared" si="82"/>
        <v>12</v>
      </c>
      <c r="AE43" s="151">
        <f t="shared" si="82"/>
        <v>12</v>
      </c>
      <c r="AF43" s="151">
        <f t="shared" si="82"/>
        <v>12</v>
      </c>
      <c r="AG43" s="151">
        <f t="shared" ref="AG43:AI43" si="83">SUM(AG15+AG36+AG39)</f>
        <v>12</v>
      </c>
      <c r="AH43" s="151">
        <f t="shared" si="83"/>
        <v>12</v>
      </c>
      <c r="AI43" s="151">
        <f t="shared" si="83"/>
        <v>12</v>
      </c>
      <c r="AJ43" s="151">
        <f t="shared" si="82"/>
        <v>12</v>
      </c>
      <c r="AK43" s="151">
        <f t="shared" si="82"/>
        <v>12</v>
      </c>
      <c r="AL43" s="151">
        <f t="shared" si="82"/>
        <v>12</v>
      </c>
      <c r="AM43" s="151">
        <f t="shared" si="82"/>
        <v>12</v>
      </c>
      <c r="AN43" s="149">
        <f>SUM(I43:AM43)</f>
        <v>372</v>
      </c>
      <c r="AO43" s="149">
        <f>SUM(AO15+AO36+AO39)</f>
        <v>2976</v>
      </c>
    </row>
    <row r="44" spans="1:41" ht="21.95" customHeight="1" thickBot="1">
      <c r="A44" s="207"/>
      <c r="B44" s="405" t="s">
        <v>135</v>
      </c>
      <c r="C44" s="406"/>
      <c r="D44" s="407"/>
      <c r="E44" s="200"/>
      <c r="F44" s="200"/>
      <c r="G44" s="200"/>
      <c r="H44" s="201"/>
      <c r="I44" s="202">
        <f>I41-I43</f>
        <v>0</v>
      </c>
      <c r="J44" s="203">
        <f t="shared" ref="J44:AM44" si="84">J41-J43</f>
        <v>0</v>
      </c>
      <c r="K44" s="203">
        <f t="shared" si="84"/>
        <v>0</v>
      </c>
      <c r="L44" s="203">
        <f t="shared" si="84"/>
        <v>0</v>
      </c>
      <c r="M44" s="203">
        <f t="shared" si="84"/>
        <v>0</v>
      </c>
      <c r="N44" s="203">
        <f t="shared" si="84"/>
        <v>0</v>
      </c>
      <c r="O44" s="203">
        <f t="shared" si="84"/>
        <v>-1</v>
      </c>
      <c r="P44" s="203">
        <f t="shared" si="84"/>
        <v>0</v>
      </c>
      <c r="Q44" s="203">
        <f t="shared" si="84"/>
        <v>0</v>
      </c>
      <c r="R44" s="203">
        <f t="shared" si="84"/>
        <v>0</v>
      </c>
      <c r="S44" s="203">
        <f t="shared" si="84"/>
        <v>0</v>
      </c>
      <c r="T44" s="203">
        <f t="shared" si="84"/>
        <v>0</v>
      </c>
      <c r="U44" s="203">
        <f t="shared" si="84"/>
        <v>0</v>
      </c>
      <c r="V44" s="203">
        <f t="shared" si="84"/>
        <v>-2</v>
      </c>
      <c r="W44" s="203">
        <f t="shared" si="84"/>
        <v>-2</v>
      </c>
      <c r="X44" s="203">
        <f t="shared" si="84"/>
        <v>-1</v>
      </c>
      <c r="Y44" s="203">
        <f t="shared" si="84"/>
        <v>-1</v>
      </c>
      <c r="Z44" s="370">
        <f t="shared" si="84"/>
        <v>0</v>
      </c>
      <c r="AA44" s="203">
        <f t="shared" si="84"/>
        <v>-1</v>
      </c>
      <c r="AB44" s="203">
        <f t="shared" si="84"/>
        <v>-1</v>
      </c>
      <c r="AC44" s="203">
        <f t="shared" si="84"/>
        <v>-1</v>
      </c>
      <c r="AD44" s="203">
        <f t="shared" si="84"/>
        <v>0</v>
      </c>
      <c r="AE44" s="203">
        <f t="shared" si="84"/>
        <v>-1</v>
      </c>
      <c r="AF44" s="203">
        <f t="shared" si="84"/>
        <v>0</v>
      </c>
      <c r="AG44" s="203">
        <f t="shared" ref="AG44:AI44" si="85">AG41-AG43</f>
        <v>-1</v>
      </c>
      <c r="AH44" s="203">
        <f t="shared" si="85"/>
        <v>-1</v>
      </c>
      <c r="AI44" s="203">
        <f t="shared" si="85"/>
        <v>-1</v>
      </c>
      <c r="AJ44" s="203">
        <f t="shared" si="84"/>
        <v>-1</v>
      </c>
      <c r="AK44" s="203">
        <f t="shared" si="84"/>
        <v>-1</v>
      </c>
      <c r="AL44" s="203">
        <f t="shared" si="84"/>
        <v>-1</v>
      </c>
      <c r="AM44" s="203">
        <f t="shared" si="84"/>
        <v>-1</v>
      </c>
      <c r="AN44" s="206">
        <f>SUM(I44:AM44)</f>
        <v>-18</v>
      </c>
      <c r="AO44" s="206">
        <f>AN44*8</f>
        <v>-144</v>
      </c>
    </row>
    <row r="45" spans="1:41" ht="21.95" customHeight="1">
      <c r="A45" s="207"/>
      <c r="B45" s="207"/>
      <c r="C45" s="208"/>
      <c r="D45" s="208"/>
      <c r="E45" s="208"/>
      <c r="F45" s="208"/>
      <c r="G45" s="208"/>
      <c r="H45" s="208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Y45" s="207"/>
      <c r="Z45" s="207"/>
      <c r="AA45" s="207"/>
      <c r="AB45" s="207"/>
      <c r="AC45" s="207"/>
      <c r="AD45" s="207"/>
      <c r="AE45" s="207"/>
      <c r="AF45" s="207"/>
      <c r="AG45" s="207"/>
      <c r="AH45" s="207"/>
      <c r="AI45" s="207"/>
      <c r="AJ45" s="207"/>
      <c r="AK45" s="207"/>
      <c r="AL45" s="207"/>
      <c r="AM45" s="207"/>
      <c r="AN45" s="208"/>
      <c r="AO45" s="208"/>
    </row>
    <row r="46" spans="1:41" ht="22.5" customHeight="1">
      <c r="B46" s="207"/>
      <c r="C46" s="208"/>
      <c r="D46" s="208"/>
      <c r="E46" s="208"/>
      <c r="F46" s="208"/>
      <c r="G46" s="208"/>
      <c r="H46" s="209" t="s">
        <v>136</v>
      </c>
      <c r="I46" s="210" t="s">
        <v>40</v>
      </c>
      <c r="J46" s="211"/>
      <c r="K46" s="211"/>
      <c r="L46" s="211"/>
      <c r="M46" s="211"/>
      <c r="N46" s="211"/>
      <c r="O46" s="211"/>
      <c r="P46" s="211"/>
      <c r="Q46" s="211"/>
      <c r="R46" s="90"/>
      <c r="S46" s="90"/>
      <c r="T46" s="90"/>
      <c r="U46" s="90"/>
      <c r="V46" s="90"/>
      <c r="W46" s="90"/>
      <c r="X46" s="90"/>
      <c r="Y46" s="90"/>
      <c r="Z46" s="208"/>
      <c r="AA46" s="419" t="s">
        <v>80</v>
      </c>
      <c r="AB46" s="420"/>
      <c r="AC46" s="212" t="s">
        <v>41</v>
      </c>
      <c r="AD46" s="213" t="s">
        <v>8</v>
      </c>
      <c r="AE46" s="214" t="s">
        <v>5</v>
      </c>
      <c r="AF46" s="215" t="s">
        <v>6</v>
      </c>
      <c r="AG46" s="366" t="s">
        <v>42</v>
      </c>
      <c r="AH46" s="367" t="s">
        <v>178</v>
      </c>
      <c r="AI46" s="208"/>
      <c r="AJ46" s="208"/>
      <c r="AK46" s="207"/>
      <c r="AL46" s="207"/>
      <c r="AM46" s="13"/>
      <c r="AN46" s="13"/>
      <c r="AO46" s="13"/>
    </row>
    <row r="47" spans="1:41" ht="21.95" customHeight="1">
      <c r="B47" s="207"/>
      <c r="C47" s="208"/>
      <c r="D47" s="208"/>
      <c r="E47" s="208"/>
      <c r="F47" s="208"/>
      <c r="G47" s="208"/>
      <c r="H47" s="91"/>
      <c r="I47" t="s">
        <v>179</v>
      </c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208"/>
      <c r="AA47" s="208"/>
      <c r="AB47" s="208"/>
      <c r="AC47" s="208"/>
      <c r="AD47" s="208"/>
      <c r="AE47" s="208"/>
      <c r="AF47" s="208"/>
      <c r="AG47" s="208"/>
      <c r="AH47" s="208"/>
      <c r="AI47" s="208"/>
      <c r="AJ47" s="208"/>
      <c r="AK47" s="208"/>
      <c r="AL47" s="208"/>
      <c r="AM47" s="208"/>
      <c r="AN47" s="208"/>
      <c r="AO47" s="208"/>
    </row>
    <row r="48" spans="1:41" ht="21.95" customHeight="1">
      <c r="B48" s="48"/>
      <c r="C48" s="49"/>
      <c r="D48" s="50"/>
    </row>
    <row r="49" spans="2:41" s="12" customFormat="1" ht="21.95" customHeight="1">
      <c r="B49" s="48"/>
      <c r="C49" s="421"/>
      <c r="D49" s="421"/>
      <c r="E49" s="32"/>
      <c r="F49" s="51"/>
      <c r="G49" s="51"/>
      <c r="H49" s="52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9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7"/>
      <c r="AL49" s="31"/>
      <c r="AM49" s="32"/>
      <c r="AN49" s="32"/>
      <c r="AO49" s="32"/>
    </row>
    <row r="50" spans="2:41" s="12" customFormat="1" ht="21.95" customHeight="1">
      <c r="B50" s="31"/>
      <c r="C50" s="32"/>
      <c r="D50" s="32"/>
      <c r="E50" s="32"/>
      <c r="F50" s="51"/>
      <c r="G50" s="51"/>
      <c r="H50" s="32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9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</row>
    <row r="51" spans="2:41" s="12" customFormat="1" ht="21.95" customHeight="1">
      <c r="B51" s="31"/>
      <c r="C51" s="32"/>
      <c r="D51" s="31"/>
      <c r="E51" s="32"/>
      <c r="F51" s="32"/>
      <c r="G51" s="32"/>
      <c r="H51" s="32"/>
      <c r="I51" s="32"/>
      <c r="J51" s="32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9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2"/>
      <c r="AO51" s="32"/>
    </row>
    <row r="52" spans="2:41" s="12" customFormat="1" ht="21.95" customHeight="1">
      <c r="B52" s="31"/>
      <c r="C52" s="32"/>
      <c r="D52" s="31"/>
      <c r="E52" s="32"/>
      <c r="F52" s="32"/>
      <c r="G52" s="32"/>
      <c r="H52" s="32"/>
      <c r="I52" s="31"/>
      <c r="J52" s="31"/>
      <c r="K52" s="31"/>
      <c r="L52" s="31"/>
      <c r="M52" s="31" t="s">
        <v>30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2"/>
      <c r="AO52" s="32"/>
    </row>
    <row r="53" spans="2:41" ht="21.95" customHeight="1">
      <c r="AK53" s="37"/>
      <c r="AM53" s="40"/>
    </row>
    <row r="54" spans="2:41" ht="21.95" customHeight="1">
      <c r="AN54" s="39"/>
      <c r="AO54" s="39"/>
    </row>
    <row r="55" spans="2:41" ht="21.95" customHeight="1"/>
    <row r="56" spans="2:41" ht="21.95" customHeight="1"/>
    <row r="57" spans="2:41" ht="21.95" customHeight="1">
      <c r="AK57" s="37"/>
      <c r="AL57" s="41"/>
      <c r="AM57" s="40"/>
    </row>
    <row r="58" spans="2:41" ht="21.95" customHeight="1"/>
    <row r="59" spans="2:41" ht="21.95" customHeight="1">
      <c r="Z59" s="39" t="s">
        <v>57</v>
      </c>
      <c r="AA59" s="39" t="s">
        <v>57</v>
      </c>
    </row>
    <row r="60" spans="2:41" ht="21.95" customHeight="1"/>
    <row r="61" spans="2:41" ht="21.95" customHeight="1"/>
    <row r="62" spans="2:41" ht="21.95" customHeight="1"/>
    <row r="63" spans="2:41" ht="21.95" customHeight="1"/>
    <row r="64" spans="2:41" ht="21.95" customHeight="1"/>
    <row r="65" ht="21.95" customHeight="1"/>
    <row r="66" ht="21.95" customHeight="1"/>
    <row r="67" ht="21.95" customHeight="1"/>
    <row r="68" ht="21.95" customHeight="1"/>
    <row r="69" ht="21.95" customHeight="1"/>
    <row r="70" ht="21.95" customHeight="1"/>
    <row r="71" ht="21.95" customHeight="1"/>
    <row r="72" ht="21.95" customHeight="1"/>
    <row r="73" ht="21.95" customHeight="1"/>
    <row r="74" ht="21.95" customHeight="1"/>
    <row r="75" ht="21.95" customHeight="1"/>
    <row r="76" ht="21.95" customHeight="1"/>
    <row r="77" ht="21.95" customHeight="1"/>
    <row r="78" ht="21.95" customHeight="1"/>
    <row r="79" ht="21.95" customHeight="1"/>
  </sheetData>
  <autoFilter ref="D7:D32" xr:uid="{ACA952C5-4D3C-4080-B462-D8F4A90EF51C}"/>
  <mergeCells count="21">
    <mergeCell ref="B3:AO3"/>
    <mergeCell ref="B2:AO2"/>
    <mergeCell ref="B1:AO1"/>
    <mergeCell ref="N4:Y4"/>
    <mergeCell ref="BC6:BC7"/>
    <mergeCell ref="AO6:AO7"/>
    <mergeCell ref="AN6:AN7"/>
    <mergeCell ref="AA46:AB46"/>
    <mergeCell ref="B35:D35"/>
    <mergeCell ref="B44:D44"/>
    <mergeCell ref="C49:D49"/>
    <mergeCell ref="B32:C32"/>
    <mergeCell ref="D32:H32"/>
    <mergeCell ref="B36:D36"/>
    <mergeCell ref="B37:D37"/>
    <mergeCell ref="B38:D38"/>
    <mergeCell ref="B43:D43"/>
    <mergeCell ref="B39:D39"/>
    <mergeCell ref="B40:D40"/>
    <mergeCell ref="B41:D41"/>
    <mergeCell ref="B42:D42"/>
  </mergeCells>
  <phoneticPr fontId="1" type="noConversion"/>
  <conditionalFormatting sqref="A10:AF13 E29:AF29 A15:AF28 A5:AM5 A8:D9 A14:G14 I14:AF14 D28:D29 A29:C29 A34:K34 M34:AF34 A35:G35 I35:AF35 A36:AF41 A42:B42 E42:AF42 A43:AF43 A6:H7 AJ34:AM43 AJ10:AM29">
    <cfRule type="cellIs" dxfId="766" priority="412" operator="equal">
      <formula>"GS"</formula>
    </cfRule>
  </conditionalFormatting>
  <conditionalFormatting sqref="A10:AF13 E29:AF29 A15:AF28 A5:AM5 A8:D9 I8:AF9 A14:G14 I14:AF14 D28:D29 A29:C29 A34:K34 M34:AF34 A35:G35 I35:AF35 A36:AF41 A42:B42 E42:AF42 A43:AF43 A6:H7 AJ34:AM43 AJ8:AM29">
    <cfRule type="cellIs" dxfId="765" priority="413" operator="equal">
      <formula>"SG"</formula>
    </cfRule>
  </conditionalFormatting>
  <conditionalFormatting sqref="A30:AF33 AJ30:AM33">
    <cfRule type="cellIs" dxfId="764" priority="150" operator="equal">
      <formula>"GS"</formula>
    </cfRule>
    <cfRule type="cellIs" dxfId="763" priority="151" operator="equal">
      <formula>"SG"</formula>
    </cfRule>
  </conditionalFormatting>
  <conditionalFormatting sqref="B1:B2">
    <cfRule type="cellIs" dxfId="762" priority="243" operator="equal">
      <formula>"NC"</formula>
    </cfRule>
    <cfRule type="cellIs" dxfId="761" priority="244" operator="equal">
      <formula>"R"</formula>
    </cfRule>
    <cfRule type="cellIs" dxfId="760" priority="245" stopIfTrue="1" operator="equal">
      <formula>"RD"</formula>
    </cfRule>
    <cfRule type="cellIs" dxfId="759" priority="711" operator="equal">
      <formula>"NP"</formula>
    </cfRule>
    <cfRule type="cellIs" dxfId="758" priority="712" operator="equal">
      <formula>"NC"</formula>
    </cfRule>
    <cfRule type="cellIs" dxfId="757" priority="716" stopIfTrue="1" operator="equal">
      <formula>"NP"</formula>
    </cfRule>
  </conditionalFormatting>
  <conditionalFormatting sqref="C4">
    <cfRule type="cellIs" dxfId="756" priority="706" operator="equal">
      <formula>"NC"</formula>
    </cfRule>
    <cfRule type="cellIs" dxfId="755" priority="707" stopIfTrue="1" operator="equal">
      <formula>"NP"</formula>
    </cfRule>
    <cfRule type="cellIs" dxfId="754" priority="708" stopIfTrue="1" operator="equal">
      <formula>"RD"</formula>
    </cfRule>
    <cfRule type="cellIs" dxfId="753" priority="709" operator="equal">
      <formula>"NC"</formula>
    </cfRule>
    <cfRule type="cellIs" dxfId="752" priority="710" operator="equal">
      <formula>"R"</formula>
    </cfRule>
  </conditionalFormatting>
  <conditionalFormatting sqref="I19 K19:L19 N19:X19 Z19:AF19 AK19:AM19 I20:O20 Q20:Z20 AB20:AE20 AJ20:AM20 I21:J21 L21:Q21 S21:Y21 AK21:AM21 I22:T22 V22:Y22 AA21:AF22 AM22:AM23 I23:X23 Z23:AC23 AE23:AF23 J24:AC24 AF24 I25:M25 O25:AF25 AL25:AM25 I26:N26 P26:AA26 AD26:AF27 I27:P27 R27:AB27 I28:L28 N28:U28 X28:AE28 I29:AD29 AF29 AJ29:AL29 AJ26:AM28 AJ25 AJ24:AM24 AJ23 AJ22:AK22">
    <cfRule type="containsText" dxfId="751" priority="664" operator="containsText" text="SL">
      <formula>NOT(ISERROR(SEARCH("SL",I19)))</formula>
    </cfRule>
    <cfRule type="containsText" dxfId="750" priority="665" operator="containsText" text="NP">
      <formula>NOT(ISERROR(SEARCH("NP",I19)))</formula>
    </cfRule>
    <cfRule type="containsText" dxfId="749" priority="666" operator="containsText" text="SH">
      <formula>NOT(ISERROR(SEARCH("SH",I19)))</formula>
    </cfRule>
    <cfRule type="containsText" dxfId="748" priority="667" operator="containsText" text="RD">
      <formula>NOT(ISERROR(SEARCH("RD",I19)))</formula>
    </cfRule>
  </conditionalFormatting>
  <conditionalFormatting sqref="I24">
    <cfRule type="containsText" dxfId="747" priority="638" operator="containsText" text="AL">
      <formula>NOT(ISERROR(SEARCH("AL",I24)))</formula>
    </cfRule>
    <cfRule type="containsText" dxfId="746" priority="639" operator="containsText" text="SL">
      <formula>NOT(ISERROR(SEARCH("SL",I24)))</formula>
    </cfRule>
    <cfRule type="containsText" dxfId="745" priority="640" operator="containsText" text="NP">
      <formula>NOT(ISERROR(SEARCH("NP",I24)))</formula>
    </cfRule>
    <cfRule type="containsText" dxfId="744" priority="641" operator="containsText" text="SH">
      <formula>NOT(ISERROR(SEARCH("SH",I24)))</formula>
    </cfRule>
    <cfRule type="containsText" dxfId="743" priority="642" operator="containsText" text="RD">
      <formula>NOT(ISERROR(SEARCH("RD",I24)))</formula>
    </cfRule>
  </conditionalFormatting>
  <conditionalFormatting sqref="I10:L10">
    <cfRule type="cellIs" dxfId="742" priority="419" operator="equal">
      <formula>"CL"</formula>
    </cfRule>
    <cfRule type="containsText" dxfId="741" priority="421" operator="containsText" text="EC">
      <formula>NOT(ISERROR(SEARCH("EC",I10)))</formula>
    </cfRule>
    <cfRule type="containsText" dxfId="740" priority="422" operator="containsText" text="OTE">
      <formula>NOT(ISERROR(SEARCH("OTE",I10)))</formula>
    </cfRule>
  </conditionalFormatting>
  <conditionalFormatting sqref="I19:L19 I11:AF18 AJ11:AM18">
    <cfRule type="cellIs" dxfId="739" priority="657" operator="equal">
      <formula>"CL"</formula>
    </cfRule>
  </conditionalFormatting>
  <conditionalFormatting sqref="I19:L19">
    <cfRule type="cellIs" dxfId="738" priority="658" operator="equal">
      <formula>"NC"</formula>
    </cfRule>
  </conditionalFormatting>
  <conditionalFormatting sqref="I21:Q21">
    <cfRule type="cellIs" dxfId="737" priority="650" operator="equal">
      <formula>"CL"</formula>
    </cfRule>
    <cfRule type="cellIs" dxfId="736" priority="651" operator="equal">
      <formula>"NC"</formula>
    </cfRule>
  </conditionalFormatting>
  <conditionalFormatting sqref="I28:U28">
    <cfRule type="cellIs" dxfId="735" priority="622" operator="equal">
      <formula>"CL"</formula>
    </cfRule>
    <cfRule type="cellIs" dxfId="734" priority="623" operator="equal">
      <formula>"NC"</formula>
    </cfRule>
  </conditionalFormatting>
  <conditionalFormatting sqref="I29:W29">
    <cfRule type="containsText" dxfId="733" priority="280" operator="containsText" text="AL">
      <formula>NOT(ISERROR(SEARCH("AL",I29)))</formula>
    </cfRule>
    <cfRule type="containsText" dxfId="732" priority="281" operator="containsText" text="SL">
      <formula>NOT(ISERROR(SEARCH("SL",I29)))</formula>
    </cfRule>
    <cfRule type="containsText" dxfId="731" priority="282" operator="containsText" text="NP">
      <formula>NOT(ISERROR(SEARCH("NP",I29)))</formula>
    </cfRule>
    <cfRule type="containsText" dxfId="730" priority="283" operator="containsText" text="SH">
      <formula>NOT(ISERROR(SEARCH("SH",I29)))</formula>
    </cfRule>
    <cfRule type="containsText" dxfId="729" priority="284" operator="containsText" text="RD">
      <formula>NOT(ISERROR(SEARCH("RD",I29)))</formula>
    </cfRule>
    <cfRule type="cellIs" dxfId="728" priority="285" operator="equal">
      <formula>"CL"</formula>
    </cfRule>
    <cfRule type="cellIs" dxfId="727" priority="286" operator="equal">
      <formula>"NC"</formula>
    </cfRule>
  </conditionalFormatting>
  <conditionalFormatting sqref="I22:Y22">
    <cfRule type="cellIs" dxfId="726" priority="601" operator="equal">
      <formula>"CL"</formula>
    </cfRule>
    <cfRule type="cellIs" dxfId="725" priority="602" operator="equal">
      <formula>"NC"</formula>
    </cfRule>
  </conditionalFormatting>
  <conditionalFormatting sqref="I20:Z20">
    <cfRule type="cellIs" dxfId="724" priority="608" operator="equal">
      <formula>"CL"</formula>
    </cfRule>
    <cfRule type="cellIs" dxfId="723" priority="609" operator="equal">
      <formula>"NC"</formula>
    </cfRule>
  </conditionalFormatting>
  <conditionalFormatting sqref="I26:AA26">
    <cfRule type="cellIs" dxfId="722" priority="629" operator="equal">
      <formula>"CL"</formula>
    </cfRule>
    <cfRule type="cellIs" dxfId="721" priority="630" operator="equal">
      <formula>"NC"</formula>
    </cfRule>
  </conditionalFormatting>
  <conditionalFormatting sqref="I27:AB27">
    <cfRule type="cellIs" dxfId="720" priority="615" operator="equal">
      <formula>"CL"</formula>
    </cfRule>
    <cfRule type="cellIs" dxfId="719" priority="616" operator="equal">
      <formula>"NC"</formula>
    </cfRule>
  </conditionalFormatting>
  <conditionalFormatting sqref="I23:AC23">
    <cfRule type="cellIs" dxfId="718" priority="594" operator="equal">
      <formula>"CL"</formula>
    </cfRule>
    <cfRule type="cellIs" dxfId="717" priority="595" operator="equal">
      <formula>"NC"</formula>
    </cfRule>
  </conditionalFormatting>
  <conditionalFormatting sqref="I24:AC24">
    <cfRule type="cellIs" dxfId="716" priority="643" operator="equal">
      <formula>"CL"</formula>
    </cfRule>
    <cfRule type="cellIs" dxfId="715" priority="644" operator="equal">
      <formula>"NC"</formula>
    </cfRule>
  </conditionalFormatting>
  <conditionalFormatting sqref="I25:AF25 AJ25">
    <cfRule type="cellIs" dxfId="714" priority="636" operator="equal">
      <formula>"CL"</formula>
    </cfRule>
    <cfRule type="cellIs" dxfId="713" priority="637" operator="equal">
      <formula>"NC"</formula>
    </cfRule>
  </conditionalFormatting>
  <conditionalFormatting sqref="I29:AF29 AJ29:AL29">
    <cfRule type="cellIs" dxfId="712" priority="496" operator="equal">
      <formula>"CL"</formula>
    </cfRule>
    <cfRule type="cellIs" dxfId="711" priority="497" operator="equal">
      <formula>"NC"</formula>
    </cfRule>
  </conditionalFormatting>
  <conditionalFormatting sqref="I7:AF7 AG6:AM7">
    <cfRule type="expression" dxfId="710" priority="1077">
      <formula>(WEEKDAY($I1048525,5)&gt;1)</formula>
    </cfRule>
    <cfRule type="expression" dxfId="709" priority="1078">
      <formula>LEFT(#REF!,1)="H"</formula>
    </cfRule>
    <cfRule type="expression" dxfId="708" priority="1079">
      <formula>WEEKDAY(I$6,2)&gt;6</formula>
    </cfRule>
  </conditionalFormatting>
  <conditionalFormatting sqref="I8:AF9 J10:AF10 AJ8:AM10">
    <cfRule type="cellIs" dxfId="707" priority="673" operator="equal">
      <formula>"CL"</formula>
    </cfRule>
    <cfRule type="cellIs" dxfId="706" priority="674" operator="equal">
      <formula>"NC"</formula>
    </cfRule>
  </conditionalFormatting>
  <conditionalFormatting sqref="I8:AF9 AJ8:AM9">
    <cfRule type="cellIs" dxfId="705" priority="405" operator="equal">
      <formula>"GS"</formula>
    </cfRule>
  </conditionalFormatting>
  <conditionalFormatting sqref="I8:AF10 AJ8:AM10">
    <cfRule type="containsText" dxfId="704" priority="423" operator="containsText" text="AL">
      <formula>NOT(ISERROR(SEARCH("AL",I8)))</formula>
    </cfRule>
    <cfRule type="containsText" dxfId="703" priority="424" operator="containsText" text="SL">
      <formula>NOT(ISERROR(SEARCH("SL",I8)))</formula>
    </cfRule>
    <cfRule type="containsText" dxfId="702" priority="425" operator="containsText" text="NP">
      <formula>NOT(ISERROR(SEARCH("NP",I8)))</formula>
    </cfRule>
    <cfRule type="containsText" dxfId="701" priority="426" operator="containsText" text="SH">
      <formula>NOT(ISERROR(SEARCH("SH",I8)))</formula>
    </cfRule>
    <cfRule type="containsText" dxfId="700" priority="427" operator="containsText" text="RD">
      <formula>NOT(ISERROR(SEARCH("RD",I8)))</formula>
    </cfRule>
  </conditionalFormatting>
  <conditionalFormatting sqref="I10:AF18 AJ10:AM18">
    <cfRule type="cellIs" dxfId="699" priority="420" operator="equal">
      <formula>"NC"</formula>
    </cfRule>
  </conditionalFormatting>
  <conditionalFormatting sqref="I11:AF12 AJ11:AM12">
    <cfRule type="containsText" dxfId="698" priority="763" operator="containsText" text="AL">
      <formula>NOT(ISERROR(SEARCH("AL",I11)))</formula>
    </cfRule>
    <cfRule type="containsText" dxfId="697" priority="764" operator="containsText" text="SL">
      <formula>NOT(ISERROR(SEARCH("SL",I11)))</formula>
    </cfRule>
    <cfRule type="containsText" dxfId="696" priority="765" operator="containsText" text="NP">
      <formula>NOT(ISERROR(SEARCH("NP",I11)))</formula>
    </cfRule>
    <cfRule type="containsText" dxfId="695" priority="766" operator="containsText" text="SH">
      <formula>NOT(ISERROR(SEARCH("SH",I11)))</formula>
    </cfRule>
    <cfRule type="containsText" dxfId="694" priority="767" operator="containsText" text="RD">
      <formula>NOT(ISERROR(SEARCH("RD",I11)))</formula>
    </cfRule>
  </conditionalFormatting>
  <conditionalFormatting sqref="I14:AF14 AJ14:AM14">
    <cfRule type="cellIs" dxfId="693" priority="770" operator="greaterThan">
      <formula>9</formula>
    </cfRule>
  </conditionalFormatting>
  <conditionalFormatting sqref="I30:AF30 AJ30:AM30">
    <cfRule type="cellIs" dxfId="692" priority="152" operator="equal">
      <formula>"CL"</formula>
    </cfRule>
    <cfRule type="cellIs" dxfId="691" priority="153" operator="equal">
      <formula>"GS"</formula>
    </cfRule>
    <cfRule type="cellIs" dxfId="690" priority="154" operator="equal">
      <formula>"NC"</formula>
    </cfRule>
    <cfRule type="cellIs" dxfId="689" priority="155" operator="equal">
      <formula>"SG"</formula>
    </cfRule>
    <cfRule type="containsText" dxfId="688" priority="156" operator="containsText" text="EC">
      <formula>NOT(ISERROR(SEARCH("EC",I30)))</formula>
    </cfRule>
    <cfRule type="containsText" dxfId="687" priority="157" operator="containsText" text="OTE">
      <formula>NOT(ISERROR(SEARCH("OTE",I30)))</formula>
    </cfRule>
    <cfRule type="containsText" dxfId="686" priority="158" operator="containsText" text="AL">
      <formula>NOT(ISERROR(SEARCH("AL",I30)))</formula>
    </cfRule>
    <cfRule type="containsText" dxfId="685" priority="159" operator="containsText" text="SL">
      <formula>NOT(ISERROR(SEARCH("SL",I30)))</formula>
    </cfRule>
    <cfRule type="containsText" dxfId="684" priority="160" operator="containsText" text="NP">
      <formula>NOT(ISERROR(SEARCH("NP",I30)))</formula>
    </cfRule>
    <cfRule type="containsText" dxfId="683" priority="161" operator="containsText" text="SH">
      <formula>NOT(ISERROR(SEARCH("SH",I30)))</formula>
    </cfRule>
    <cfRule type="containsText" dxfId="682" priority="162" operator="containsText" text="RD">
      <formula>NOT(ISERROR(SEARCH("RD",I30)))</formula>
    </cfRule>
    <cfRule type="containsText" dxfId="681" priority="163" operator="containsText" text="OTE">
      <formula>NOT(ISERROR(SEARCH("OTE",I30)))</formula>
    </cfRule>
    <cfRule type="containsText" dxfId="680" priority="164" operator="containsText" text="AL">
      <formula>NOT(ISERROR(SEARCH("AL",I30)))</formula>
    </cfRule>
    <cfRule type="containsText" dxfId="679" priority="165" operator="containsText" text="SL">
      <formula>NOT(ISERROR(SEARCH("SL",I30)))</formula>
    </cfRule>
    <cfRule type="containsText" dxfId="678" priority="166" operator="containsText" text="NP">
      <formula>NOT(ISERROR(SEARCH("NP",I30)))</formula>
    </cfRule>
    <cfRule type="containsText" dxfId="677" priority="167" operator="containsText" text="SH">
      <formula>NOT(ISERROR(SEARCH("SH",I30)))</formula>
    </cfRule>
    <cfRule type="containsText" dxfId="676" priority="168" operator="containsText" text="RD">
      <formula>NOT(ISERROR(SEARCH("RD",I30)))</formula>
    </cfRule>
  </conditionalFormatting>
  <conditionalFormatting sqref="I31:AF31 AJ31:AM31">
    <cfRule type="cellIs" dxfId="675" priority="196" operator="equal">
      <formula>"CL"</formula>
    </cfRule>
    <cfRule type="cellIs" dxfId="674" priority="197" operator="equal">
      <formula>"GS"</formula>
    </cfRule>
    <cfRule type="cellIs" dxfId="673" priority="198" operator="equal">
      <formula>"NC"</formula>
    </cfRule>
    <cfRule type="cellIs" dxfId="672" priority="199" operator="equal">
      <formula>"SG"</formula>
    </cfRule>
    <cfRule type="containsText" dxfId="671" priority="200" operator="containsText" text="EC">
      <formula>NOT(ISERROR(SEARCH("EC",I31)))</formula>
    </cfRule>
    <cfRule type="containsText" dxfId="670" priority="201" operator="containsText" text="OTE">
      <formula>NOT(ISERROR(SEARCH("OTE",I31)))</formula>
    </cfRule>
    <cfRule type="containsText" dxfId="669" priority="202" operator="containsText" text="AL">
      <formula>NOT(ISERROR(SEARCH("AL",I31)))</formula>
    </cfRule>
    <cfRule type="containsText" dxfId="668" priority="203" operator="containsText" text="SL">
      <formula>NOT(ISERROR(SEARCH("SL",I31)))</formula>
    </cfRule>
    <cfRule type="containsText" dxfId="667" priority="204" operator="containsText" text="NP">
      <formula>NOT(ISERROR(SEARCH("NP",I31)))</formula>
    </cfRule>
    <cfRule type="containsText" dxfId="666" priority="205" operator="containsText" text="SH">
      <formula>NOT(ISERROR(SEARCH("SH",I31)))</formula>
    </cfRule>
    <cfRule type="containsText" dxfId="665" priority="206" operator="containsText" text="RD">
      <formula>NOT(ISERROR(SEARCH("RD",I31)))</formula>
    </cfRule>
    <cfRule type="containsText" dxfId="664" priority="207" operator="containsText" text="OTE">
      <formula>NOT(ISERROR(SEARCH("OTE",I31)))</formula>
    </cfRule>
    <cfRule type="containsText" dxfId="663" priority="208" operator="containsText" text="AL">
      <formula>NOT(ISERROR(SEARCH("AL",I31)))</formula>
    </cfRule>
    <cfRule type="containsText" dxfId="662" priority="209" operator="containsText" text="SL">
      <formula>NOT(ISERROR(SEARCH("SL",I31)))</formula>
    </cfRule>
    <cfRule type="containsText" dxfId="661" priority="210" operator="containsText" text="NP">
      <formula>NOT(ISERROR(SEARCH("NP",I31)))</formula>
    </cfRule>
    <cfRule type="containsText" dxfId="660" priority="211" operator="containsText" text="SH">
      <formula>NOT(ISERROR(SEARCH("SH",I31)))</formula>
    </cfRule>
    <cfRule type="containsText" dxfId="659" priority="212" operator="containsText" text="RD">
      <formula>NOT(ISERROR(SEARCH("RD",I31)))</formula>
    </cfRule>
  </conditionalFormatting>
  <conditionalFormatting sqref="I35:AF35 AJ35:AM35">
    <cfRule type="cellIs" dxfId="658" priority="411" operator="greaterThan">
      <formula>8</formula>
    </cfRule>
  </conditionalFormatting>
  <conditionalFormatting sqref="J19">
    <cfRule type="containsText" dxfId="657" priority="652" operator="containsText" text="AL">
      <formula>NOT(ISERROR(SEARCH("AL",J19)))</formula>
    </cfRule>
    <cfRule type="containsText" dxfId="656" priority="653" operator="containsText" text="SL">
      <formula>NOT(ISERROR(SEARCH("SL",J19)))</formula>
    </cfRule>
    <cfRule type="containsText" dxfId="655" priority="654" operator="containsText" text="NP">
      <formula>NOT(ISERROR(SEARCH("NP",J19)))</formula>
    </cfRule>
    <cfRule type="containsText" dxfId="654" priority="655" operator="containsText" text="SH">
      <formula>NOT(ISERROR(SEARCH("SH",J19)))</formula>
    </cfRule>
    <cfRule type="containsText" dxfId="653" priority="656" operator="containsText" text="RD">
      <formula>NOT(ISERROR(SEARCH("RD",J19)))</formula>
    </cfRule>
  </conditionalFormatting>
  <conditionalFormatting sqref="J10:AF10 I11:AF12 AJ10:AM12">
    <cfRule type="cellIs" dxfId="652" priority="688" operator="equal">
      <formula>"SG"</formula>
    </cfRule>
    <cfRule type="cellIs" dxfId="651" priority="700" operator="equal">
      <formula>"GS"</formula>
    </cfRule>
  </conditionalFormatting>
  <conditionalFormatting sqref="J10:AF10 AJ10:AM10">
    <cfRule type="cellIs" dxfId="650" priority="358" operator="equal">
      <formula>"CL"</formula>
    </cfRule>
    <cfRule type="cellIs" dxfId="649" priority="689" operator="equal">
      <formula>"GS"</formula>
    </cfRule>
    <cfRule type="cellIs" dxfId="648" priority="696" operator="equal">
      <formula>"GS"</formula>
    </cfRule>
    <cfRule type="containsText" dxfId="647" priority="701" operator="containsText" text="AL">
      <formula>NOT(ISERROR(SEARCH("AL",J10)))</formula>
    </cfRule>
    <cfRule type="containsText" dxfId="646" priority="702" operator="containsText" text="SL">
      <formula>NOT(ISERROR(SEARCH("SL",J10)))</formula>
    </cfRule>
    <cfRule type="containsText" dxfId="645" priority="703" operator="containsText" text="NP">
      <formula>NOT(ISERROR(SEARCH("NP",J10)))</formula>
    </cfRule>
    <cfRule type="containsText" dxfId="644" priority="704" operator="containsText" text="SH">
      <formula>NOT(ISERROR(SEARCH("SH",J10)))</formula>
    </cfRule>
    <cfRule type="containsText" dxfId="643" priority="705" operator="containsText" text="RD">
      <formula>NOT(ISERROR(SEARCH("RD",J10)))</formula>
    </cfRule>
  </conditionalFormatting>
  <conditionalFormatting sqref="J35:AF35 AJ35:AM35">
    <cfRule type="cellIs" dxfId="642" priority="771" operator="greaterThan">
      <formula>9</formula>
    </cfRule>
  </conditionalFormatting>
  <conditionalFormatting sqref="K21">
    <cfRule type="containsText" dxfId="641" priority="645" operator="containsText" text="AL">
      <formula>NOT(ISERROR(SEARCH("AL",K21)))</formula>
    </cfRule>
    <cfRule type="containsText" dxfId="640" priority="646" operator="containsText" text="SL">
      <formula>NOT(ISERROR(SEARCH("SL",K21)))</formula>
    </cfRule>
    <cfRule type="containsText" dxfId="639" priority="647" operator="containsText" text="NP">
      <formula>NOT(ISERROR(SEARCH("NP",K21)))</formula>
    </cfRule>
    <cfRule type="containsText" dxfId="638" priority="648" operator="containsText" text="SH">
      <formula>NOT(ISERROR(SEARCH("SH",K21)))</formula>
    </cfRule>
    <cfRule type="containsText" dxfId="637" priority="649" operator="containsText" text="RD">
      <formula>NOT(ISERROR(SEARCH("RD",K21)))</formula>
    </cfRule>
  </conditionalFormatting>
  <conditionalFormatting sqref="M28">
    <cfRule type="containsText" dxfId="636" priority="617" operator="containsText" text="AL">
      <formula>NOT(ISERROR(SEARCH("AL",M28)))</formula>
    </cfRule>
    <cfRule type="containsText" dxfId="635" priority="618" operator="containsText" text="SL">
      <formula>NOT(ISERROR(SEARCH("SL",M28)))</formula>
    </cfRule>
    <cfRule type="containsText" dxfId="634" priority="619" operator="containsText" text="NP">
      <formula>NOT(ISERROR(SEARCH("NP",M28)))</formula>
    </cfRule>
    <cfRule type="containsText" dxfId="633" priority="620" operator="containsText" text="SH">
      <formula>NOT(ISERROR(SEARCH("SH",M28)))</formula>
    </cfRule>
    <cfRule type="containsText" dxfId="632" priority="621" operator="containsText" text="RD">
      <formula>NOT(ISERROR(SEARCH("RD",M28)))</formula>
    </cfRule>
  </conditionalFormatting>
  <conditionalFormatting sqref="N10 P10">
    <cfRule type="cellIs" dxfId="631" priority="274" operator="equal">
      <formula>"GS"</formula>
    </cfRule>
    <cfRule type="containsText" dxfId="630" priority="275" operator="containsText" text="AL">
      <formula>NOT(ISERROR(SEARCH("AL",N10)))</formula>
    </cfRule>
    <cfRule type="containsText" dxfId="629" priority="276" operator="containsText" text="SL">
      <formula>NOT(ISERROR(SEARCH("SL",N10)))</formula>
    </cfRule>
    <cfRule type="containsText" dxfId="628" priority="277" operator="containsText" text="NP">
      <formula>NOT(ISERROR(SEARCH("NP",N10)))</formula>
    </cfRule>
    <cfRule type="containsText" dxfId="627" priority="278" operator="containsText" text="SH">
      <formula>NOT(ISERROR(SEARCH("SH",N10)))</formula>
    </cfRule>
    <cfRule type="containsText" dxfId="626" priority="279" operator="containsText" text="RD">
      <formula>NOT(ISERROR(SEARCH("RD",N10)))</formula>
    </cfRule>
  </conditionalFormatting>
  <conditionalFormatting sqref="N25">
    <cfRule type="containsText" dxfId="625" priority="631" operator="containsText" text="AL">
      <formula>NOT(ISERROR(SEARCH("AL",N25)))</formula>
    </cfRule>
    <cfRule type="containsText" dxfId="624" priority="632" operator="containsText" text="SL">
      <formula>NOT(ISERROR(SEARCH("SL",N25)))</formula>
    </cfRule>
    <cfRule type="containsText" dxfId="623" priority="633" operator="containsText" text="NP">
      <formula>NOT(ISERROR(SEARCH("NP",N25)))</formula>
    </cfRule>
    <cfRule type="containsText" dxfId="622" priority="634" operator="containsText" text="SH">
      <formula>NOT(ISERROR(SEARCH("SH",N25)))</formula>
    </cfRule>
    <cfRule type="containsText" dxfId="621" priority="635" operator="containsText" text="RD">
      <formula>NOT(ISERROR(SEARCH("RD",N25)))</formula>
    </cfRule>
  </conditionalFormatting>
  <conditionalFormatting sqref="N10:P10">
    <cfRule type="cellIs" dxfId="620" priority="272" operator="equal">
      <formula>"CL"</formula>
    </cfRule>
    <cfRule type="cellIs" dxfId="619" priority="273" operator="equal">
      <formula>"NC"</formula>
    </cfRule>
  </conditionalFormatting>
  <conditionalFormatting sqref="N10:X10">
    <cfRule type="cellIs" dxfId="618" priority="299" operator="equal">
      <formula>"CL"</formula>
    </cfRule>
    <cfRule type="containsText" dxfId="617" priority="300" operator="containsText" text="EC">
      <formula>NOT(ISERROR(SEARCH("EC",N10)))</formula>
    </cfRule>
    <cfRule type="containsText" dxfId="616" priority="301" operator="containsText" text="OTE">
      <formula>NOT(ISERROR(SEARCH("OTE",N10)))</formula>
    </cfRule>
  </conditionalFormatting>
  <conditionalFormatting sqref="N19:AF19">
    <cfRule type="cellIs" dxfId="615" priority="566" operator="equal">
      <formula>"CL"</formula>
    </cfRule>
    <cfRule type="cellIs" dxfId="614" priority="567" operator="equal">
      <formula>"NC"</formula>
    </cfRule>
  </conditionalFormatting>
  <conditionalFormatting sqref="O10">
    <cfRule type="containsText" dxfId="613" priority="267" operator="containsText" text="AL">
      <formula>NOT(ISERROR(SEARCH("AL",O10)))</formula>
    </cfRule>
    <cfRule type="containsText" dxfId="612" priority="268" operator="containsText" text="SL">
      <formula>NOT(ISERROR(SEARCH("SL",O10)))</formula>
    </cfRule>
    <cfRule type="containsText" dxfId="611" priority="269" operator="containsText" text="NP">
      <formula>NOT(ISERROR(SEARCH("NP",O10)))</formula>
    </cfRule>
    <cfRule type="containsText" dxfId="610" priority="270" operator="containsText" text="SH">
      <formula>NOT(ISERROR(SEARCH("SH",O10)))</formula>
    </cfRule>
    <cfRule type="containsText" dxfId="609" priority="271" operator="containsText" text="RD">
      <formula>NOT(ISERROR(SEARCH("RD",O10)))</formula>
    </cfRule>
    <cfRule type="containsText" dxfId="608" priority="353" operator="containsText" text="AL">
      <formula>NOT(ISERROR(SEARCH("AL",O10)))</formula>
    </cfRule>
    <cfRule type="containsText" dxfId="607" priority="354" operator="containsText" text="SL">
      <formula>NOT(ISERROR(SEARCH("SL",O10)))</formula>
    </cfRule>
    <cfRule type="containsText" dxfId="606" priority="355" operator="containsText" text="NP">
      <formula>NOT(ISERROR(SEARCH("NP",O10)))</formula>
    </cfRule>
    <cfRule type="containsText" dxfId="605" priority="356" operator="containsText" text="SH">
      <formula>NOT(ISERROR(SEARCH("SH",O10)))</formula>
    </cfRule>
    <cfRule type="containsText" dxfId="604" priority="357" operator="containsText" text="RD">
      <formula>NOT(ISERROR(SEARCH("RD",O10)))</formula>
    </cfRule>
    <cfRule type="cellIs" dxfId="603" priority="359" operator="equal">
      <formula>"NC"</formula>
    </cfRule>
  </conditionalFormatting>
  <conditionalFormatting sqref="O26">
    <cfRule type="containsText" dxfId="602" priority="624" operator="containsText" text="AL">
      <formula>NOT(ISERROR(SEARCH("AL",O26)))</formula>
    </cfRule>
    <cfRule type="containsText" dxfId="601" priority="625" operator="containsText" text="SL">
      <formula>NOT(ISERROR(SEARCH("SL",O26)))</formula>
    </cfRule>
    <cfRule type="containsText" dxfId="600" priority="626" operator="containsText" text="NP">
      <formula>NOT(ISERROR(SEARCH("NP",O26)))</formula>
    </cfRule>
    <cfRule type="containsText" dxfId="599" priority="627" operator="containsText" text="SH">
      <formula>NOT(ISERROR(SEARCH("SH",O26)))</formula>
    </cfRule>
    <cfRule type="containsText" dxfId="598" priority="628" operator="containsText" text="RD">
      <formula>NOT(ISERROR(SEARCH("RD",O26)))</formula>
    </cfRule>
  </conditionalFormatting>
  <conditionalFormatting sqref="O25:AF25 I19 K19:L19 N19:X19 Z19:AF19 AK19:AM19 I20:O20 Q20:Z20 AB20:AE20 AJ20:AM20 I21:J21 L21:Q21 S21:Y21 AA21:AF22 AK21:AM21 I22:T22 V22:Y22 AM22:AM23 I23:X23 Z23:AC23 AE23:AF23 J24:AC24 AF24 I25:M25 AL25:AM25 I26:N26 P26:AA26 AD26:AF27 I27:P27 R27:AB27 I28:L28 N28:U28 X28:AE28 I29:AD29 AF29 AJ29:AL29 AJ26:AM28 AJ24:AM24 AJ23 AJ22:AK22 AJ25">
    <cfRule type="containsText" dxfId="597" priority="663" operator="containsText" text="AL">
      <formula>NOT(ISERROR(SEARCH("AL",I19)))</formula>
    </cfRule>
  </conditionalFormatting>
  <conditionalFormatting sqref="P20">
    <cfRule type="containsText" dxfId="596" priority="603" operator="containsText" text="AL">
      <formula>NOT(ISERROR(SEARCH("AL",P20)))</formula>
    </cfRule>
    <cfRule type="containsText" dxfId="595" priority="604" operator="containsText" text="SL">
      <formula>NOT(ISERROR(SEARCH("SL",P20)))</formula>
    </cfRule>
    <cfRule type="containsText" dxfId="594" priority="605" operator="containsText" text="NP">
      <formula>NOT(ISERROR(SEARCH("NP",P20)))</formula>
    </cfRule>
    <cfRule type="containsText" dxfId="593" priority="606" operator="containsText" text="SH">
      <formula>NOT(ISERROR(SEARCH("SH",P20)))</formula>
    </cfRule>
    <cfRule type="containsText" dxfId="592" priority="607" operator="containsText" text="RD">
      <formula>NOT(ISERROR(SEARCH("RD",P20)))</formula>
    </cfRule>
  </conditionalFormatting>
  <conditionalFormatting sqref="Q27">
    <cfRule type="containsText" dxfId="591" priority="610" operator="containsText" text="AL">
      <formula>NOT(ISERROR(SEARCH("AL",Q27)))</formula>
    </cfRule>
    <cfRule type="containsText" dxfId="590" priority="611" operator="containsText" text="SL">
      <formula>NOT(ISERROR(SEARCH("SL",Q27)))</formula>
    </cfRule>
    <cfRule type="containsText" dxfId="589" priority="612" operator="containsText" text="NP">
      <formula>NOT(ISERROR(SEARCH("NP",Q27)))</formula>
    </cfRule>
    <cfRule type="containsText" dxfId="588" priority="613" operator="containsText" text="SH">
      <formula>NOT(ISERROR(SEARCH("SH",Q27)))</formula>
    </cfRule>
    <cfRule type="containsText" dxfId="587" priority="614" operator="containsText" text="RD">
      <formula>NOT(ISERROR(SEARCH("RD",Q27)))</formula>
    </cfRule>
  </conditionalFormatting>
  <conditionalFormatting sqref="R21">
    <cfRule type="containsText" dxfId="586" priority="582" operator="containsText" text="AL">
      <formula>NOT(ISERROR(SEARCH("AL",R21)))</formula>
    </cfRule>
    <cfRule type="containsText" dxfId="585" priority="583" operator="containsText" text="SL">
      <formula>NOT(ISERROR(SEARCH("SL",R21)))</formula>
    </cfRule>
    <cfRule type="containsText" dxfId="584" priority="584" operator="containsText" text="NP">
      <formula>NOT(ISERROR(SEARCH("NP",R21)))</formula>
    </cfRule>
    <cfRule type="containsText" dxfId="583" priority="585" operator="containsText" text="SH">
      <formula>NOT(ISERROR(SEARCH("SH",R21)))</formula>
    </cfRule>
    <cfRule type="containsText" dxfId="582" priority="586" operator="containsText" text="RD">
      <formula>NOT(ISERROR(SEARCH("RD",R21)))</formula>
    </cfRule>
  </conditionalFormatting>
  <conditionalFormatting sqref="R21:Y21">
    <cfRule type="cellIs" dxfId="581" priority="587" operator="equal">
      <formula>"CL"</formula>
    </cfRule>
    <cfRule type="cellIs" dxfId="580" priority="588" operator="equal">
      <formula>"NC"</formula>
    </cfRule>
  </conditionalFormatting>
  <conditionalFormatting sqref="T25">
    <cfRule type="cellIs" dxfId="579" priority="662" operator="equal">
      <formula>"NC"</formula>
    </cfRule>
  </conditionalFormatting>
  <conditionalFormatting sqref="U22">
    <cfRule type="containsText" dxfId="578" priority="596" operator="containsText" text="AL">
      <formula>NOT(ISERROR(SEARCH("AL",U22)))</formula>
    </cfRule>
    <cfRule type="containsText" dxfId="577" priority="597" operator="containsText" text="SL">
      <formula>NOT(ISERROR(SEARCH("SL",U22)))</formula>
    </cfRule>
    <cfRule type="containsText" dxfId="576" priority="598" operator="containsText" text="NP">
      <formula>NOT(ISERROR(SEARCH("NP",U22)))</formula>
    </cfRule>
    <cfRule type="containsText" dxfId="575" priority="599" operator="containsText" text="SH">
      <formula>NOT(ISERROR(SEARCH("SH",U22)))</formula>
    </cfRule>
    <cfRule type="containsText" dxfId="574" priority="600" operator="containsText" text="RD">
      <formula>NOT(ISERROR(SEARCH("RD",U22)))</formula>
    </cfRule>
  </conditionalFormatting>
  <conditionalFormatting sqref="V28:AF28 AJ28:AM28">
    <cfRule type="containsText" dxfId="573" priority="575" operator="containsText" text="AL">
      <formula>NOT(ISERROR(SEARCH("AL",V28)))</formula>
    </cfRule>
    <cfRule type="containsText" dxfId="572" priority="576" operator="containsText" text="SL">
      <formula>NOT(ISERROR(SEARCH("SL",V28)))</formula>
    </cfRule>
    <cfRule type="containsText" dxfId="571" priority="577" operator="containsText" text="NP">
      <formula>NOT(ISERROR(SEARCH("NP",V28)))</formula>
    </cfRule>
    <cfRule type="containsText" dxfId="570" priority="578" operator="containsText" text="SH">
      <formula>NOT(ISERROR(SEARCH("SH",V28)))</formula>
    </cfRule>
    <cfRule type="containsText" dxfId="569" priority="579" operator="containsText" text="RD">
      <formula>NOT(ISERROR(SEARCH("RD",V28)))</formula>
    </cfRule>
    <cfRule type="cellIs" dxfId="568" priority="580" operator="equal">
      <formula>"CL"</formula>
    </cfRule>
    <cfRule type="cellIs" dxfId="567" priority="581" operator="equal">
      <formula>"NC"</formula>
    </cfRule>
  </conditionalFormatting>
  <conditionalFormatting sqref="X28:AE28 P26:AA26 I19 K19:L19 N19:X19 Z19:AF19 AK19:AM19 I20:O20 Q20:Z20 AB20:AE20 AJ20:AM20 I21:J21 L21:Q21 S21:Y21 AK21:AM21 I22:T22 V22:Y22 AA21:AF22 AM22:AM23 I23:X23 Z23:AC23 AE23:AF23 J24:AC24 AF24 I25:M25 O25:AF25 AL25:AM25 I26:N26 AD26:AF27 I27:P27 R27:AB27 I28:L28 N28:U28 AJ26:AM28 AJ25 AJ24:AM24 AJ23 AJ22:AK22">
    <cfRule type="cellIs" dxfId="566" priority="660" operator="equal">
      <formula>"GS"</formula>
    </cfRule>
  </conditionalFormatting>
  <conditionalFormatting sqref="Y19">
    <cfRule type="containsText" dxfId="565" priority="561" operator="containsText" text="AL">
      <formula>NOT(ISERROR(SEARCH("AL",Y19)))</formula>
    </cfRule>
    <cfRule type="containsText" dxfId="564" priority="562" operator="containsText" text="SL">
      <formula>NOT(ISERROR(SEARCH("SL",Y19)))</formula>
    </cfRule>
    <cfRule type="containsText" dxfId="563" priority="563" operator="containsText" text="NP">
      <formula>NOT(ISERROR(SEARCH("NP",Y19)))</formula>
    </cfRule>
    <cfRule type="containsText" dxfId="562" priority="564" operator="containsText" text="SH">
      <formula>NOT(ISERROR(SEARCH("SH",Y19)))</formula>
    </cfRule>
    <cfRule type="containsText" dxfId="561" priority="565" operator="containsText" text="RD">
      <formula>NOT(ISERROR(SEARCH("RD",Y19)))</formula>
    </cfRule>
  </conditionalFormatting>
  <conditionalFormatting sqref="Y23">
    <cfRule type="containsText" dxfId="560" priority="589" operator="containsText" text="AL">
      <formula>NOT(ISERROR(SEARCH("AL",Y23)))</formula>
    </cfRule>
    <cfRule type="containsText" dxfId="559" priority="590" operator="containsText" text="SL">
      <formula>NOT(ISERROR(SEARCH("SL",Y23)))</formula>
    </cfRule>
    <cfRule type="containsText" dxfId="558" priority="591" operator="containsText" text="NP">
      <formula>NOT(ISERROR(SEARCH("NP",Y23)))</formula>
    </cfRule>
    <cfRule type="containsText" dxfId="557" priority="592" operator="containsText" text="SH">
      <formula>NOT(ISERROR(SEARCH("SH",Y23)))</formula>
    </cfRule>
    <cfRule type="containsText" dxfId="556" priority="593" operator="containsText" text="RD">
      <formula>NOT(ISERROR(SEARCH("RD",Y23)))</formula>
    </cfRule>
  </conditionalFormatting>
  <conditionalFormatting sqref="Z21:Z22">
    <cfRule type="containsText" dxfId="555" priority="568" operator="containsText" text="AL">
      <formula>NOT(ISERROR(SEARCH("AL",Z21)))</formula>
    </cfRule>
    <cfRule type="containsText" dxfId="554" priority="569" operator="containsText" text="SL">
      <formula>NOT(ISERROR(SEARCH("SL",Z21)))</formula>
    </cfRule>
    <cfRule type="containsText" dxfId="553" priority="570" operator="containsText" text="NP">
      <formula>NOT(ISERROR(SEARCH("NP",Z21)))</formula>
    </cfRule>
    <cfRule type="containsText" dxfId="552" priority="571" operator="containsText" text="SH">
      <formula>NOT(ISERROR(SEARCH("SH",Z21)))</formula>
    </cfRule>
    <cfRule type="containsText" dxfId="551" priority="572" operator="containsText" text="RD">
      <formula>NOT(ISERROR(SEARCH("RD",Z21)))</formula>
    </cfRule>
    <cfRule type="cellIs" dxfId="550" priority="573" operator="equal">
      <formula>"CL"</formula>
    </cfRule>
    <cfRule type="cellIs" dxfId="549" priority="574" operator="equal">
      <formula>"NC"</formula>
    </cfRule>
  </conditionalFormatting>
  <conditionalFormatting sqref="AA20">
    <cfRule type="containsText" dxfId="548" priority="540" operator="containsText" text="AL">
      <formula>NOT(ISERROR(SEARCH("AL",AA20)))</formula>
    </cfRule>
    <cfRule type="containsText" dxfId="547" priority="541" operator="containsText" text="SL">
      <formula>NOT(ISERROR(SEARCH("SL",AA20)))</formula>
    </cfRule>
    <cfRule type="containsText" dxfId="546" priority="542" operator="containsText" text="NP">
      <formula>NOT(ISERROR(SEARCH("NP",AA20)))</formula>
    </cfRule>
    <cfRule type="containsText" dxfId="545" priority="543" operator="containsText" text="SH">
      <formula>NOT(ISERROR(SEARCH("SH",AA20)))</formula>
    </cfRule>
    <cfRule type="containsText" dxfId="544" priority="544" operator="containsText" text="RD">
      <formula>NOT(ISERROR(SEARCH("RD",AA20)))</formula>
    </cfRule>
  </conditionalFormatting>
  <conditionalFormatting sqref="AA10:AC10">
    <cfRule type="containsText" dxfId="543" priority="332" operator="containsText" text="AL">
      <formula>NOT(ISERROR(SEARCH("AL",AA10)))</formula>
    </cfRule>
    <cfRule type="containsText" dxfId="542" priority="333" operator="containsText" text="SL">
      <formula>NOT(ISERROR(SEARCH("SL",AA10)))</formula>
    </cfRule>
    <cfRule type="containsText" dxfId="541" priority="334" operator="containsText" text="NP">
      <formula>NOT(ISERROR(SEARCH("NP",AA10)))</formula>
    </cfRule>
    <cfRule type="containsText" dxfId="540" priority="335" operator="containsText" text="SH">
      <formula>NOT(ISERROR(SEARCH("SH",AA10)))</formula>
    </cfRule>
    <cfRule type="containsText" dxfId="539" priority="336" operator="containsText" text="RD">
      <formula>NOT(ISERROR(SEARCH("RD",AA10)))</formula>
    </cfRule>
    <cfRule type="cellIs" dxfId="538" priority="337" operator="equal">
      <formula>"CL"</formula>
    </cfRule>
    <cfRule type="cellIs" dxfId="537" priority="338" operator="equal">
      <formula>"NC"</formula>
    </cfRule>
  </conditionalFormatting>
  <conditionalFormatting sqref="AA26:AC26">
    <cfRule type="containsText" dxfId="536" priority="512" operator="containsText" text="AL">
      <formula>NOT(ISERROR(SEARCH("AL",AA26)))</formula>
    </cfRule>
    <cfRule type="containsText" dxfId="535" priority="513" operator="containsText" text="SL">
      <formula>NOT(ISERROR(SEARCH("SL",AA26)))</formula>
    </cfRule>
    <cfRule type="containsText" dxfId="534" priority="514" operator="containsText" text="NP">
      <formula>NOT(ISERROR(SEARCH("NP",AA26)))</formula>
    </cfRule>
    <cfRule type="containsText" dxfId="533" priority="515" operator="containsText" text="SH">
      <formula>NOT(ISERROR(SEARCH("SH",AA26)))</formula>
    </cfRule>
    <cfRule type="containsText" dxfId="532" priority="516" operator="containsText" text="RD">
      <formula>NOT(ISERROR(SEARCH("RD",AA26)))</formula>
    </cfRule>
  </conditionalFormatting>
  <conditionalFormatting sqref="AA20:AE20">
    <cfRule type="cellIs" dxfId="531" priority="545" operator="equal">
      <formula>"CL"</formula>
    </cfRule>
    <cfRule type="cellIs" dxfId="530" priority="546" operator="equal">
      <formula>"NC"</formula>
    </cfRule>
  </conditionalFormatting>
  <conditionalFormatting sqref="AA22:AF22 AJ22:AK22">
    <cfRule type="cellIs" dxfId="529" priority="659" operator="equal">
      <formula>"CL"</formula>
    </cfRule>
    <cfRule type="cellIs" dxfId="528" priority="661" operator="equal">
      <formula>"NC"</formula>
    </cfRule>
  </conditionalFormatting>
  <conditionalFormatting sqref="AA21:AF21 AJ21:AM21">
    <cfRule type="cellIs" dxfId="527" priority="524" operator="equal">
      <formula>"CL"</formula>
    </cfRule>
    <cfRule type="cellIs" dxfId="526" priority="525" operator="equal">
      <formula>"NC"</formula>
    </cfRule>
  </conditionalFormatting>
  <conditionalFormatting sqref="AA26:AF26 AJ26:AM26">
    <cfRule type="cellIs" dxfId="525" priority="517" operator="equal">
      <formula>"CL"</formula>
    </cfRule>
    <cfRule type="cellIs" dxfId="524" priority="518" operator="equal">
      <formula>"NC"</formula>
    </cfRule>
  </conditionalFormatting>
  <conditionalFormatting sqref="AB10">
    <cfRule type="containsText" dxfId="523" priority="260" operator="containsText" text="AL">
      <formula>NOT(ISERROR(SEARCH("AL",AB10)))</formula>
    </cfRule>
    <cfRule type="containsText" dxfId="522" priority="261" operator="containsText" text="SL">
      <formula>NOT(ISERROR(SEARCH("SL",AB10)))</formula>
    </cfRule>
    <cfRule type="containsText" dxfId="521" priority="262" operator="containsText" text="NP">
      <formula>NOT(ISERROR(SEARCH("NP",AB10)))</formula>
    </cfRule>
    <cfRule type="containsText" dxfId="520" priority="263" operator="containsText" text="SH">
      <formula>NOT(ISERROR(SEARCH("SH",AB10)))</formula>
    </cfRule>
    <cfRule type="containsText" dxfId="519" priority="264" operator="containsText" text="RD">
      <formula>NOT(ISERROR(SEARCH("RD",AB10)))</formula>
    </cfRule>
    <cfRule type="cellIs" dxfId="518" priority="265" operator="equal">
      <formula>"CL"</formula>
    </cfRule>
    <cfRule type="cellIs" dxfId="517" priority="266" operator="equal">
      <formula>"NC"</formula>
    </cfRule>
    <cfRule type="cellIs" dxfId="516" priority="296" operator="equal">
      <formula>"CL"</formula>
    </cfRule>
    <cfRule type="containsText" dxfId="515" priority="297" operator="containsText" text="EC">
      <formula>NOT(ISERROR(SEARCH("EC",AB10)))</formula>
    </cfRule>
    <cfRule type="containsText" dxfId="514" priority="298" operator="containsText" text="OTE">
      <formula>NOT(ISERROR(SEARCH("OTE",AB10)))</formula>
    </cfRule>
  </conditionalFormatting>
  <conditionalFormatting sqref="AC26">
    <cfRule type="cellIs" dxfId="513" priority="252" operator="equal">
      <formula>"CL"</formula>
    </cfRule>
    <cfRule type="cellIs" dxfId="512" priority="253" operator="equal">
      <formula>"NC"</formula>
    </cfRule>
    <cfRule type="cellIs" dxfId="511" priority="254" operator="equal">
      <formula>"GS"</formula>
    </cfRule>
    <cfRule type="containsText" dxfId="510" priority="255" operator="containsText" text="AL">
      <formula>NOT(ISERROR(SEARCH("AL",AC26)))</formula>
    </cfRule>
    <cfRule type="containsText" dxfId="509" priority="256" operator="containsText" text="SL">
      <formula>NOT(ISERROR(SEARCH("SL",AC26)))</formula>
    </cfRule>
    <cfRule type="containsText" dxfId="508" priority="257" operator="containsText" text="NP">
      <formula>NOT(ISERROR(SEARCH("NP",AC26)))</formula>
    </cfRule>
    <cfRule type="containsText" dxfId="507" priority="258" operator="containsText" text="SH">
      <formula>NOT(ISERROR(SEARCH("SH",AC26)))</formula>
    </cfRule>
    <cfRule type="containsText" dxfId="506" priority="259" operator="containsText" text="RD">
      <formula>NOT(ISERROR(SEARCH("RD",AC26)))</formula>
    </cfRule>
  </conditionalFormatting>
  <conditionalFormatting sqref="AC27">
    <cfRule type="containsText" dxfId="505" priority="505" operator="containsText" text="AL">
      <formula>NOT(ISERROR(SEARCH("AL",AC27)))</formula>
    </cfRule>
    <cfRule type="containsText" dxfId="504" priority="506" operator="containsText" text="SL">
      <formula>NOT(ISERROR(SEARCH("SL",AC27)))</formula>
    </cfRule>
    <cfRule type="containsText" dxfId="503" priority="507" operator="containsText" text="NP">
      <formula>NOT(ISERROR(SEARCH("NP",AC27)))</formula>
    </cfRule>
    <cfRule type="containsText" dxfId="502" priority="508" operator="containsText" text="SH">
      <formula>NOT(ISERROR(SEARCH("SH",AC27)))</formula>
    </cfRule>
    <cfRule type="containsText" dxfId="501" priority="509" operator="containsText" text="RD">
      <formula>NOT(ISERROR(SEARCH("RD",AC27)))</formula>
    </cfRule>
  </conditionalFormatting>
  <conditionalFormatting sqref="AC27:AF27 AJ27:AM27">
    <cfRule type="cellIs" dxfId="500" priority="510" operator="equal">
      <formula>"CL"</formula>
    </cfRule>
    <cfRule type="cellIs" dxfId="499" priority="511" operator="equal">
      <formula>"NC"</formula>
    </cfRule>
  </conditionalFormatting>
  <conditionalFormatting sqref="AD23">
    <cfRule type="containsText" dxfId="498" priority="547" operator="containsText" text="AL">
      <formula>NOT(ISERROR(SEARCH("AL",AD23)))</formula>
    </cfRule>
    <cfRule type="containsText" dxfId="497" priority="548" operator="containsText" text="SL">
      <formula>NOT(ISERROR(SEARCH("SL",AD23)))</formula>
    </cfRule>
    <cfRule type="containsText" dxfId="496" priority="549" operator="containsText" text="NP">
      <formula>NOT(ISERROR(SEARCH("NP",AD23)))</formula>
    </cfRule>
    <cfRule type="containsText" dxfId="495" priority="550" operator="containsText" text="SH">
      <formula>NOT(ISERROR(SEARCH("SH",AD23)))</formula>
    </cfRule>
    <cfRule type="containsText" dxfId="494" priority="551" operator="containsText" text="RD">
      <formula>NOT(ISERROR(SEARCH("RD",AD23)))</formula>
    </cfRule>
  </conditionalFormatting>
  <conditionalFormatting sqref="AD24:AE24">
    <cfRule type="containsText" dxfId="493" priority="554" operator="containsText" text="AL">
      <formula>NOT(ISERROR(SEARCH("AL",AD24)))</formula>
    </cfRule>
    <cfRule type="containsText" dxfId="492" priority="555" operator="containsText" text="SL">
      <formula>NOT(ISERROR(SEARCH("SL",AD24)))</formula>
    </cfRule>
    <cfRule type="containsText" dxfId="491" priority="556" operator="containsText" text="NP">
      <formula>NOT(ISERROR(SEARCH("NP",AD24)))</formula>
    </cfRule>
    <cfRule type="containsText" dxfId="490" priority="557" operator="containsText" text="SH">
      <formula>NOT(ISERROR(SEARCH("SH",AD24)))</formula>
    </cfRule>
    <cfRule type="containsText" dxfId="489" priority="558" operator="containsText" text="RD">
      <formula>NOT(ISERROR(SEARCH("RD",AD24)))</formula>
    </cfRule>
  </conditionalFormatting>
  <conditionalFormatting sqref="AD10:AF10 AJ10">
    <cfRule type="cellIs" dxfId="488" priority="293" operator="equal">
      <formula>"CL"</formula>
    </cfRule>
    <cfRule type="containsText" dxfId="487" priority="294" operator="containsText" text="EC">
      <formula>NOT(ISERROR(SEARCH("EC",AD10)))</formula>
    </cfRule>
    <cfRule type="containsText" dxfId="486" priority="295" operator="containsText" text="OTE">
      <formula>NOT(ISERROR(SEARCH("OTE",AD10)))</formula>
    </cfRule>
  </conditionalFormatting>
  <conditionalFormatting sqref="AD23:AF23 AJ23">
    <cfRule type="cellIs" dxfId="485" priority="552" operator="equal">
      <formula>"CL"</formula>
    </cfRule>
    <cfRule type="cellIs" dxfId="484" priority="553" operator="equal">
      <formula>"NC"</formula>
    </cfRule>
  </conditionalFormatting>
  <conditionalFormatting sqref="AD24:AF24 AJ24:AM24">
    <cfRule type="cellIs" dxfId="483" priority="559" operator="equal">
      <formula>"CL"</formula>
    </cfRule>
    <cfRule type="cellIs" dxfId="482" priority="560" operator="equal">
      <formula>"NC"</formula>
    </cfRule>
  </conditionalFormatting>
  <conditionalFormatting sqref="AE29">
    <cfRule type="containsText" dxfId="481" priority="491" operator="containsText" text="AL">
      <formula>NOT(ISERROR(SEARCH("AL",AE29)))</formula>
    </cfRule>
    <cfRule type="containsText" dxfId="480" priority="492" operator="containsText" text="SL">
      <formula>NOT(ISERROR(SEARCH("SL",AE29)))</formula>
    </cfRule>
    <cfRule type="containsText" dxfId="479" priority="493" operator="containsText" text="NP">
      <formula>NOT(ISERROR(SEARCH("NP",AE29)))</formula>
    </cfRule>
    <cfRule type="containsText" dxfId="478" priority="494" operator="containsText" text="SH">
      <formula>NOT(ISERROR(SEARCH("SH",AE29)))</formula>
    </cfRule>
    <cfRule type="containsText" dxfId="477" priority="495" operator="containsText" text="RD">
      <formula>NOT(ISERROR(SEARCH("RD",AE29)))</formula>
    </cfRule>
  </conditionalFormatting>
  <conditionalFormatting sqref="AF20">
    <cfRule type="containsText" dxfId="476" priority="533" operator="containsText" text="AL">
      <formula>NOT(ISERROR(SEARCH("AL",AF20)))</formula>
    </cfRule>
    <cfRule type="containsText" dxfId="475" priority="534" operator="containsText" text="SL">
      <formula>NOT(ISERROR(SEARCH("SL",AF20)))</formula>
    </cfRule>
    <cfRule type="containsText" dxfId="474" priority="535" operator="containsText" text="NP">
      <formula>NOT(ISERROR(SEARCH("NP",AF20)))</formula>
    </cfRule>
    <cfRule type="containsText" dxfId="473" priority="536" operator="containsText" text="SH">
      <formula>NOT(ISERROR(SEARCH("SH",AF20)))</formula>
    </cfRule>
    <cfRule type="containsText" dxfId="472" priority="537" operator="containsText" text="RD">
      <formula>NOT(ISERROR(SEARCH("RD",AF20)))</formula>
    </cfRule>
  </conditionalFormatting>
  <conditionalFormatting sqref="AF28">
    <cfRule type="containsText" dxfId="471" priority="498" operator="containsText" text="AL">
      <formula>NOT(ISERROR(SEARCH("AL",AF28)))</formula>
    </cfRule>
    <cfRule type="containsText" dxfId="470" priority="499" operator="containsText" text="SL">
      <formula>NOT(ISERROR(SEARCH("SL",AF28)))</formula>
    </cfRule>
    <cfRule type="containsText" dxfId="469" priority="500" operator="containsText" text="NP">
      <formula>NOT(ISERROR(SEARCH("NP",AF28)))</formula>
    </cfRule>
    <cfRule type="containsText" dxfId="468" priority="501" operator="containsText" text="SH">
      <formula>NOT(ISERROR(SEARCH("SH",AF28)))</formula>
    </cfRule>
    <cfRule type="containsText" dxfId="467" priority="502" operator="containsText" text="RD">
      <formula>NOT(ISERROR(SEARCH("RD",AF28)))</formula>
    </cfRule>
  </conditionalFormatting>
  <conditionalFormatting sqref="AF20 AJ20:AM20">
    <cfRule type="cellIs" dxfId="466" priority="538" operator="equal">
      <formula>"CL"</formula>
    </cfRule>
    <cfRule type="cellIs" dxfId="465" priority="539" operator="equal">
      <formula>"NC"</formula>
    </cfRule>
  </conditionalFormatting>
  <conditionalFormatting sqref="AF28 AJ28:AM28">
    <cfRule type="cellIs" dxfId="464" priority="503" operator="equal">
      <formula>"CL"</formula>
    </cfRule>
    <cfRule type="cellIs" dxfId="463" priority="504" operator="equal">
      <formula>"NC"</formula>
    </cfRule>
  </conditionalFormatting>
  <conditionalFormatting sqref="AJ19">
    <cfRule type="containsText" dxfId="462" priority="526" operator="containsText" text="AL">
      <formula>NOT(ISERROR(SEARCH("AL",AJ19)))</formula>
    </cfRule>
    <cfRule type="containsText" dxfId="461" priority="527" operator="containsText" text="SL">
      <formula>NOT(ISERROR(SEARCH("SL",AJ19)))</formula>
    </cfRule>
    <cfRule type="containsText" dxfId="460" priority="528" operator="containsText" text="NP">
      <formula>NOT(ISERROR(SEARCH("NP",AJ19)))</formula>
    </cfRule>
    <cfRule type="containsText" dxfId="459" priority="529" operator="containsText" text="SH">
      <formula>NOT(ISERROR(SEARCH("SH",AJ19)))</formula>
    </cfRule>
    <cfRule type="containsText" dxfId="458" priority="530" operator="containsText" text="RD">
      <formula>NOT(ISERROR(SEARCH("RD",AJ19)))</formula>
    </cfRule>
  </conditionalFormatting>
  <conditionalFormatting sqref="AJ21">
    <cfRule type="containsText" dxfId="457" priority="519" operator="containsText" text="AL">
      <formula>NOT(ISERROR(SEARCH("AL",AJ21)))</formula>
    </cfRule>
    <cfRule type="containsText" dxfId="456" priority="520" operator="containsText" text="SL">
      <formula>NOT(ISERROR(SEARCH("SL",AJ21)))</formula>
    </cfRule>
    <cfRule type="containsText" dxfId="455" priority="521" operator="containsText" text="NP">
      <formula>NOT(ISERROR(SEARCH("NP",AJ21)))</formula>
    </cfRule>
    <cfRule type="containsText" dxfId="454" priority="522" operator="containsText" text="SH">
      <formula>NOT(ISERROR(SEARCH("SH",AJ21)))</formula>
    </cfRule>
    <cfRule type="containsText" dxfId="453" priority="523" operator="containsText" text="RD">
      <formula>NOT(ISERROR(SEARCH("RD",AJ21)))</formula>
    </cfRule>
  </conditionalFormatting>
  <conditionalFormatting sqref="AG46">
    <cfRule type="cellIs" dxfId="452" priority="213" operator="equal">
      <formula>"CL"</formula>
    </cfRule>
    <cfRule type="cellIs" dxfId="451" priority="214" operator="equal">
      <formula>"GS"</formula>
    </cfRule>
    <cfRule type="containsText" dxfId="450" priority="215" operator="containsText" text="SL">
      <formula>NOT(ISERROR(SEARCH("SL",AG46)))</formula>
    </cfRule>
    <cfRule type="containsText" dxfId="449" priority="216" operator="containsText" text="NP">
      <formula>NOT(ISERROR(SEARCH("NP",AG46)))</formula>
    </cfRule>
    <cfRule type="containsText" dxfId="448" priority="217" operator="containsText" text="SH">
      <formula>NOT(ISERROR(SEARCH("SH",AG46)))</formula>
    </cfRule>
    <cfRule type="containsText" dxfId="447" priority="218" operator="containsText" text="RD">
      <formula>NOT(ISERROR(SEARCH("RD",AG46)))</formula>
    </cfRule>
    <cfRule type="cellIs" dxfId="446" priority="219" operator="equal">
      <formula>"OTN"</formula>
    </cfRule>
    <cfRule type="cellIs" dxfId="445" priority="220" operator="equal">
      <formula>"SR"</formula>
    </cfRule>
    <cfRule type="cellIs" dxfId="444" priority="221" operator="equal">
      <formula>"SG"</formula>
    </cfRule>
    <cfRule type="containsText" dxfId="443" priority="222" operator="containsText" text="AL">
      <formula>NOT(ISERROR(SEARCH("AL",AG46)))</formula>
    </cfRule>
    <cfRule type="containsText" dxfId="442" priority="224" operator="containsText" text="SL">
      <formula>NOT(ISERROR(SEARCH("SL",AG46)))</formula>
    </cfRule>
    <cfRule type="containsText" dxfId="441" priority="225" operator="containsText" text="NP">
      <formula>NOT(ISERROR(SEARCH("NP",AG46)))</formula>
    </cfRule>
    <cfRule type="containsText" dxfId="440" priority="226" operator="containsText" text="SH">
      <formula>NOT(ISERROR(SEARCH("SH",AG46)))</formula>
    </cfRule>
    <cfRule type="containsText" dxfId="439" priority="227" operator="containsText" text="RD">
      <formula>NOT(ISERROR(SEARCH("RD",AG46)))</formula>
    </cfRule>
  </conditionalFormatting>
  <conditionalFormatting sqref="AJ19:AM19">
    <cfRule type="cellIs" dxfId="438" priority="531" operator="equal">
      <formula>"CL"</formula>
    </cfRule>
    <cfRule type="cellIs" dxfId="437" priority="532" operator="equal">
      <formula>"NC"</formula>
    </cfRule>
  </conditionalFormatting>
  <conditionalFormatting sqref="AK23">
    <cfRule type="containsText" dxfId="436" priority="442" operator="containsText" text="AL">
      <formula>NOT(ISERROR(SEARCH("AL",AK23)))</formula>
    </cfRule>
    <cfRule type="containsText" dxfId="435" priority="443" operator="containsText" text="SL">
      <formula>NOT(ISERROR(SEARCH("SL",AK23)))</formula>
    </cfRule>
    <cfRule type="containsText" dxfId="434" priority="444" operator="containsText" text="NP">
      <formula>NOT(ISERROR(SEARCH("NP",AK23)))</formula>
    </cfRule>
    <cfRule type="containsText" dxfId="433" priority="445" operator="containsText" text="SH">
      <formula>NOT(ISERROR(SEARCH("SH",AK23)))</formula>
    </cfRule>
    <cfRule type="containsText" dxfId="432" priority="446" operator="containsText" text="RD">
      <formula>NOT(ISERROR(SEARCH("RD",AK23)))</formula>
    </cfRule>
    <cfRule type="cellIs" dxfId="431" priority="447" operator="equal">
      <formula>"CL"</formula>
    </cfRule>
    <cfRule type="cellIs" dxfId="430" priority="448" operator="equal">
      <formula>"NC"</formula>
    </cfRule>
  </conditionalFormatting>
  <conditionalFormatting sqref="AK25">
    <cfRule type="containsText" dxfId="429" priority="435" operator="containsText" text="AL">
      <formula>NOT(ISERROR(SEARCH("AL",AK25)))</formula>
    </cfRule>
    <cfRule type="containsText" dxfId="428" priority="436" operator="containsText" text="SL">
      <formula>NOT(ISERROR(SEARCH("SL",AK25)))</formula>
    </cfRule>
    <cfRule type="containsText" dxfId="427" priority="437" operator="containsText" text="NP">
      <formula>NOT(ISERROR(SEARCH("NP",AK25)))</formula>
    </cfRule>
    <cfRule type="containsText" dxfId="426" priority="438" operator="containsText" text="SH">
      <formula>NOT(ISERROR(SEARCH("SH",AK25)))</formula>
    </cfRule>
    <cfRule type="containsText" dxfId="425" priority="439" operator="containsText" text="RD">
      <formula>NOT(ISERROR(SEARCH("RD",AK25)))</formula>
    </cfRule>
  </conditionalFormatting>
  <conditionalFormatting sqref="AK26">
    <cfRule type="cellIs" dxfId="424" priority="250" operator="equal">
      <formula>"CL"</formula>
    </cfRule>
    <cfRule type="cellIs" dxfId="423" priority="251" operator="equal">
      <formula>"NC"</formula>
    </cfRule>
  </conditionalFormatting>
  <conditionalFormatting sqref="AK25:AM25">
    <cfRule type="cellIs" dxfId="422" priority="440" operator="equal">
      <formula>"CL"</formula>
    </cfRule>
    <cfRule type="cellIs" dxfId="421" priority="441" operator="equal">
      <formula>"NC"</formula>
    </cfRule>
  </conditionalFormatting>
  <conditionalFormatting sqref="AL22:AL23">
    <cfRule type="containsText" dxfId="420" priority="449" operator="containsText" text="AL">
      <formula>NOT(ISERROR(SEARCH("AL",AL22)))</formula>
    </cfRule>
    <cfRule type="containsText" dxfId="419" priority="450" operator="containsText" text="SL">
      <formula>NOT(ISERROR(SEARCH("SL",AL22)))</formula>
    </cfRule>
    <cfRule type="containsText" dxfId="418" priority="451" operator="containsText" text="NP">
      <formula>NOT(ISERROR(SEARCH("NP",AL22)))</formula>
    </cfRule>
    <cfRule type="containsText" dxfId="417" priority="452" operator="containsText" text="SH">
      <formula>NOT(ISERROR(SEARCH("SH",AL22)))</formula>
    </cfRule>
    <cfRule type="containsText" dxfId="416" priority="453" operator="containsText" text="RD">
      <formula>NOT(ISERROR(SEARCH("RD",AL22)))</formula>
    </cfRule>
  </conditionalFormatting>
  <conditionalFormatting sqref="AL10:AM10">
    <cfRule type="cellIs" dxfId="415" priority="287" operator="equal">
      <formula>"CL"</formula>
    </cfRule>
    <cfRule type="containsText" dxfId="414" priority="288" operator="containsText" text="EC">
      <formula>NOT(ISERROR(SEARCH("EC",AL10)))</formula>
    </cfRule>
    <cfRule type="containsText" dxfId="413" priority="289" operator="containsText" text="OTE">
      <formula>NOT(ISERROR(SEARCH("OTE",AL10)))</formula>
    </cfRule>
  </conditionalFormatting>
  <conditionalFormatting sqref="AL22:AM23">
    <cfRule type="cellIs" dxfId="412" priority="454" operator="equal">
      <formula>"CL"</formula>
    </cfRule>
    <cfRule type="cellIs" dxfId="411" priority="455" operator="equal">
      <formula>"NC"</formula>
    </cfRule>
  </conditionalFormatting>
  <conditionalFormatting sqref="AM29">
    <cfRule type="containsText" dxfId="410" priority="484" operator="containsText" text="AL">
      <formula>NOT(ISERROR(SEARCH("AL",AM29)))</formula>
    </cfRule>
    <cfRule type="containsText" dxfId="409" priority="485" operator="containsText" text="SL">
      <formula>NOT(ISERROR(SEARCH("SL",AM29)))</formula>
    </cfRule>
    <cfRule type="containsText" dxfId="408" priority="486" operator="containsText" text="NP">
      <formula>NOT(ISERROR(SEARCH("NP",AM29)))</formula>
    </cfRule>
    <cfRule type="containsText" dxfId="407" priority="487" operator="containsText" text="SH">
      <formula>NOT(ISERROR(SEARCH("SH",AM29)))</formula>
    </cfRule>
    <cfRule type="containsText" dxfId="406" priority="488" operator="containsText" text="RD">
      <formula>NOT(ISERROR(SEARCH("RD",AM29)))</formula>
    </cfRule>
    <cfRule type="cellIs" dxfId="405" priority="489" operator="equal">
      <formula>"CL"</formula>
    </cfRule>
    <cfRule type="cellIs" dxfId="404" priority="490" operator="equal">
      <formula>"NC"</formula>
    </cfRule>
  </conditionalFormatting>
  <conditionalFormatting sqref="AM31">
    <cfRule type="cellIs" dxfId="403" priority="172" operator="equal">
      <formula>"GS"</formula>
    </cfRule>
    <cfRule type="cellIs" dxfId="402" priority="173" operator="equal">
      <formula>"NC"</formula>
    </cfRule>
    <cfRule type="cellIs" dxfId="401" priority="174" operator="equal">
      <formula>"SG"</formula>
    </cfRule>
    <cfRule type="containsText" dxfId="400" priority="175" operator="containsText" text="EC">
      <formula>NOT(ISERROR(SEARCH("EC",AM31)))</formula>
    </cfRule>
    <cfRule type="containsText" dxfId="399" priority="176" operator="containsText" text="OTE">
      <formula>NOT(ISERROR(SEARCH("OTE",AM31)))</formula>
    </cfRule>
    <cfRule type="containsText" dxfId="398" priority="177" operator="containsText" text="AL">
      <formula>NOT(ISERROR(SEARCH("AL",AM31)))</formula>
    </cfRule>
    <cfRule type="containsText" dxfId="397" priority="178" operator="containsText" text="SL">
      <formula>NOT(ISERROR(SEARCH("SL",AM31)))</formula>
    </cfRule>
    <cfRule type="containsText" dxfId="396" priority="179" operator="containsText" text="NP">
      <formula>NOT(ISERROR(SEARCH("NP",AM31)))</formula>
    </cfRule>
    <cfRule type="containsText" dxfId="395" priority="180" operator="containsText" text="SH">
      <formula>NOT(ISERROR(SEARCH("SH",AM31)))</formula>
    </cfRule>
    <cfRule type="containsText" dxfId="394" priority="181" operator="containsText" text="RD">
      <formula>NOT(ISERROR(SEARCH("RD",AM31)))</formula>
    </cfRule>
    <cfRule type="containsText" dxfId="393" priority="182" operator="containsText" text="OTE">
      <formula>NOT(ISERROR(SEARCH("OTE",AM31)))</formula>
    </cfRule>
    <cfRule type="containsText" dxfId="392" priority="183" operator="containsText" text="AL">
      <formula>NOT(ISERROR(SEARCH("AL",AM31)))</formula>
    </cfRule>
    <cfRule type="containsText" dxfId="391" priority="184" operator="containsText" text="SL">
      <formula>NOT(ISERROR(SEARCH("SL",AM31)))</formula>
    </cfRule>
    <cfRule type="containsText" dxfId="390" priority="185" operator="containsText" text="NP">
      <formula>NOT(ISERROR(SEARCH("NP",AM31)))</formula>
    </cfRule>
    <cfRule type="containsText" dxfId="389" priority="186" operator="containsText" text="SH">
      <formula>NOT(ISERROR(SEARCH("SH",AM31)))</formula>
    </cfRule>
    <cfRule type="containsText" dxfId="388" priority="187" operator="containsText" text="RD">
      <formula>NOT(ISERROR(SEARCH("RD",AM31)))</formula>
    </cfRule>
    <cfRule type="cellIs" dxfId="387" priority="188" operator="equal">
      <formula>"NC"</formula>
    </cfRule>
    <cfRule type="containsText" dxfId="386" priority="189" operator="containsText" text="EC">
      <formula>NOT(ISERROR(SEARCH("EC",AM31)))</formula>
    </cfRule>
    <cfRule type="containsText" dxfId="385" priority="190" operator="containsText" text="OTE">
      <formula>NOT(ISERROR(SEARCH("OTE",AM31)))</formula>
    </cfRule>
    <cfRule type="containsText" dxfId="384" priority="191" operator="containsText" text="AL">
      <formula>NOT(ISERROR(SEARCH("AL",AM31)))</formula>
    </cfRule>
    <cfRule type="containsText" dxfId="383" priority="192" operator="containsText" text="SL">
      <formula>NOT(ISERROR(SEARCH("SL",AM31)))</formula>
    </cfRule>
    <cfRule type="containsText" dxfId="382" priority="193" operator="containsText" text="NP">
      <formula>NOT(ISERROR(SEARCH("NP",AM31)))</formula>
    </cfRule>
    <cfRule type="containsText" dxfId="381" priority="194" operator="containsText" text="SH">
      <formula>NOT(ISERROR(SEARCH("SH",AM31)))</formula>
    </cfRule>
    <cfRule type="containsText" dxfId="380" priority="195" operator="containsText" text="RD">
      <formula>NOT(ISERROR(SEARCH("RD",AM31)))</formula>
    </cfRule>
  </conditionalFormatting>
  <conditionalFormatting sqref="AV6:BC10">
    <cfRule type="cellIs" dxfId="379" priority="229" operator="equal">
      <formula>0</formula>
    </cfRule>
  </conditionalFormatting>
  <conditionalFormatting sqref="AV19:BC31">
    <cfRule type="cellIs" dxfId="378" priority="149" operator="equal">
      <formula>0</formula>
    </cfRule>
  </conditionalFormatting>
  <conditionalFormatting sqref="I6:AF6">
    <cfRule type="expression" dxfId="377" priority="1084">
      <formula>(WEEKDAY($I1048525,5)&gt;1)</formula>
    </cfRule>
    <cfRule type="expression" dxfId="376" priority="1085">
      <formula>LEFT(#REF!,1)="H"</formula>
    </cfRule>
    <cfRule type="expression" dxfId="375" priority="1086">
      <formula>WEEKDAY(I$6,2)&gt;6</formula>
    </cfRule>
  </conditionalFormatting>
  <conditionalFormatting sqref="I6:AF7 AJ6:AM7">
    <cfRule type="expression" dxfId="374" priority="1087">
      <formula>LEFT(#REF!,1)="H"</formula>
    </cfRule>
    <cfRule type="expression" dxfId="373" priority="1088">
      <formula>WEEKDAY(#REF!,2)&gt;6</formula>
    </cfRule>
  </conditionalFormatting>
  <conditionalFormatting sqref="AG30:AI33">
    <cfRule type="cellIs" dxfId="371" priority="1" operator="equal">
      <formula>"GS"</formula>
    </cfRule>
    <cfRule type="cellIs" dxfId="370" priority="2" operator="equal">
      <formula>"SG"</formula>
    </cfRule>
  </conditionalFormatting>
  <conditionalFormatting sqref="AG10:AI29 AG34:AI43">
    <cfRule type="cellIs" dxfId="369" priority="48" operator="equal">
      <formula>"GS"</formula>
    </cfRule>
  </conditionalFormatting>
  <conditionalFormatting sqref="AG8:AI29 AG34:AI43">
    <cfRule type="cellIs" dxfId="368" priority="49" operator="equal">
      <formula>"SG"</formula>
    </cfRule>
  </conditionalFormatting>
  <conditionalFormatting sqref="AH19:AI19 AG20:AI20 AH21:AI21 AG22:AH22 AG23 AG24:AI24 AG25 AI25 AG26:AI29">
    <cfRule type="containsText" dxfId="367" priority="119" operator="containsText" text="SL">
      <formula>NOT(ISERROR(SEARCH("SL",AG19)))</formula>
    </cfRule>
    <cfRule type="containsText" dxfId="366" priority="120" operator="containsText" text="NP">
      <formula>NOT(ISERROR(SEARCH("NP",AG19)))</formula>
    </cfRule>
    <cfRule type="containsText" dxfId="365" priority="121" operator="containsText" text="SH">
      <formula>NOT(ISERROR(SEARCH("SH",AG19)))</formula>
    </cfRule>
    <cfRule type="containsText" dxfId="364" priority="122" operator="containsText" text="RD">
      <formula>NOT(ISERROR(SEARCH("RD",AG19)))</formula>
    </cfRule>
  </conditionalFormatting>
  <conditionalFormatting sqref="AG11:AI18">
    <cfRule type="cellIs" dxfId="363" priority="114" operator="equal">
      <formula>"CL"</formula>
    </cfRule>
  </conditionalFormatting>
  <conditionalFormatting sqref="AG25">
    <cfRule type="cellIs" dxfId="362" priority="112" operator="equal">
      <formula>"CL"</formula>
    </cfRule>
    <cfRule type="cellIs" dxfId="361" priority="113" operator="equal">
      <formula>"NC"</formula>
    </cfRule>
  </conditionalFormatting>
  <conditionalFormatting sqref="AG29:AI29">
    <cfRule type="cellIs" dxfId="360" priority="77" operator="equal">
      <formula>"CL"</formula>
    </cfRule>
    <cfRule type="cellIs" dxfId="359" priority="78" operator="equal">
      <formula>"NC"</formula>
    </cfRule>
  </conditionalFormatting>
  <conditionalFormatting sqref="AG8:AI10">
    <cfRule type="cellIs" dxfId="358" priority="123" operator="equal">
      <formula>"CL"</formula>
    </cfRule>
    <cfRule type="cellIs" dxfId="357" priority="124" operator="equal">
      <formula>"NC"</formula>
    </cfRule>
  </conditionalFormatting>
  <conditionalFormatting sqref="AG8:AI9">
    <cfRule type="cellIs" dxfId="356" priority="46" operator="equal">
      <formula>"GS"</formula>
    </cfRule>
  </conditionalFormatting>
  <conditionalFormatting sqref="AG8:AI10">
    <cfRule type="containsText" dxfId="355" priority="51" operator="containsText" text="AL">
      <formula>NOT(ISERROR(SEARCH("AL",AG8)))</formula>
    </cfRule>
    <cfRule type="containsText" dxfId="354" priority="52" operator="containsText" text="SL">
      <formula>NOT(ISERROR(SEARCH("SL",AG8)))</formula>
    </cfRule>
    <cfRule type="containsText" dxfId="353" priority="53" operator="containsText" text="NP">
      <formula>NOT(ISERROR(SEARCH("NP",AG8)))</formula>
    </cfRule>
    <cfRule type="containsText" dxfId="352" priority="54" operator="containsText" text="SH">
      <formula>NOT(ISERROR(SEARCH("SH",AG8)))</formula>
    </cfRule>
    <cfRule type="containsText" dxfId="351" priority="55" operator="containsText" text="RD">
      <formula>NOT(ISERROR(SEARCH("RD",AG8)))</formula>
    </cfRule>
  </conditionalFormatting>
  <conditionalFormatting sqref="AG10:AI18">
    <cfRule type="cellIs" dxfId="350" priority="50" operator="equal">
      <formula>"NC"</formula>
    </cfRule>
  </conditionalFormatting>
  <conditionalFormatting sqref="AG11:AI12">
    <cfRule type="containsText" dxfId="349" priority="134" operator="containsText" text="AL">
      <formula>NOT(ISERROR(SEARCH("AL",AG11)))</formula>
    </cfRule>
    <cfRule type="containsText" dxfId="348" priority="135" operator="containsText" text="SL">
      <formula>NOT(ISERROR(SEARCH("SL",AG11)))</formula>
    </cfRule>
    <cfRule type="containsText" dxfId="347" priority="136" operator="containsText" text="NP">
      <formula>NOT(ISERROR(SEARCH("NP",AG11)))</formula>
    </cfRule>
    <cfRule type="containsText" dxfId="346" priority="137" operator="containsText" text="SH">
      <formula>NOT(ISERROR(SEARCH("SH",AG11)))</formula>
    </cfRule>
    <cfRule type="containsText" dxfId="345" priority="138" operator="containsText" text="RD">
      <formula>NOT(ISERROR(SEARCH("RD",AG11)))</formula>
    </cfRule>
  </conditionalFormatting>
  <conditionalFormatting sqref="AG14:AI14">
    <cfRule type="cellIs" dxfId="344" priority="139" operator="greaterThan">
      <formula>9</formula>
    </cfRule>
  </conditionalFormatting>
  <conditionalFormatting sqref="AG30:AI30">
    <cfRule type="cellIs" dxfId="343" priority="3" operator="equal">
      <formula>"CL"</formula>
    </cfRule>
    <cfRule type="cellIs" dxfId="342" priority="4" operator="equal">
      <formula>"GS"</formula>
    </cfRule>
    <cfRule type="cellIs" dxfId="341" priority="5" operator="equal">
      <formula>"NC"</formula>
    </cfRule>
    <cfRule type="cellIs" dxfId="340" priority="6" operator="equal">
      <formula>"SG"</formula>
    </cfRule>
    <cfRule type="containsText" dxfId="339" priority="7" operator="containsText" text="EC">
      <formula>NOT(ISERROR(SEARCH("EC",AG30)))</formula>
    </cfRule>
    <cfRule type="containsText" dxfId="338" priority="8" operator="containsText" text="OTE">
      <formula>NOT(ISERROR(SEARCH("OTE",AG30)))</formula>
    </cfRule>
    <cfRule type="containsText" dxfId="337" priority="9" operator="containsText" text="AL">
      <formula>NOT(ISERROR(SEARCH("AL",AG30)))</formula>
    </cfRule>
    <cfRule type="containsText" dxfId="336" priority="10" operator="containsText" text="SL">
      <formula>NOT(ISERROR(SEARCH("SL",AG30)))</formula>
    </cfRule>
    <cfRule type="containsText" dxfId="335" priority="11" operator="containsText" text="NP">
      <formula>NOT(ISERROR(SEARCH("NP",AG30)))</formula>
    </cfRule>
    <cfRule type="containsText" dxfId="334" priority="12" operator="containsText" text="SH">
      <formula>NOT(ISERROR(SEARCH("SH",AG30)))</formula>
    </cfRule>
    <cfRule type="containsText" dxfId="333" priority="13" operator="containsText" text="RD">
      <formula>NOT(ISERROR(SEARCH("RD",AG30)))</formula>
    </cfRule>
    <cfRule type="containsText" dxfId="332" priority="14" operator="containsText" text="OTE">
      <formula>NOT(ISERROR(SEARCH("OTE",AG30)))</formula>
    </cfRule>
    <cfRule type="containsText" dxfId="331" priority="15" operator="containsText" text="AL">
      <formula>NOT(ISERROR(SEARCH("AL",AG30)))</formula>
    </cfRule>
    <cfRule type="containsText" dxfId="330" priority="16" operator="containsText" text="SL">
      <formula>NOT(ISERROR(SEARCH("SL",AG30)))</formula>
    </cfRule>
    <cfRule type="containsText" dxfId="329" priority="17" operator="containsText" text="NP">
      <formula>NOT(ISERROR(SEARCH("NP",AG30)))</formula>
    </cfRule>
    <cfRule type="containsText" dxfId="328" priority="18" operator="containsText" text="SH">
      <formula>NOT(ISERROR(SEARCH("SH",AG30)))</formula>
    </cfRule>
    <cfRule type="containsText" dxfId="327" priority="19" operator="containsText" text="RD">
      <formula>NOT(ISERROR(SEARCH("RD",AG30)))</formula>
    </cfRule>
  </conditionalFormatting>
  <conditionalFormatting sqref="AG31:AI31">
    <cfRule type="cellIs" dxfId="326" priority="20" operator="equal">
      <formula>"CL"</formula>
    </cfRule>
    <cfRule type="cellIs" dxfId="325" priority="21" operator="equal">
      <formula>"GS"</formula>
    </cfRule>
    <cfRule type="cellIs" dxfId="324" priority="22" operator="equal">
      <formula>"NC"</formula>
    </cfRule>
    <cfRule type="cellIs" dxfId="323" priority="23" operator="equal">
      <formula>"SG"</formula>
    </cfRule>
    <cfRule type="containsText" dxfId="322" priority="24" operator="containsText" text="EC">
      <formula>NOT(ISERROR(SEARCH("EC",AG31)))</formula>
    </cfRule>
    <cfRule type="containsText" dxfId="321" priority="25" operator="containsText" text="OTE">
      <formula>NOT(ISERROR(SEARCH("OTE",AG31)))</formula>
    </cfRule>
    <cfRule type="containsText" dxfId="320" priority="26" operator="containsText" text="AL">
      <formula>NOT(ISERROR(SEARCH("AL",AG31)))</formula>
    </cfRule>
    <cfRule type="containsText" dxfId="319" priority="27" operator="containsText" text="SL">
      <formula>NOT(ISERROR(SEARCH("SL",AG31)))</formula>
    </cfRule>
    <cfRule type="containsText" dxfId="318" priority="28" operator="containsText" text="NP">
      <formula>NOT(ISERROR(SEARCH("NP",AG31)))</formula>
    </cfRule>
    <cfRule type="containsText" dxfId="317" priority="29" operator="containsText" text="SH">
      <formula>NOT(ISERROR(SEARCH("SH",AG31)))</formula>
    </cfRule>
    <cfRule type="containsText" dxfId="316" priority="30" operator="containsText" text="RD">
      <formula>NOT(ISERROR(SEARCH("RD",AG31)))</formula>
    </cfRule>
    <cfRule type="containsText" dxfId="315" priority="31" operator="containsText" text="OTE">
      <formula>NOT(ISERROR(SEARCH("OTE",AG31)))</formula>
    </cfRule>
    <cfRule type="containsText" dxfId="314" priority="32" operator="containsText" text="AL">
      <formula>NOT(ISERROR(SEARCH("AL",AG31)))</formula>
    </cfRule>
    <cfRule type="containsText" dxfId="313" priority="33" operator="containsText" text="SL">
      <formula>NOT(ISERROR(SEARCH("SL",AG31)))</formula>
    </cfRule>
    <cfRule type="containsText" dxfId="312" priority="34" operator="containsText" text="NP">
      <formula>NOT(ISERROR(SEARCH("NP",AG31)))</formula>
    </cfRule>
    <cfRule type="containsText" dxfId="311" priority="35" operator="containsText" text="SH">
      <formula>NOT(ISERROR(SEARCH("SH",AG31)))</formula>
    </cfRule>
    <cfRule type="containsText" dxfId="310" priority="36" operator="containsText" text="RD">
      <formula>NOT(ISERROR(SEARCH("RD",AG31)))</formula>
    </cfRule>
  </conditionalFormatting>
  <conditionalFormatting sqref="AG35:AI35">
    <cfRule type="cellIs" dxfId="309" priority="47" operator="greaterThan">
      <formula>8</formula>
    </cfRule>
  </conditionalFormatting>
  <conditionalFormatting sqref="AG10:AI12">
    <cfRule type="cellIs" dxfId="308" priority="125" operator="equal">
      <formula>"SG"</formula>
    </cfRule>
    <cfRule type="cellIs" dxfId="307" priority="128" operator="equal">
      <formula>"GS"</formula>
    </cfRule>
  </conditionalFormatting>
  <conditionalFormatting sqref="AG10:AI10">
    <cfRule type="cellIs" dxfId="306" priority="45" operator="equal">
      <formula>"CL"</formula>
    </cfRule>
    <cfRule type="cellIs" dxfId="305" priority="126" operator="equal">
      <formula>"GS"</formula>
    </cfRule>
    <cfRule type="cellIs" dxfId="304" priority="127" operator="equal">
      <formula>"GS"</formula>
    </cfRule>
    <cfRule type="containsText" dxfId="303" priority="129" operator="containsText" text="AL">
      <formula>NOT(ISERROR(SEARCH("AL",AG10)))</formula>
    </cfRule>
    <cfRule type="containsText" dxfId="302" priority="130" operator="containsText" text="SL">
      <formula>NOT(ISERROR(SEARCH("SL",AG10)))</formula>
    </cfRule>
    <cfRule type="containsText" dxfId="301" priority="131" operator="containsText" text="NP">
      <formula>NOT(ISERROR(SEARCH("NP",AG10)))</formula>
    </cfRule>
    <cfRule type="containsText" dxfId="300" priority="132" operator="containsText" text="SH">
      <formula>NOT(ISERROR(SEARCH("SH",AG10)))</formula>
    </cfRule>
    <cfRule type="containsText" dxfId="299" priority="133" operator="containsText" text="RD">
      <formula>NOT(ISERROR(SEARCH("RD",AG10)))</formula>
    </cfRule>
  </conditionalFormatting>
  <conditionalFormatting sqref="AG35:AI35">
    <cfRule type="cellIs" dxfId="298" priority="140" operator="greaterThan">
      <formula>9</formula>
    </cfRule>
  </conditionalFormatting>
  <conditionalFormatting sqref="AG25 AG22:AH22 AH19:AI19 AG20:AI20 AH21:AI21 AG23 AG24:AI24 AI25 AG26:AI29">
    <cfRule type="containsText" dxfId="297" priority="118" operator="containsText" text="AL">
      <formula>NOT(ISERROR(SEARCH("AL",AG19)))</formula>
    </cfRule>
  </conditionalFormatting>
  <conditionalFormatting sqref="AG28:AI28">
    <cfRule type="containsText" dxfId="296" priority="105" operator="containsText" text="AL">
      <formula>NOT(ISERROR(SEARCH("AL",AG28)))</formula>
    </cfRule>
    <cfRule type="containsText" dxfId="295" priority="106" operator="containsText" text="SL">
      <formula>NOT(ISERROR(SEARCH("SL",AG28)))</formula>
    </cfRule>
    <cfRule type="containsText" dxfId="294" priority="107" operator="containsText" text="NP">
      <formula>NOT(ISERROR(SEARCH("NP",AG28)))</formula>
    </cfRule>
    <cfRule type="containsText" dxfId="293" priority="108" operator="containsText" text="SH">
      <formula>NOT(ISERROR(SEARCH("SH",AG28)))</formula>
    </cfRule>
    <cfRule type="containsText" dxfId="292" priority="109" operator="containsText" text="RD">
      <formula>NOT(ISERROR(SEARCH("RD",AG28)))</formula>
    </cfRule>
    <cfRule type="cellIs" dxfId="291" priority="110" operator="equal">
      <formula>"CL"</formula>
    </cfRule>
    <cfRule type="cellIs" dxfId="290" priority="111" operator="equal">
      <formula>"NC"</formula>
    </cfRule>
  </conditionalFormatting>
  <conditionalFormatting sqref="AH19:AI19 AG20:AI20 AH21:AI21 AG22:AH22 AG23 AG24:AI24 AG25 AI25 AG26:AI28">
    <cfRule type="cellIs" dxfId="289" priority="116" operator="equal">
      <formula>"GS"</formula>
    </cfRule>
  </conditionalFormatting>
  <conditionalFormatting sqref="AG22:AH22">
    <cfRule type="cellIs" dxfId="288" priority="115" operator="equal">
      <formula>"CL"</formula>
    </cfRule>
    <cfRule type="cellIs" dxfId="287" priority="117" operator="equal">
      <formula>"NC"</formula>
    </cfRule>
  </conditionalFormatting>
  <conditionalFormatting sqref="AG21:AI21">
    <cfRule type="cellIs" dxfId="286" priority="90" operator="equal">
      <formula>"CL"</formula>
    </cfRule>
    <cfRule type="cellIs" dxfId="285" priority="91" operator="equal">
      <formula>"NC"</formula>
    </cfRule>
  </conditionalFormatting>
  <conditionalFormatting sqref="AG26:AI26">
    <cfRule type="cellIs" dxfId="284" priority="83" operator="equal">
      <formula>"CL"</formula>
    </cfRule>
    <cfRule type="cellIs" dxfId="283" priority="84" operator="equal">
      <formula>"NC"</formula>
    </cfRule>
  </conditionalFormatting>
  <conditionalFormatting sqref="AG27:AI27">
    <cfRule type="cellIs" dxfId="282" priority="81" operator="equal">
      <formula>"CL"</formula>
    </cfRule>
    <cfRule type="cellIs" dxfId="281" priority="82" operator="equal">
      <formula>"NC"</formula>
    </cfRule>
  </conditionalFormatting>
  <conditionalFormatting sqref="AG10">
    <cfRule type="cellIs" dxfId="280" priority="42" operator="equal">
      <formula>"CL"</formula>
    </cfRule>
    <cfRule type="containsText" dxfId="279" priority="43" operator="containsText" text="EC">
      <formula>NOT(ISERROR(SEARCH("EC",AG10)))</formula>
    </cfRule>
    <cfRule type="containsText" dxfId="278" priority="44" operator="containsText" text="OTE">
      <formula>NOT(ISERROR(SEARCH("OTE",AG10)))</formula>
    </cfRule>
  </conditionalFormatting>
  <conditionalFormatting sqref="AG23">
    <cfRule type="cellIs" dxfId="277" priority="101" operator="equal">
      <formula>"CL"</formula>
    </cfRule>
    <cfRule type="cellIs" dxfId="276" priority="102" operator="equal">
      <formula>"NC"</formula>
    </cfRule>
  </conditionalFormatting>
  <conditionalFormatting sqref="AG24:AI24">
    <cfRule type="cellIs" dxfId="275" priority="103" operator="equal">
      <formula>"CL"</formula>
    </cfRule>
    <cfRule type="cellIs" dxfId="274" priority="104" operator="equal">
      <formula>"NC"</formula>
    </cfRule>
  </conditionalFormatting>
  <conditionalFormatting sqref="AG20:AI20">
    <cfRule type="cellIs" dxfId="273" priority="99" operator="equal">
      <formula>"CL"</formula>
    </cfRule>
    <cfRule type="cellIs" dxfId="272" priority="100" operator="equal">
      <formula>"NC"</formula>
    </cfRule>
  </conditionalFormatting>
  <conditionalFormatting sqref="AG28:AI28">
    <cfRule type="cellIs" dxfId="271" priority="79" operator="equal">
      <formula>"CL"</formula>
    </cfRule>
    <cfRule type="cellIs" dxfId="270" priority="80" operator="equal">
      <formula>"NC"</formula>
    </cfRule>
  </conditionalFormatting>
  <conditionalFormatting sqref="AG19">
    <cfRule type="containsText" dxfId="269" priority="92" operator="containsText" text="AL">
      <formula>NOT(ISERROR(SEARCH("AL",AG19)))</formula>
    </cfRule>
    <cfRule type="containsText" dxfId="268" priority="93" operator="containsText" text="SL">
      <formula>NOT(ISERROR(SEARCH("SL",AG19)))</formula>
    </cfRule>
    <cfRule type="containsText" dxfId="267" priority="94" operator="containsText" text="NP">
      <formula>NOT(ISERROR(SEARCH("NP",AG19)))</formula>
    </cfRule>
    <cfRule type="containsText" dxfId="266" priority="95" operator="containsText" text="SH">
      <formula>NOT(ISERROR(SEARCH("SH",AG19)))</formula>
    </cfRule>
    <cfRule type="containsText" dxfId="265" priority="96" operator="containsText" text="RD">
      <formula>NOT(ISERROR(SEARCH("RD",AG19)))</formula>
    </cfRule>
  </conditionalFormatting>
  <conditionalFormatting sqref="AG21">
    <cfRule type="containsText" dxfId="264" priority="85" operator="containsText" text="AL">
      <formula>NOT(ISERROR(SEARCH("AL",AG21)))</formula>
    </cfRule>
    <cfRule type="containsText" dxfId="263" priority="86" operator="containsText" text="SL">
      <formula>NOT(ISERROR(SEARCH("SL",AG21)))</formula>
    </cfRule>
    <cfRule type="containsText" dxfId="262" priority="87" operator="containsText" text="NP">
      <formula>NOT(ISERROR(SEARCH("NP",AG21)))</formula>
    </cfRule>
    <cfRule type="containsText" dxfId="261" priority="88" operator="containsText" text="SH">
      <formula>NOT(ISERROR(SEARCH("SH",AG21)))</formula>
    </cfRule>
    <cfRule type="containsText" dxfId="260" priority="89" operator="containsText" text="RD">
      <formula>NOT(ISERROR(SEARCH("RD",AG21)))</formula>
    </cfRule>
  </conditionalFormatting>
  <conditionalFormatting sqref="AG19:AI19">
    <cfRule type="cellIs" dxfId="259" priority="97" operator="equal">
      <formula>"CL"</formula>
    </cfRule>
    <cfRule type="cellIs" dxfId="258" priority="98" operator="equal">
      <formula>"NC"</formula>
    </cfRule>
  </conditionalFormatting>
  <conditionalFormatting sqref="AH23">
    <cfRule type="containsText" dxfId="257" priority="63" operator="containsText" text="AL">
      <formula>NOT(ISERROR(SEARCH("AL",AH23)))</formula>
    </cfRule>
    <cfRule type="containsText" dxfId="256" priority="64" operator="containsText" text="SL">
      <formula>NOT(ISERROR(SEARCH("SL",AH23)))</formula>
    </cfRule>
    <cfRule type="containsText" dxfId="255" priority="65" operator="containsText" text="NP">
      <formula>NOT(ISERROR(SEARCH("NP",AH23)))</formula>
    </cfRule>
    <cfRule type="containsText" dxfId="254" priority="66" operator="containsText" text="SH">
      <formula>NOT(ISERROR(SEARCH("SH",AH23)))</formula>
    </cfRule>
    <cfRule type="containsText" dxfId="253" priority="67" operator="containsText" text="RD">
      <formula>NOT(ISERROR(SEARCH("RD",AH23)))</formula>
    </cfRule>
    <cfRule type="cellIs" dxfId="252" priority="68" operator="equal">
      <formula>"CL"</formula>
    </cfRule>
    <cfRule type="cellIs" dxfId="251" priority="69" operator="equal">
      <formula>"NC"</formula>
    </cfRule>
  </conditionalFormatting>
  <conditionalFormatting sqref="AH25">
    <cfRule type="containsText" dxfId="250" priority="56" operator="containsText" text="AL">
      <formula>NOT(ISERROR(SEARCH("AL",AH25)))</formula>
    </cfRule>
    <cfRule type="containsText" dxfId="249" priority="57" operator="containsText" text="SL">
      <formula>NOT(ISERROR(SEARCH("SL",AH25)))</formula>
    </cfRule>
    <cfRule type="containsText" dxfId="248" priority="58" operator="containsText" text="NP">
      <formula>NOT(ISERROR(SEARCH("NP",AH25)))</formula>
    </cfRule>
    <cfRule type="containsText" dxfId="247" priority="59" operator="containsText" text="SH">
      <formula>NOT(ISERROR(SEARCH("SH",AH25)))</formula>
    </cfRule>
    <cfRule type="containsText" dxfId="246" priority="60" operator="containsText" text="RD">
      <formula>NOT(ISERROR(SEARCH("RD",AH25)))</formula>
    </cfRule>
  </conditionalFormatting>
  <conditionalFormatting sqref="AH26">
    <cfRule type="cellIs" dxfId="245" priority="37" operator="equal">
      <formula>"CL"</formula>
    </cfRule>
    <cfRule type="cellIs" dxfId="244" priority="38" operator="equal">
      <formula>"NC"</formula>
    </cfRule>
  </conditionalFormatting>
  <conditionalFormatting sqref="AH25:AI25">
    <cfRule type="cellIs" dxfId="243" priority="61" operator="equal">
      <formula>"CL"</formula>
    </cfRule>
    <cfRule type="cellIs" dxfId="242" priority="62" operator="equal">
      <formula>"NC"</formula>
    </cfRule>
  </conditionalFormatting>
  <conditionalFormatting sqref="AI22:AI23">
    <cfRule type="containsText" dxfId="241" priority="70" operator="containsText" text="AL">
      <formula>NOT(ISERROR(SEARCH("AL",AI22)))</formula>
    </cfRule>
    <cfRule type="containsText" dxfId="240" priority="71" operator="containsText" text="SL">
      <formula>NOT(ISERROR(SEARCH("SL",AI22)))</formula>
    </cfRule>
    <cfRule type="containsText" dxfId="239" priority="72" operator="containsText" text="NP">
      <formula>NOT(ISERROR(SEARCH("NP",AI22)))</formula>
    </cfRule>
    <cfRule type="containsText" dxfId="238" priority="73" operator="containsText" text="SH">
      <formula>NOT(ISERROR(SEARCH("SH",AI22)))</formula>
    </cfRule>
    <cfRule type="containsText" dxfId="237" priority="74" operator="containsText" text="RD">
      <formula>NOT(ISERROR(SEARCH("RD",AI22)))</formula>
    </cfRule>
  </conditionalFormatting>
  <conditionalFormatting sqref="AI10">
    <cfRule type="cellIs" dxfId="236" priority="39" operator="equal">
      <formula>"CL"</formula>
    </cfRule>
    <cfRule type="containsText" dxfId="235" priority="40" operator="containsText" text="EC">
      <formula>NOT(ISERROR(SEARCH("EC",AI10)))</formula>
    </cfRule>
    <cfRule type="containsText" dxfId="234" priority="41" operator="containsText" text="OTE">
      <formula>NOT(ISERROR(SEARCH("OTE",AI10)))</formula>
    </cfRule>
  </conditionalFormatting>
  <conditionalFormatting sqref="AI22:AI23">
    <cfRule type="cellIs" dxfId="233" priority="75" operator="equal">
      <formula>"CL"</formula>
    </cfRule>
    <cfRule type="cellIs" dxfId="232" priority="76" operator="equal">
      <formula>"NC"</formula>
    </cfRule>
  </conditionalFormatting>
  <conditionalFormatting sqref="AG6:AI7">
    <cfRule type="expression" dxfId="231" priority="147">
      <formula>LEFT(#REF!,1)="H"</formula>
    </cfRule>
    <cfRule type="expression" dxfId="230" priority="148">
      <formula>WEEKDAY(#REF!,2)&gt;6</formula>
    </cfRule>
  </conditionalFormatting>
  <printOptions horizontalCentered="1"/>
  <pageMargins left="0.23622047244094491" right="0.23622047244094491" top="0.55118110236220474" bottom="0.55118110236220474" header="0.31496062992125984" footer="0.31496062992125984"/>
  <pageSetup paperSize="9" scale="43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23" operator="containsText" id="{ED6DB1A5-3B0D-4C59-B40E-781F04C091CC}">
            <xm:f>NOT(ISERROR(SEARCH("NC",AG46)))</xm:f>
            <xm:f>"NC"</xm:f>
            <x14:dxf>
              <fill>
                <patternFill>
                  <bgColor theme="0" tint="-0.14996795556505021"/>
                </patternFill>
              </fill>
            </x14:dxf>
          </x14:cfRule>
          <xm:sqref>AG46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FC62F-5CB1-4B9A-A53F-AE9C653C44DC}">
  <sheetPr>
    <pageSetUpPr fitToPage="1"/>
  </sheetPr>
  <dimension ref="B1:BD97"/>
  <sheetViews>
    <sheetView view="pageBreakPreview" zoomScale="70" zoomScaleNormal="60" zoomScaleSheetLayoutView="70" workbookViewId="0">
      <pane xSplit="8" ySplit="8" topLeftCell="I19" activePane="bottomRight" state="frozen"/>
      <selection pane="topRight" activeCell="H1" sqref="H1"/>
      <selection pane="bottomLeft" activeCell="A5" sqref="A5"/>
      <selection pane="bottomRight" activeCell="AN33" sqref="AN33:AO42"/>
    </sheetView>
  </sheetViews>
  <sheetFormatPr defaultColWidth="9" defaultRowHeight="21" outlineLevelCol="1"/>
  <cols>
    <col min="1" max="1" width="1.5" style="13" customWidth="1"/>
    <col min="2" max="2" width="9" style="39"/>
    <col min="3" max="3" width="18.875" style="40" customWidth="1"/>
    <col min="4" max="4" width="17.625" style="40" customWidth="1"/>
    <col min="5" max="5" width="8" style="40" hidden="1" customWidth="1" outlineLevel="1"/>
    <col min="6" max="6" width="15.5" style="40" hidden="1" customWidth="1" outlineLevel="1"/>
    <col min="7" max="7" width="13.125" style="40" hidden="1" customWidth="1" outlineLevel="1"/>
    <col min="8" max="8" width="8.625" style="39" customWidth="1" collapsed="1"/>
    <col min="9" max="9" width="8.25" style="40" customWidth="1"/>
    <col min="10" max="39" width="6.625" style="40" customWidth="1"/>
    <col min="40" max="40" width="11.5" style="40" customWidth="1"/>
    <col min="41" max="41" width="15.125" style="40" customWidth="1"/>
    <col min="42" max="42" width="10.25" style="13" hidden="1" customWidth="1" outlineLevel="1"/>
    <col min="43" max="43" width="6.5" style="13" hidden="1" customWidth="1" outlineLevel="1"/>
    <col min="44" max="55" width="0" style="13" hidden="1" customWidth="1" outlineLevel="1"/>
    <col min="56" max="56" width="9" style="13" collapsed="1"/>
    <col min="57" max="16384" width="9" style="13"/>
  </cols>
  <sheetData>
    <row r="1" spans="2:55" ht="21.95" customHeight="1">
      <c r="B1" s="411" t="s">
        <v>74</v>
      </c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411"/>
      <c r="O1" s="411"/>
      <c r="P1" s="411"/>
      <c r="Q1" s="411"/>
      <c r="R1" s="411"/>
      <c r="S1" s="411"/>
      <c r="T1" s="411"/>
      <c r="U1" s="411"/>
      <c r="V1" s="411"/>
      <c r="W1" s="411"/>
      <c r="X1" s="411"/>
      <c r="Y1" s="411"/>
      <c r="Z1" s="411"/>
      <c r="AA1" s="411"/>
      <c r="AB1" s="411"/>
      <c r="AC1" s="411"/>
      <c r="AD1" s="411"/>
      <c r="AE1" s="411"/>
      <c r="AF1" s="411"/>
      <c r="AG1" s="411"/>
      <c r="AH1" s="411"/>
      <c r="AI1" s="411"/>
      <c r="AJ1" s="411"/>
      <c r="AK1" s="411"/>
      <c r="AL1" s="411"/>
      <c r="AM1" s="411"/>
      <c r="AN1" s="411"/>
      <c r="AO1" s="411"/>
    </row>
    <row r="2" spans="2:55" ht="21.95" customHeight="1">
      <c r="B2" s="411" t="s">
        <v>1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1"/>
      <c r="Z2" s="411"/>
      <c r="AA2" s="411"/>
      <c r="AB2" s="411"/>
      <c r="AC2" s="411"/>
      <c r="AD2" s="411"/>
      <c r="AE2" s="411"/>
      <c r="AF2" s="411"/>
      <c r="AG2" s="411"/>
      <c r="AH2" s="411"/>
      <c r="AI2" s="411"/>
      <c r="AJ2" s="411"/>
      <c r="AK2" s="411"/>
      <c r="AL2" s="411"/>
      <c r="AM2" s="411"/>
      <c r="AN2" s="411"/>
      <c r="AO2" s="411"/>
    </row>
    <row r="3" spans="2:55" ht="21.95" customHeight="1">
      <c r="B3" s="428" t="str">
        <f>YEAR(P6)&amp;"年"&amp;MONTH(P6)&amp;"月保安出勤及休假記錄  (夜更 23:30 - 07:30) "</f>
        <v xml:space="preserve">2026年3月保安出勤及休假記錄  (夜更 23:30 - 07:30) </v>
      </c>
      <c r="C3" s="428"/>
      <c r="D3" s="428"/>
      <c r="E3" s="428"/>
      <c r="F3" s="428"/>
      <c r="G3" s="428"/>
      <c r="H3" s="428"/>
      <c r="I3" s="428"/>
      <c r="J3" s="428"/>
      <c r="K3" s="428"/>
      <c r="L3" s="428"/>
      <c r="M3" s="428"/>
      <c r="N3" s="428"/>
      <c r="O3" s="428"/>
      <c r="P3" s="428"/>
      <c r="Q3" s="428"/>
      <c r="R3" s="428"/>
      <c r="S3" s="428"/>
      <c r="T3" s="428"/>
      <c r="U3" s="428"/>
      <c r="V3" s="428"/>
      <c r="W3" s="428"/>
      <c r="X3" s="428"/>
      <c r="Y3" s="428"/>
      <c r="Z3" s="428"/>
      <c r="AA3" s="428"/>
      <c r="AB3" s="428"/>
      <c r="AC3" s="428"/>
      <c r="AD3" s="428"/>
      <c r="AE3" s="428"/>
      <c r="AF3" s="428"/>
      <c r="AG3" s="428"/>
      <c r="AH3" s="428"/>
      <c r="AI3" s="428"/>
      <c r="AJ3" s="428"/>
      <c r="AK3" s="428"/>
      <c r="AL3" s="428"/>
      <c r="AM3" s="428"/>
      <c r="AN3" s="428"/>
      <c r="AO3" s="428"/>
    </row>
    <row r="4" spans="2:55" ht="21.95" customHeight="1">
      <c r="C4" s="33" t="s">
        <v>2</v>
      </c>
      <c r="I4" s="88"/>
      <c r="J4" s="88"/>
      <c r="K4" s="88"/>
      <c r="L4" s="88"/>
      <c r="M4" s="88"/>
      <c r="N4" s="88"/>
      <c r="O4" s="412" t="s">
        <v>92</v>
      </c>
      <c r="P4" s="412"/>
      <c r="Q4" s="412"/>
      <c r="R4" s="412"/>
      <c r="S4" s="412"/>
      <c r="T4" s="412"/>
      <c r="U4" s="412"/>
      <c r="V4" s="412"/>
      <c r="W4" s="412"/>
      <c r="X4" s="412"/>
      <c r="Y4" s="412"/>
      <c r="Z4" s="412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</row>
    <row r="5" spans="2:55" ht="21.95" customHeight="1" thickBot="1">
      <c r="B5" s="35" t="s">
        <v>75</v>
      </c>
    </row>
    <row r="6" spans="2:55" ht="21.75" customHeight="1">
      <c r="B6" s="220"/>
      <c r="C6" s="256"/>
      <c r="D6" s="256"/>
      <c r="E6" s="276"/>
      <c r="F6" s="223"/>
      <c r="G6" s="224"/>
      <c r="H6" s="277"/>
      <c r="I6" s="301">
        <v>46082</v>
      </c>
      <c r="J6" s="98">
        <f>I6+1</f>
        <v>46083</v>
      </c>
      <c r="K6" s="98">
        <f t="shared" ref="K6:AM6" si="0">J6+1</f>
        <v>46084</v>
      </c>
      <c r="L6" s="98">
        <f t="shared" si="0"/>
        <v>46085</v>
      </c>
      <c r="M6" s="98">
        <f t="shared" si="0"/>
        <v>46086</v>
      </c>
      <c r="N6" s="98">
        <f t="shared" si="0"/>
        <v>46087</v>
      </c>
      <c r="O6" s="98">
        <f t="shared" si="0"/>
        <v>46088</v>
      </c>
      <c r="P6" s="98">
        <f>O6+1</f>
        <v>46089</v>
      </c>
      <c r="Q6" s="98">
        <f t="shared" si="0"/>
        <v>46090</v>
      </c>
      <c r="R6" s="98">
        <f t="shared" si="0"/>
        <v>46091</v>
      </c>
      <c r="S6" s="98">
        <f>R6+1</f>
        <v>46092</v>
      </c>
      <c r="T6" s="98">
        <f t="shared" ref="T6:AC6" si="1">S6+1</f>
        <v>46093</v>
      </c>
      <c r="U6" s="98">
        <f t="shared" si="1"/>
        <v>46094</v>
      </c>
      <c r="V6" s="98">
        <f t="shared" si="1"/>
        <v>46095</v>
      </c>
      <c r="W6" s="98">
        <f t="shared" si="1"/>
        <v>46096</v>
      </c>
      <c r="X6" s="98">
        <f t="shared" si="1"/>
        <v>46097</v>
      </c>
      <c r="Y6" s="98">
        <f t="shared" si="1"/>
        <v>46098</v>
      </c>
      <c r="Z6" s="98">
        <f t="shared" si="1"/>
        <v>46099</v>
      </c>
      <c r="AA6" s="98">
        <f t="shared" si="1"/>
        <v>46100</v>
      </c>
      <c r="AB6" s="98">
        <f t="shared" si="1"/>
        <v>46101</v>
      </c>
      <c r="AC6" s="98">
        <f t="shared" si="1"/>
        <v>46102</v>
      </c>
      <c r="AD6" s="98">
        <f t="shared" si="0"/>
        <v>46103</v>
      </c>
      <c r="AE6" s="98">
        <f t="shared" si="0"/>
        <v>46104</v>
      </c>
      <c r="AF6" s="98">
        <f t="shared" si="0"/>
        <v>46105</v>
      </c>
      <c r="AG6" s="98">
        <f>AF6+1</f>
        <v>46106</v>
      </c>
      <c r="AH6" s="98">
        <f t="shared" ref="AH6:AM6" si="2">AG6+1</f>
        <v>46107</v>
      </c>
      <c r="AI6" s="98">
        <f t="shared" si="2"/>
        <v>46108</v>
      </c>
      <c r="AJ6" s="98">
        <f t="shared" si="2"/>
        <v>46109</v>
      </c>
      <c r="AK6" s="98">
        <f t="shared" si="2"/>
        <v>46110</v>
      </c>
      <c r="AL6" s="98">
        <f t="shared" si="2"/>
        <v>46111</v>
      </c>
      <c r="AM6" s="99">
        <f t="shared" si="2"/>
        <v>46112</v>
      </c>
      <c r="AN6" s="450" t="s">
        <v>158</v>
      </c>
      <c r="AO6" s="429" t="s">
        <v>159</v>
      </c>
      <c r="AP6" s="56" t="s">
        <v>85</v>
      </c>
      <c r="AQ6" s="3" t="s">
        <v>3</v>
      </c>
      <c r="AR6" s="3" t="s">
        <v>4</v>
      </c>
      <c r="AS6" s="3" t="s">
        <v>5</v>
      </c>
      <c r="AT6" s="5" t="s">
        <v>6</v>
      </c>
      <c r="AU6" s="85" t="s">
        <v>3</v>
      </c>
      <c r="AV6" s="16" t="s">
        <v>3</v>
      </c>
      <c r="AW6" s="29" t="s">
        <v>7</v>
      </c>
      <c r="AX6" s="16" t="s">
        <v>0</v>
      </c>
      <c r="AY6" s="17" t="s">
        <v>5</v>
      </c>
      <c r="AZ6" s="16" t="s">
        <v>8</v>
      </c>
      <c r="BA6" s="16" t="s">
        <v>9</v>
      </c>
      <c r="BB6" s="16" t="s">
        <v>10</v>
      </c>
      <c r="BC6" s="439" t="s">
        <v>11</v>
      </c>
    </row>
    <row r="7" spans="2:55" ht="21.75" hidden="1" customHeight="1">
      <c r="B7" s="225"/>
      <c r="C7" s="278"/>
      <c r="D7" s="278"/>
      <c r="E7" s="279"/>
      <c r="F7" s="226"/>
      <c r="G7" s="227"/>
      <c r="H7" s="280"/>
      <c r="I7" s="302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 t="s">
        <v>91</v>
      </c>
      <c r="Z7" s="100" t="s">
        <v>91</v>
      </c>
      <c r="AA7" s="100" t="s">
        <v>91</v>
      </c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1"/>
      <c r="AN7" s="451"/>
      <c r="AO7" s="442"/>
      <c r="AP7" s="24"/>
      <c r="AQ7" s="7"/>
      <c r="AR7" s="7"/>
      <c r="AS7" s="7"/>
      <c r="AT7" s="73"/>
      <c r="AU7" s="86" t="e">
        <f>#REF!</f>
        <v>#REF!</v>
      </c>
      <c r="AV7" s="54"/>
      <c r="AW7" s="55"/>
      <c r="AX7" s="54"/>
      <c r="AY7" s="23"/>
      <c r="AZ7" s="54"/>
      <c r="BA7" s="54"/>
      <c r="BB7" s="54"/>
      <c r="BC7" s="440"/>
    </row>
    <row r="8" spans="2:55" ht="21.95" customHeight="1" thickBot="1">
      <c r="B8" s="228" t="s">
        <v>140</v>
      </c>
      <c r="C8" s="272" t="s">
        <v>141</v>
      </c>
      <c r="D8" s="272" t="s">
        <v>142</v>
      </c>
      <c r="E8" s="281" t="s">
        <v>12</v>
      </c>
      <c r="F8" s="244" t="s">
        <v>143</v>
      </c>
      <c r="G8" s="245" t="s">
        <v>160</v>
      </c>
      <c r="H8" s="271" t="s">
        <v>161</v>
      </c>
      <c r="I8" s="303" t="str">
        <f t="shared" ref="I8:AM8" si="3">SUBSTITUTE(TEXT(I6,"aaa"),"週","")</f>
        <v>日</v>
      </c>
      <c r="J8" s="107" t="str">
        <f t="shared" si="3"/>
        <v>一</v>
      </c>
      <c r="K8" s="107" t="str">
        <f t="shared" si="3"/>
        <v>二</v>
      </c>
      <c r="L8" s="107" t="str">
        <f t="shared" si="3"/>
        <v>三</v>
      </c>
      <c r="M8" s="107" t="str">
        <f t="shared" si="3"/>
        <v>四</v>
      </c>
      <c r="N8" s="107" t="str">
        <f t="shared" si="3"/>
        <v>五</v>
      </c>
      <c r="O8" s="107" t="str">
        <f t="shared" si="3"/>
        <v>六</v>
      </c>
      <c r="P8" s="107" t="str">
        <f t="shared" si="3"/>
        <v>日</v>
      </c>
      <c r="Q8" s="107" t="str">
        <f t="shared" si="3"/>
        <v>一</v>
      </c>
      <c r="R8" s="107" t="str">
        <f t="shared" si="3"/>
        <v>二</v>
      </c>
      <c r="S8" s="107" t="str">
        <f t="shared" si="3"/>
        <v>三</v>
      </c>
      <c r="T8" s="107" t="str">
        <f t="shared" si="3"/>
        <v>四</v>
      </c>
      <c r="U8" s="107" t="str">
        <f t="shared" si="3"/>
        <v>五</v>
      </c>
      <c r="V8" s="107" t="str">
        <f t="shared" si="3"/>
        <v>六</v>
      </c>
      <c r="W8" s="107" t="str">
        <f t="shared" si="3"/>
        <v>日</v>
      </c>
      <c r="X8" s="107" t="str">
        <f t="shared" si="3"/>
        <v>一</v>
      </c>
      <c r="Y8" s="107" t="str">
        <f t="shared" si="3"/>
        <v>二</v>
      </c>
      <c r="Z8" s="107" t="str">
        <f t="shared" si="3"/>
        <v>三</v>
      </c>
      <c r="AA8" s="107" t="str">
        <f t="shared" si="3"/>
        <v>四</v>
      </c>
      <c r="AB8" s="107" t="str">
        <f t="shared" si="3"/>
        <v>五</v>
      </c>
      <c r="AC8" s="107" t="str">
        <f t="shared" si="3"/>
        <v>六</v>
      </c>
      <c r="AD8" s="107" t="str">
        <f t="shared" si="3"/>
        <v>日</v>
      </c>
      <c r="AE8" s="107" t="str">
        <f t="shared" si="3"/>
        <v>一</v>
      </c>
      <c r="AF8" s="107" t="str">
        <f t="shared" si="3"/>
        <v>二</v>
      </c>
      <c r="AG8" s="107" t="str">
        <f t="shared" ref="AG8:AI8" si="4">SUBSTITUTE(TEXT(AG6,"aaa"),"週","")</f>
        <v>三</v>
      </c>
      <c r="AH8" s="107" t="str">
        <f t="shared" si="4"/>
        <v>四</v>
      </c>
      <c r="AI8" s="107" t="str">
        <f t="shared" si="4"/>
        <v>五</v>
      </c>
      <c r="AJ8" s="107" t="str">
        <f t="shared" si="3"/>
        <v>六</v>
      </c>
      <c r="AK8" s="107" t="str">
        <f t="shared" si="3"/>
        <v>日</v>
      </c>
      <c r="AL8" s="107" t="str">
        <f t="shared" si="3"/>
        <v>一</v>
      </c>
      <c r="AM8" s="108" t="str">
        <f t="shared" si="3"/>
        <v>二</v>
      </c>
      <c r="AN8" s="452"/>
      <c r="AO8" s="430"/>
      <c r="AP8" s="11" t="s">
        <v>13</v>
      </c>
      <c r="AQ8" s="4" t="s">
        <v>14</v>
      </c>
      <c r="AR8" s="4" t="s">
        <v>15</v>
      </c>
      <c r="AS8" s="4" t="s">
        <v>16</v>
      </c>
      <c r="AT8" s="25" t="s">
        <v>17</v>
      </c>
      <c r="AU8" s="87" t="s">
        <v>18</v>
      </c>
      <c r="AV8" s="21" t="s">
        <v>19</v>
      </c>
      <c r="AW8" s="30"/>
      <c r="AX8" s="21" t="s">
        <v>19</v>
      </c>
      <c r="AY8" s="21" t="s">
        <v>19</v>
      </c>
      <c r="AZ8" s="21" t="s">
        <v>19</v>
      </c>
      <c r="BA8" s="21" t="s">
        <v>19</v>
      </c>
      <c r="BB8" s="21" t="s">
        <v>19</v>
      </c>
      <c r="BC8" s="441"/>
    </row>
    <row r="9" spans="2:55" ht="21.95" customHeight="1">
      <c r="B9" s="282" t="s">
        <v>58</v>
      </c>
      <c r="C9" s="283">
        <v>4968</v>
      </c>
      <c r="D9" s="283" t="s">
        <v>162</v>
      </c>
      <c r="E9" s="118" t="s">
        <v>21</v>
      </c>
      <c r="F9" s="179" t="s">
        <v>22</v>
      </c>
      <c r="G9" s="180">
        <v>8</v>
      </c>
      <c r="H9" s="93" t="s">
        <v>173</v>
      </c>
      <c r="I9" s="113">
        <v>8</v>
      </c>
      <c r="J9" s="114">
        <v>8</v>
      </c>
      <c r="K9" s="114">
        <v>8</v>
      </c>
      <c r="L9" s="114">
        <v>8</v>
      </c>
      <c r="M9" s="114">
        <v>8</v>
      </c>
      <c r="N9" s="114">
        <v>8</v>
      </c>
      <c r="O9" s="114">
        <v>8</v>
      </c>
      <c r="P9" s="114">
        <v>8</v>
      </c>
      <c r="Q9" s="114">
        <v>8</v>
      </c>
      <c r="R9" s="114">
        <v>8</v>
      </c>
      <c r="S9" s="114">
        <v>8</v>
      </c>
      <c r="T9" s="114">
        <v>8</v>
      </c>
      <c r="U9" s="114">
        <v>8</v>
      </c>
      <c r="V9" s="114" t="s">
        <v>76</v>
      </c>
      <c r="W9" s="114">
        <v>8</v>
      </c>
      <c r="X9" s="114">
        <v>8</v>
      </c>
      <c r="Y9" s="114">
        <v>8</v>
      </c>
      <c r="Z9" s="114">
        <v>8</v>
      </c>
      <c r="AA9" s="114" t="s">
        <v>76</v>
      </c>
      <c r="AB9" s="114" t="s">
        <v>76</v>
      </c>
      <c r="AC9" s="114">
        <v>8</v>
      </c>
      <c r="AD9" s="114">
        <v>8</v>
      </c>
      <c r="AE9" s="114">
        <v>8</v>
      </c>
      <c r="AF9" s="114">
        <v>8</v>
      </c>
      <c r="AG9" s="114">
        <v>8</v>
      </c>
      <c r="AH9" s="114">
        <v>8</v>
      </c>
      <c r="AI9" s="114">
        <v>8</v>
      </c>
      <c r="AJ9" s="114">
        <v>8</v>
      </c>
      <c r="AK9" s="114">
        <v>8</v>
      </c>
      <c r="AL9" s="114">
        <v>8</v>
      </c>
      <c r="AM9" s="116">
        <v>8</v>
      </c>
      <c r="AN9" s="453">
        <f>COUNT(I9:AM9)</f>
        <v>28</v>
      </c>
      <c r="AO9" s="282">
        <f>SUM(I9:AM9)</f>
        <v>224</v>
      </c>
      <c r="AP9" s="60">
        <f>COUNTIFS($I9:$AM9,"SH")+COUNTIFS($I9:$AM9,"NSH")</f>
        <v>3</v>
      </c>
      <c r="AQ9" s="61">
        <f>COUNTIFS($I9:$AM9,$AQ$6)</f>
        <v>0</v>
      </c>
      <c r="AR9" s="61">
        <f>COUNTIFS($I9:$AM9,$AR$6)</f>
        <v>0</v>
      </c>
      <c r="AS9" s="61">
        <f>COUNTIFS($I9:$AM9,$AS$6)</f>
        <v>0</v>
      </c>
      <c r="AT9" s="77">
        <f>COUNTIFS($I9:$AM9,$AT$6)</f>
        <v>0</v>
      </c>
      <c r="AU9" s="46" t="e">
        <f>$AU$7</f>
        <v>#REF!</v>
      </c>
      <c r="AV9" s="10">
        <f>COUNTIF(I9:AM9,"RD")</f>
        <v>0</v>
      </c>
      <c r="AW9" s="10" t="e">
        <f t="shared" ref="AW9:AW11" si="5">AU9-AV9</f>
        <v>#REF!</v>
      </c>
      <c r="AX9" s="10">
        <f>COUNTIF(I9:AM9,"SH")</f>
        <v>0</v>
      </c>
      <c r="AY9" s="10">
        <f>COUNTIF(I9:AM9,"SL")</f>
        <v>0</v>
      </c>
      <c r="AZ9" s="10">
        <f>COUNTIF(I9:AM9,"np")</f>
        <v>0</v>
      </c>
      <c r="BA9" s="10">
        <f>COUNTIF(I9:AM9,"AL*")</f>
        <v>0</v>
      </c>
      <c r="BB9" s="10">
        <f>COUNTIF(I9:AM9,"NC*")</f>
        <v>0</v>
      </c>
      <c r="BC9" s="82"/>
    </row>
    <row r="10" spans="2:55" ht="21.95" customHeight="1">
      <c r="B10" s="237" t="s">
        <v>59</v>
      </c>
      <c r="C10" s="240">
        <v>4974</v>
      </c>
      <c r="D10" s="240" t="s">
        <v>163</v>
      </c>
      <c r="E10" s="118" t="s">
        <v>21</v>
      </c>
      <c r="F10" s="179" t="s">
        <v>22</v>
      </c>
      <c r="G10" s="180">
        <v>8</v>
      </c>
      <c r="H10" s="173" t="s">
        <v>173</v>
      </c>
      <c r="I10" s="120">
        <v>8</v>
      </c>
      <c r="J10" s="121">
        <v>8</v>
      </c>
      <c r="K10" s="121">
        <v>8</v>
      </c>
      <c r="L10" s="121">
        <v>8</v>
      </c>
      <c r="M10" s="121">
        <v>8</v>
      </c>
      <c r="N10" s="121">
        <v>8</v>
      </c>
      <c r="O10" s="121">
        <v>8</v>
      </c>
      <c r="P10" s="121">
        <v>8</v>
      </c>
      <c r="Q10" s="121">
        <v>8</v>
      </c>
      <c r="R10" s="121">
        <v>8</v>
      </c>
      <c r="S10" s="121">
        <v>8</v>
      </c>
      <c r="T10" s="121" t="s">
        <v>41</v>
      </c>
      <c r="U10" s="121">
        <v>8</v>
      </c>
      <c r="V10" s="121">
        <v>8</v>
      </c>
      <c r="W10" s="121">
        <v>8</v>
      </c>
      <c r="X10" s="121">
        <v>8</v>
      </c>
      <c r="Y10" s="121">
        <v>8</v>
      </c>
      <c r="Z10" s="121">
        <v>8</v>
      </c>
      <c r="AA10" s="121">
        <v>8</v>
      </c>
      <c r="AB10" s="121">
        <v>8</v>
      </c>
      <c r="AC10" s="121">
        <v>8</v>
      </c>
      <c r="AD10" s="121">
        <v>8</v>
      </c>
      <c r="AE10" s="121">
        <v>8</v>
      </c>
      <c r="AF10" s="121">
        <v>8</v>
      </c>
      <c r="AG10" s="121" t="s">
        <v>41</v>
      </c>
      <c r="AH10" s="121" t="s">
        <v>76</v>
      </c>
      <c r="AI10" s="121" t="s">
        <v>76</v>
      </c>
      <c r="AJ10" s="121" t="s">
        <v>41</v>
      </c>
      <c r="AK10" s="121" t="s">
        <v>76</v>
      </c>
      <c r="AL10" s="121" t="s">
        <v>76</v>
      </c>
      <c r="AM10" s="123" t="s">
        <v>76</v>
      </c>
      <c r="AN10" s="454">
        <f>COUNT(I10:AM10)</f>
        <v>23</v>
      </c>
      <c r="AO10" s="237">
        <f>SUM(I10:AM10)</f>
        <v>184</v>
      </c>
      <c r="AP10" s="24">
        <f>COUNTIFS($I10:$AM10,"SH")+COUNTIFS($I10:$AM10,"NSH")</f>
        <v>5</v>
      </c>
      <c r="AQ10" s="7">
        <f>COUNTIFS($I10:$AM10,$AQ$6)</f>
        <v>3</v>
      </c>
      <c r="AR10" s="7">
        <f>COUNTIFS($I10:$AM10,$AR$6)</f>
        <v>0</v>
      </c>
      <c r="AS10" s="7">
        <f>COUNTIFS($I10:$AM10,$AS$6)</f>
        <v>0</v>
      </c>
      <c r="AT10" s="9">
        <f>COUNTIFS($I10:$AM10,$AT$6)</f>
        <v>0</v>
      </c>
      <c r="AU10" s="44" t="e">
        <f t="shared" ref="AU10:AU11" si="6">$AU$7</f>
        <v>#REF!</v>
      </c>
      <c r="AV10" s="8">
        <f>COUNTIF(I10:AM10,"RD")</f>
        <v>3</v>
      </c>
      <c r="AW10" s="8" t="e">
        <f t="shared" si="5"/>
        <v>#REF!</v>
      </c>
      <c r="AX10" s="8">
        <f>COUNTIF(I10:AM10,"SH")</f>
        <v>0</v>
      </c>
      <c r="AY10" s="8">
        <f>COUNTIF(I10:AM10,"SL")</f>
        <v>0</v>
      </c>
      <c r="AZ10" s="8">
        <f>COUNTIF(I10:AM10,"np")</f>
        <v>0</v>
      </c>
      <c r="BA10" s="8">
        <f>COUNTIF(I10:AM10,"AL*")</f>
        <v>0</v>
      </c>
      <c r="BB10" s="8">
        <f>COUNTIF(I10:AM10,"NC*")</f>
        <v>0</v>
      </c>
      <c r="BC10" s="27"/>
    </row>
    <row r="11" spans="2:55" ht="21.95" customHeight="1" thickBot="1">
      <c r="B11" s="228" t="s">
        <v>61</v>
      </c>
      <c r="C11" s="272">
        <v>4965</v>
      </c>
      <c r="D11" s="284" t="s">
        <v>164</v>
      </c>
      <c r="E11" s="281" t="s">
        <v>25</v>
      </c>
      <c r="F11" s="244" t="s">
        <v>79</v>
      </c>
      <c r="G11" s="245">
        <v>8</v>
      </c>
      <c r="H11" s="102" t="s">
        <v>173</v>
      </c>
      <c r="I11" s="181" t="s">
        <v>73</v>
      </c>
      <c r="J11" s="129" t="s">
        <v>73</v>
      </c>
      <c r="K11" s="129" t="s">
        <v>73</v>
      </c>
      <c r="L11" s="130" t="s">
        <v>76</v>
      </c>
      <c r="M11" s="129" t="s">
        <v>73</v>
      </c>
      <c r="N11" s="129" t="s">
        <v>73</v>
      </c>
      <c r="O11" s="129" t="s">
        <v>73</v>
      </c>
      <c r="P11" s="129" t="s">
        <v>73</v>
      </c>
      <c r="Q11" s="129" t="s">
        <v>73</v>
      </c>
      <c r="R11" s="129" t="s">
        <v>73</v>
      </c>
      <c r="S11" s="129" t="s">
        <v>73</v>
      </c>
      <c r="T11" s="130">
        <v>8</v>
      </c>
      <c r="U11" s="130" t="s">
        <v>76</v>
      </c>
      <c r="V11" s="130">
        <v>8</v>
      </c>
      <c r="W11" s="129" t="s">
        <v>73</v>
      </c>
      <c r="X11" s="129" t="s">
        <v>73</v>
      </c>
      <c r="Y11" s="129" t="s">
        <v>73</v>
      </c>
      <c r="Z11" s="129" t="s">
        <v>73</v>
      </c>
      <c r="AA11" s="130">
        <v>8</v>
      </c>
      <c r="AB11" s="130">
        <v>8</v>
      </c>
      <c r="AC11" s="129" t="s">
        <v>73</v>
      </c>
      <c r="AD11" s="130" t="s">
        <v>76</v>
      </c>
      <c r="AE11" s="129" t="s">
        <v>73</v>
      </c>
      <c r="AF11" s="129" t="s">
        <v>73</v>
      </c>
      <c r="AG11" s="130">
        <v>8</v>
      </c>
      <c r="AH11" s="130">
        <v>8</v>
      </c>
      <c r="AI11" s="130">
        <v>8</v>
      </c>
      <c r="AJ11" s="130">
        <v>8</v>
      </c>
      <c r="AK11" s="130">
        <v>8</v>
      </c>
      <c r="AL11" s="130">
        <v>8</v>
      </c>
      <c r="AM11" s="285">
        <v>8</v>
      </c>
      <c r="AN11" s="454">
        <f>COUNT(I11:AM11)</f>
        <v>11</v>
      </c>
      <c r="AO11" s="237">
        <f>SUM(I11:AM11)</f>
        <v>88</v>
      </c>
      <c r="AP11" s="11">
        <f>COUNTIFS($I11:$AM11,"SH")+COUNTIFS($I11:$AM11,"NSH")</f>
        <v>3</v>
      </c>
      <c r="AQ11" s="4">
        <f>COUNTIFS($I11:$AM11,$AQ$6)</f>
        <v>0</v>
      </c>
      <c r="AR11" s="4">
        <f>COUNTIFS($I11:$AM11,$AR$6)</f>
        <v>0</v>
      </c>
      <c r="AS11" s="4">
        <f>COUNTIFS($I11:$AM11,$AS$6)</f>
        <v>0</v>
      </c>
      <c r="AT11" s="81">
        <f>COUNTIFS($I11:$AM11,$AT$6)</f>
        <v>0</v>
      </c>
      <c r="AU11" s="45" t="e">
        <f t="shared" si="6"/>
        <v>#REF!</v>
      </c>
      <c r="AV11" s="20">
        <f>COUNTIF(I11:AM11,"RD")</f>
        <v>0</v>
      </c>
      <c r="AW11" s="20" t="e">
        <f t="shared" si="5"/>
        <v>#REF!</v>
      </c>
      <c r="AX11" s="20">
        <f>COUNTIF(I11:AM11,"SH")</f>
        <v>0</v>
      </c>
      <c r="AY11" s="20">
        <f>COUNTIF(I11:AM11,"SL")</f>
        <v>0</v>
      </c>
      <c r="AZ11" s="20">
        <f>COUNTIF(I11:AM11,"np")</f>
        <v>0</v>
      </c>
      <c r="BA11" s="20">
        <f>COUNTIF(I11:AM11,"AL*")</f>
        <v>0</v>
      </c>
      <c r="BB11" s="20">
        <f>COUNTIF(I11:AM11,"NC*")</f>
        <v>0</v>
      </c>
      <c r="BC11" s="83"/>
    </row>
    <row r="12" spans="2:55" ht="21.95" customHeight="1" thickBot="1">
      <c r="B12" s="208"/>
      <c r="C12" s="208"/>
      <c r="D12" s="208"/>
      <c r="E12" s="208"/>
      <c r="F12" s="208"/>
      <c r="G12" s="208"/>
      <c r="H12" s="208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249">
        <f>SUM(AN9:AN11)</f>
        <v>62</v>
      </c>
      <c r="AO12" s="250">
        <f>SUM(AO9:AO11)</f>
        <v>496</v>
      </c>
    </row>
    <row r="13" spans="2:55" ht="21.95" customHeight="1" thickBot="1">
      <c r="B13" s="208"/>
      <c r="C13" s="208"/>
      <c r="D13" s="208"/>
      <c r="E13" s="208"/>
      <c r="F13" s="208"/>
      <c r="G13" s="208"/>
      <c r="H13" s="208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65"/>
      <c r="AO13" s="208"/>
    </row>
    <row r="14" spans="2:55" ht="21.95" customHeight="1" thickBot="1">
      <c r="B14" s="207"/>
      <c r="C14" s="208"/>
      <c r="D14" s="208"/>
      <c r="E14" s="208"/>
      <c r="F14" s="208"/>
      <c r="G14" s="208"/>
      <c r="H14" s="207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8"/>
      <c r="AD14" s="208"/>
      <c r="AE14" s="208"/>
      <c r="AF14" s="208"/>
      <c r="AG14" s="208"/>
      <c r="AH14" s="208"/>
      <c r="AI14" s="208"/>
      <c r="AJ14" s="208"/>
      <c r="AK14" s="208"/>
      <c r="AL14" s="208"/>
      <c r="AM14" s="208"/>
      <c r="AN14" s="250" t="s">
        <v>125</v>
      </c>
      <c r="AO14" s="286" t="s">
        <v>126</v>
      </c>
    </row>
    <row r="15" spans="2:55" ht="21.95" customHeight="1">
      <c r="B15" s="138" t="s">
        <v>107</v>
      </c>
      <c r="C15" s="138"/>
      <c r="D15" s="138"/>
      <c r="E15" s="139"/>
      <c r="F15" s="139"/>
      <c r="G15" s="139"/>
      <c r="H15" s="141" t="s">
        <v>21</v>
      </c>
      <c r="I15" s="143">
        <f t="shared" ref="I15:AM15" si="7">COUNT(I9:I11)</f>
        <v>2</v>
      </c>
      <c r="J15" s="143">
        <f t="shared" si="7"/>
        <v>2</v>
      </c>
      <c r="K15" s="143">
        <f t="shared" si="7"/>
        <v>2</v>
      </c>
      <c r="L15" s="143">
        <f t="shared" si="7"/>
        <v>2</v>
      </c>
      <c r="M15" s="143">
        <f t="shared" si="7"/>
        <v>2</v>
      </c>
      <c r="N15" s="143">
        <f t="shared" si="7"/>
        <v>2</v>
      </c>
      <c r="O15" s="143">
        <f t="shared" si="7"/>
        <v>2</v>
      </c>
      <c r="P15" s="143">
        <f t="shared" si="7"/>
        <v>2</v>
      </c>
      <c r="Q15" s="143">
        <f t="shared" si="7"/>
        <v>2</v>
      </c>
      <c r="R15" s="143">
        <f t="shared" si="7"/>
        <v>2</v>
      </c>
      <c r="S15" s="143">
        <f t="shared" si="7"/>
        <v>2</v>
      </c>
      <c r="T15" s="143">
        <f t="shared" si="7"/>
        <v>2</v>
      </c>
      <c r="U15" s="143">
        <f t="shared" si="7"/>
        <v>2</v>
      </c>
      <c r="V15" s="143">
        <f t="shared" si="7"/>
        <v>2</v>
      </c>
      <c r="W15" s="143">
        <f t="shared" si="7"/>
        <v>2</v>
      </c>
      <c r="X15" s="143">
        <f t="shared" si="7"/>
        <v>2</v>
      </c>
      <c r="Y15" s="143">
        <f t="shared" si="7"/>
        <v>2</v>
      </c>
      <c r="Z15" s="143">
        <f t="shared" si="7"/>
        <v>2</v>
      </c>
      <c r="AA15" s="143">
        <f t="shared" si="7"/>
        <v>2</v>
      </c>
      <c r="AB15" s="143">
        <f t="shared" si="7"/>
        <v>2</v>
      </c>
      <c r="AC15" s="143">
        <f t="shared" si="7"/>
        <v>2</v>
      </c>
      <c r="AD15" s="143">
        <f t="shared" si="7"/>
        <v>2</v>
      </c>
      <c r="AE15" s="143">
        <f t="shared" si="7"/>
        <v>2</v>
      </c>
      <c r="AF15" s="143">
        <f t="shared" si="7"/>
        <v>2</v>
      </c>
      <c r="AG15" s="143">
        <f t="shared" ref="AG15:AI15" si="8">COUNT(AG9:AG11)</f>
        <v>2</v>
      </c>
      <c r="AH15" s="143">
        <f t="shared" si="8"/>
        <v>2</v>
      </c>
      <c r="AI15" s="143">
        <f t="shared" si="8"/>
        <v>2</v>
      </c>
      <c r="AJ15" s="143">
        <f t="shared" si="7"/>
        <v>2</v>
      </c>
      <c r="AK15" s="143">
        <f t="shared" si="7"/>
        <v>2</v>
      </c>
      <c r="AL15" s="143">
        <f t="shared" si="7"/>
        <v>2</v>
      </c>
      <c r="AM15" s="143">
        <f t="shared" si="7"/>
        <v>2</v>
      </c>
      <c r="AN15" s="141">
        <f>SUM(I15:AM15)</f>
        <v>62</v>
      </c>
      <c r="AO15" s="145">
        <f>SUM(I9:AM11)</f>
        <v>496</v>
      </c>
    </row>
    <row r="16" spans="2:55" ht="21.95" customHeight="1">
      <c r="B16" s="146" t="s">
        <v>108</v>
      </c>
      <c r="C16" s="146"/>
      <c r="D16" s="146"/>
      <c r="E16" s="147"/>
      <c r="F16" s="147"/>
      <c r="G16" s="147"/>
      <c r="H16" s="149"/>
      <c r="I16" s="252">
        <v>2</v>
      </c>
      <c r="J16" s="151">
        <v>2</v>
      </c>
      <c r="K16" s="151">
        <v>2</v>
      </c>
      <c r="L16" s="151">
        <v>2</v>
      </c>
      <c r="M16" s="151">
        <v>2</v>
      </c>
      <c r="N16" s="151">
        <v>2</v>
      </c>
      <c r="O16" s="151">
        <v>2</v>
      </c>
      <c r="P16" s="151">
        <v>2</v>
      </c>
      <c r="Q16" s="151">
        <v>2</v>
      </c>
      <c r="R16" s="151">
        <v>2</v>
      </c>
      <c r="S16" s="151">
        <v>2</v>
      </c>
      <c r="T16" s="151">
        <v>2</v>
      </c>
      <c r="U16" s="151">
        <v>2</v>
      </c>
      <c r="V16" s="151">
        <v>2</v>
      </c>
      <c r="W16" s="151">
        <v>2</v>
      </c>
      <c r="X16" s="151">
        <v>2</v>
      </c>
      <c r="Y16" s="151">
        <v>2</v>
      </c>
      <c r="Z16" s="151">
        <v>2</v>
      </c>
      <c r="AA16" s="151">
        <v>2</v>
      </c>
      <c r="AB16" s="151">
        <v>2</v>
      </c>
      <c r="AC16" s="151">
        <v>2</v>
      </c>
      <c r="AD16" s="151">
        <v>2</v>
      </c>
      <c r="AE16" s="151">
        <v>2</v>
      </c>
      <c r="AF16" s="151">
        <v>2</v>
      </c>
      <c r="AG16" s="151">
        <v>2</v>
      </c>
      <c r="AH16" s="151">
        <v>2</v>
      </c>
      <c r="AI16" s="151">
        <v>2</v>
      </c>
      <c r="AJ16" s="151">
        <v>2</v>
      </c>
      <c r="AK16" s="151">
        <v>2</v>
      </c>
      <c r="AL16" s="151">
        <v>2</v>
      </c>
      <c r="AM16" s="151">
        <v>2</v>
      </c>
      <c r="AN16" s="149">
        <f>SUM(I16:AM16)</f>
        <v>62</v>
      </c>
      <c r="AO16" s="287">
        <f t="shared" ref="AO16" si="9">AN16*8</f>
        <v>496</v>
      </c>
    </row>
    <row r="17" spans="2:55" ht="21.95" customHeight="1" thickBot="1">
      <c r="B17" s="154" t="s">
        <v>109</v>
      </c>
      <c r="C17" s="154"/>
      <c r="D17" s="154"/>
      <c r="E17" s="155"/>
      <c r="F17" s="155"/>
      <c r="G17" s="155"/>
      <c r="H17" s="157"/>
      <c r="I17" s="159">
        <f t="shared" ref="I17:AM17" si="10">IF((I15-I16)&lt;0,I15-I16,0)</f>
        <v>0</v>
      </c>
      <c r="J17" s="159">
        <f t="shared" si="10"/>
        <v>0</v>
      </c>
      <c r="K17" s="159">
        <f t="shared" si="10"/>
        <v>0</v>
      </c>
      <c r="L17" s="159">
        <f t="shared" si="10"/>
        <v>0</v>
      </c>
      <c r="M17" s="159">
        <f t="shared" si="10"/>
        <v>0</v>
      </c>
      <c r="N17" s="159">
        <f t="shared" si="10"/>
        <v>0</v>
      </c>
      <c r="O17" s="159">
        <f t="shared" si="10"/>
        <v>0</v>
      </c>
      <c r="P17" s="159">
        <f t="shared" si="10"/>
        <v>0</v>
      </c>
      <c r="Q17" s="159">
        <f t="shared" si="10"/>
        <v>0</v>
      </c>
      <c r="R17" s="159">
        <f>IF((RG15-RG16)&lt;0,RG15-RG16,0)</f>
        <v>0</v>
      </c>
      <c r="S17" s="159">
        <f t="shared" si="10"/>
        <v>0</v>
      </c>
      <c r="T17" s="159">
        <f t="shared" si="10"/>
        <v>0</v>
      </c>
      <c r="U17" s="159">
        <f t="shared" si="10"/>
        <v>0</v>
      </c>
      <c r="V17" s="159">
        <f t="shared" si="10"/>
        <v>0</v>
      </c>
      <c r="W17" s="159">
        <f t="shared" si="10"/>
        <v>0</v>
      </c>
      <c r="X17" s="159">
        <f t="shared" si="10"/>
        <v>0</v>
      </c>
      <c r="Y17" s="159">
        <f t="shared" si="10"/>
        <v>0</v>
      </c>
      <c r="Z17" s="159">
        <f t="shared" si="10"/>
        <v>0</v>
      </c>
      <c r="AA17" s="159">
        <f t="shared" si="10"/>
        <v>0</v>
      </c>
      <c r="AB17" s="159">
        <f t="shared" si="10"/>
        <v>0</v>
      </c>
      <c r="AC17" s="159">
        <f t="shared" si="10"/>
        <v>0</v>
      </c>
      <c r="AD17" s="159">
        <f t="shared" si="10"/>
        <v>0</v>
      </c>
      <c r="AE17" s="159">
        <f t="shared" si="10"/>
        <v>0</v>
      </c>
      <c r="AF17" s="159">
        <f t="shared" si="10"/>
        <v>0</v>
      </c>
      <c r="AG17" s="159">
        <f t="shared" ref="AG17:AI17" si="11">IF((AG15-AG16)&lt;0,AG15-AG16,0)</f>
        <v>0</v>
      </c>
      <c r="AH17" s="159">
        <f t="shared" si="11"/>
        <v>0</v>
      </c>
      <c r="AI17" s="159">
        <f t="shared" si="11"/>
        <v>0</v>
      </c>
      <c r="AJ17" s="159">
        <f t="shared" si="10"/>
        <v>0</v>
      </c>
      <c r="AK17" s="159">
        <f t="shared" si="10"/>
        <v>0</v>
      </c>
      <c r="AL17" s="159">
        <f t="shared" si="10"/>
        <v>0</v>
      </c>
      <c r="AM17" s="159">
        <f t="shared" si="10"/>
        <v>0</v>
      </c>
      <c r="AN17" s="205">
        <f>SUM(I17:AM17)</f>
        <v>0</v>
      </c>
      <c r="AO17" s="321">
        <f>AO15-AO16</f>
        <v>0</v>
      </c>
    </row>
    <row r="18" spans="2:55" ht="21.95" customHeight="1">
      <c r="B18" s="162"/>
      <c r="C18" s="162"/>
      <c r="D18" s="162"/>
      <c r="E18" s="162"/>
      <c r="F18" s="162"/>
      <c r="G18" s="162"/>
      <c r="H18" s="163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</row>
    <row r="19" spans="2:55" ht="21.95" customHeight="1" thickBot="1">
      <c r="B19" s="89" t="s">
        <v>110</v>
      </c>
      <c r="C19" s="208"/>
      <c r="D19" s="208"/>
      <c r="E19" s="208"/>
      <c r="F19" s="208"/>
      <c r="G19" s="208"/>
      <c r="H19" s="208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208"/>
      <c r="AO19" s="208"/>
    </row>
    <row r="20" spans="2:55" s="22" customFormat="1" ht="21.95" customHeight="1">
      <c r="B20" s="233" t="s">
        <v>60</v>
      </c>
      <c r="C20" s="236">
        <v>4967</v>
      </c>
      <c r="D20" s="236" t="s">
        <v>165</v>
      </c>
      <c r="E20" s="276" t="s">
        <v>25</v>
      </c>
      <c r="F20" s="223" t="s">
        <v>79</v>
      </c>
      <c r="G20" s="224">
        <v>8</v>
      </c>
      <c r="H20" s="93" t="s">
        <v>173</v>
      </c>
      <c r="I20" s="113">
        <v>8</v>
      </c>
      <c r="J20" s="259">
        <v>8</v>
      </c>
      <c r="K20" s="259">
        <v>8</v>
      </c>
      <c r="L20" s="259">
        <v>8</v>
      </c>
      <c r="M20" s="259" t="s">
        <v>76</v>
      </c>
      <c r="N20" s="259">
        <v>8</v>
      </c>
      <c r="O20" s="259">
        <v>8</v>
      </c>
      <c r="P20" s="259">
        <v>8</v>
      </c>
      <c r="Q20" s="259">
        <v>8</v>
      </c>
      <c r="R20" s="259">
        <v>8</v>
      </c>
      <c r="S20" s="259">
        <v>8</v>
      </c>
      <c r="T20" s="259">
        <v>8</v>
      </c>
      <c r="U20" s="259">
        <v>8</v>
      </c>
      <c r="V20" s="259">
        <v>8</v>
      </c>
      <c r="W20" s="259">
        <v>8</v>
      </c>
      <c r="X20" s="259">
        <v>8</v>
      </c>
      <c r="Y20" s="259" t="s">
        <v>76</v>
      </c>
      <c r="Z20" s="259" t="s">
        <v>76</v>
      </c>
      <c r="AA20" s="259">
        <v>8</v>
      </c>
      <c r="AB20" s="259">
        <v>8</v>
      </c>
      <c r="AC20" s="259">
        <v>8</v>
      </c>
      <c r="AD20" s="259">
        <v>8</v>
      </c>
      <c r="AE20" s="259" t="s">
        <v>41</v>
      </c>
      <c r="AF20" s="259">
        <v>8</v>
      </c>
      <c r="AG20" s="259">
        <v>8</v>
      </c>
      <c r="AH20" s="259">
        <v>8</v>
      </c>
      <c r="AI20" s="259">
        <v>8</v>
      </c>
      <c r="AJ20" s="259">
        <v>8</v>
      </c>
      <c r="AK20" s="259">
        <v>8</v>
      </c>
      <c r="AL20" s="259">
        <v>8</v>
      </c>
      <c r="AM20" s="260">
        <v>8</v>
      </c>
      <c r="AN20" s="455">
        <f>COUNT(I20:AM20)</f>
        <v>27</v>
      </c>
      <c r="AO20" s="233">
        <f>SUM(I20:AM20)</f>
        <v>216</v>
      </c>
      <c r="AP20" s="15">
        <f>COUNTIFS($I20:$AM20,"SH")+COUNTIFS($I20:$AM20,"NSH")</f>
        <v>3</v>
      </c>
      <c r="AQ20" s="3">
        <f>COUNTIFS($I20:$AM20,$AQ$6)</f>
        <v>1</v>
      </c>
      <c r="AR20" s="3">
        <f>COUNTIFS($I20:$AM20,$AR$6)</f>
        <v>0</v>
      </c>
      <c r="AS20" s="3">
        <f>COUNTIFS($I20:$AM20,$AS$6)</f>
        <v>0</v>
      </c>
      <c r="AT20" s="76">
        <f>COUNTIFS($I20:$AM20,$AT$6)</f>
        <v>0</v>
      </c>
      <c r="AU20" s="74" t="e">
        <f t="shared" ref="AU20:AU30" si="12">$AU$7</f>
        <v>#REF!</v>
      </c>
      <c r="AV20" s="6">
        <f>COUNTIF(I20:AM20,"RD")</f>
        <v>1</v>
      </c>
      <c r="AW20" s="6" t="e">
        <f t="shared" ref="AW20:AW30" si="13">AU20-AV20</f>
        <v>#REF!</v>
      </c>
      <c r="AX20" s="6">
        <f>COUNTIF(I20:AM20,"SH")</f>
        <v>0</v>
      </c>
      <c r="AY20" s="6">
        <f>COUNTIF(I20:AM20,"SL")</f>
        <v>0</v>
      </c>
      <c r="AZ20" s="6">
        <f>COUNTIF(I20:AM20,"np")</f>
        <v>0</v>
      </c>
      <c r="BA20" s="6">
        <f>COUNTIF(I20:AM20,"AL*")</f>
        <v>0</v>
      </c>
      <c r="BB20" s="6">
        <f>COUNTIF(I20:AM20,"NC*")</f>
        <v>0</v>
      </c>
      <c r="BC20" s="26"/>
    </row>
    <row r="21" spans="2:55" s="22" customFormat="1" ht="21.95" customHeight="1">
      <c r="B21" s="237" t="s">
        <v>61</v>
      </c>
      <c r="C21" s="240">
        <v>4965</v>
      </c>
      <c r="D21" s="288" t="s">
        <v>164</v>
      </c>
      <c r="E21" s="289" t="s">
        <v>25</v>
      </c>
      <c r="F21" s="119" t="s">
        <v>79</v>
      </c>
      <c r="G21" s="262">
        <v>8</v>
      </c>
      <c r="H21" s="173" t="s">
        <v>173</v>
      </c>
      <c r="I21" s="178">
        <v>8</v>
      </c>
      <c r="J21" s="121">
        <v>8</v>
      </c>
      <c r="K21" s="122">
        <v>8</v>
      </c>
      <c r="L21" s="122" t="s">
        <v>76</v>
      </c>
      <c r="M21" s="122">
        <v>8</v>
      </c>
      <c r="N21" s="122">
        <v>8</v>
      </c>
      <c r="O21" s="122">
        <v>8</v>
      </c>
      <c r="P21" s="122">
        <v>8</v>
      </c>
      <c r="Q21" s="122">
        <v>8</v>
      </c>
      <c r="R21" s="122">
        <v>8</v>
      </c>
      <c r="S21" s="122">
        <v>8</v>
      </c>
      <c r="T21" s="122" t="s">
        <v>77</v>
      </c>
      <c r="U21" s="122" t="s">
        <v>76</v>
      </c>
      <c r="V21" s="122" t="s">
        <v>77</v>
      </c>
      <c r="W21" s="122">
        <v>8</v>
      </c>
      <c r="X21" s="122">
        <v>8</v>
      </c>
      <c r="Y21" s="122">
        <v>8</v>
      </c>
      <c r="Z21" s="122">
        <v>8</v>
      </c>
      <c r="AA21" s="122" t="s">
        <v>77</v>
      </c>
      <c r="AB21" s="122" t="s">
        <v>77</v>
      </c>
      <c r="AC21" s="122">
        <v>8</v>
      </c>
      <c r="AD21" s="122" t="s">
        <v>76</v>
      </c>
      <c r="AE21" s="122">
        <v>8</v>
      </c>
      <c r="AF21" s="122">
        <v>8</v>
      </c>
      <c r="AG21" s="122" t="s">
        <v>77</v>
      </c>
      <c r="AH21" s="122" t="s">
        <v>77</v>
      </c>
      <c r="AI21" s="122" t="s">
        <v>77</v>
      </c>
      <c r="AJ21" s="122" t="s">
        <v>77</v>
      </c>
      <c r="AK21" s="122" t="s">
        <v>77</v>
      </c>
      <c r="AL21" s="122" t="s">
        <v>77</v>
      </c>
      <c r="AM21" s="290" t="s">
        <v>77</v>
      </c>
      <c r="AN21" s="456">
        <f>COUNT(I21:AM21)</f>
        <v>17</v>
      </c>
      <c r="AO21" s="269">
        <f>SUM(I21:AM21)</f>
        <v>136</v>
      </c>
      <c r="AP21" s="60">
        <f>COUNTIFS($I21:$AM21,"SH")+COUNTIFS($I21:$AM21,"NSH")</f>
        <v>3</v>
      </c>
      <c r="AQ21" s="61">
        <f>COUNTIFS($I21:$AM21,$AQ$6)</f>
        <v>0</v>
      </c>
      <c r="AR21" s="61">
        <f>COUNTIFS($I21:$AM21,$AR$6)</f>
        <v>0</v>
      </c>
      <c r="AS21" s="61">
        <f>COUNTIFS($I21:$AM21,$AS$6)</f>
        <v>0</v>
      </c>
      <c r="AT21" s="77">
        <f>COUNTIFS($I21:$AM21,$AT$6)</f>
        <v>0</v>
      </c>
      <c r="AU21" s="46" t="e">
        <f t="shared" si="12"/>
        <v>#REF!</v>
      </c>
      <c r="AV21" s="10">
        <f>COUNTIF(I21:AM21,"RD")</f>
        <v>0</v>
      </c>
      <c r="AW21" s="10" t="e">
        <f t="shared" si="13"/>
        <v>#REF!</v>
      </c>
      <c r="AX21" s="10">
        <f>COUNTIF(I21:AM21,"SH")</f>
        <v>0</v>
      </c>
      <c r="AY21" s="10">
        <f>COUNTIF(I21:AM21,"SL")</f>
        <v>0</v>
      </c>
      <c r="AZ21" s="10">
        <f>COUNTIF(I21:AM21,"np")</f>
        <v>0</v>
      </c>
      <c r="BA21" s="10">
        <f>COUNTIF(I21:AM21,"AL*")</f>
        <v>0</v>
      </c>
      <c r="BB21" s="10">
        <f>COUNTIF(I21:AM21,"NC*")</f>
        <v>0</v>
      </c>
      <c r="BC21" s="82"/>
    </row>
    <row r="22" spans="2:55" s="22" customFormat="1" ht="21.95" customHeight="1">
      <c r="B22" s="237" t="s">
        <v>62</v>
      </c>
      <c r="C22" s="240">
        <v>4972</v>
      </c>
      <c r="D22" s="240" t="s">
        <v>166</v>
      </c>
      <c r="E22" s="289" t="s">
        <v>25</v>
      </c>
      <c r="F22" s="119" t="s">
        <v>79</v>
      </c>
      <c r="G22" s="262">
        <v>8</v>
      </c>
      <c r="H22" s="173" t="s">
        <v>173</v>
      </c>
      <c r="I22" s="178" t="s">
        <v>41</v>
      </c>
      <c r="J22" s="122">
        <v>8</v>
      </c>
      <c r="K22" s="122">
        <v>8</v>
      </c>
      <c r="L22" s="122">
        <v>8</v>
      </c>
      <c r="M22" s="122">
        <v>8</v>
      </c>
      <c r="N22" s="122" t="s">
        <v>76</v>
      </c>
      <c r="O22" s="122">
        <v>8</v>
      </c>
      <c r="P22" s="122">
        <v>8</v>
      </c>
      <c r="Q22" s="122">
        <v>8</v>
      </c>
      <c r="R22" s="122">
        <v>8</v>
      </c>
      <c r="S22" s="122">
        <v>8</v>
      </c>
      <c r="T22" s="122">
        <v>8</v>
      </c>
      <c r="U22" s="122">
        <v>8</v>
      </c>
      <c r="V22" s="122" t="s">
        <v>76</v>
      </c>
      <c r="W22" s="122">
        <v>8</v>
      </c>
      <c r="X22" s="122">
        <v>8</v>
      </c>
      <c r="Y22" s="122">
        <v>8</v>
      </c>
      <c r="Z22" s="122">
        <v>8</v>
      </c>
      <c r="AA22" s="122">
        <v>8</v>
      </c>
      <c r="AB22" s="122">
        <v>8</v>
      </c>
      <c r="AC22" s="122" t="s">
        <v>76</v>
      </c>
      <c r="AD22" s="122">
        <v>8</v>
      </c>
      <c r="AE22" s="122">
        <v>8</v>
      </c>
      <c r="AF22" s="122">
        <v>8</v>
      </c>
      <c r="AG22" s="122">
        <v>8</v>
      </c>
      <c r="AH22" s="122">
        <v>8</v>
      </c>
      <c r="AI22" s="122">
        <v>8</v>
      </c>
      <c r="AJ22" s="122">
        <v>8</v>
      </c>
      <c r="AK22" s="122">
        <v>8</v>
      </c>
      <c r="AL22" s="122">
        <v>8</v>
      </c>
      <c r="AM22" s="290">
        <v>8</v>
      </c>
      <c r="AN22" s="456">
        <f>COUNT(I22:AM22)</f>
        <v>27</v>
      </c>
      <c r="AO22" s="269">
        <f>SUM(I22:AM22)</f>
        <v>216</v>
      </c>
      <c r="AP22" s="60">
        <f>COUNTIFS($I22:$AM22,"SH")+COUNTIFS($I22:$AM22,"NSH")</f>
        <v>3</v>
      </c>
      <c r="AQ22" s="61">
        <f>COUNTIFS($I22:$AM22,$AQ$6)</f>
        <v>1</v>
      </c>
      <c r="AR22" s="61">
        <f>COUNTIFS($I22:$AM22,$AR$6)</f>
        <v>0</v>
      </c>
      <c r="AS22" s="61">
        <f>COUNTIFS($I22:$AM22,$AS$6)</f>
        <v>0</v>
      </c>
      <c r="AT22" s="77">
        <f>COUNTIFS($I22:$AM22,$AT$6)</f>
        <v>0</v>
      </c>
      <c r="AU22" s="46" t="e">
        <f t="shared" si="12"/>
        <v>#REF!</v>
      </c>
      <c r="AV22" s="10">
        <f>COUNTIF(I22:AM22,"RD")</f>
        <v>1</v>
      </c>
      <c r="AW22" s="10" t="e">
        <f t="shared" si="13"/>
        <v>#REF!</v>
      </c>
      <c r="AX22" s="10">
        <f>COUNTIF(I22:AM22,"SH")</f>
        <v>0</v>
      </c>
      <c r="AY22" s="10">
        <f>COUNTIF(I22:AM22,"SL")</f>
        <v>0</v>
      </c>
      <c r="AZ22" s="10">
        <f>COUNTIF(I22:AM22,"np")</f>
        <v>0</v>
      </c>
      <c r="BA22" s="10">
        <f>COUNTIF(I22:AM22,"AL*")</f>
        <v>0</v>
      </c>
      <c r="BB22" s="10">
        <f>COUNTIF(I22:AM22,"NC*")</f>
        <v>0</v>
      </c>
      <c r="BC22" s="82"/>
    </row>
    <row r="23" spans="2:55" s="22" customFormat="1" ht="21.95" customHeight="1">
      <c r="B23" s="237" t="s">
        <v>63</v>
      </c>
      <c r="C23" s="240">
        <v>4971</v>
      </c>
      <c r="D23" s="240" t="s">
        <v>167</v>
      </c>
      <c r="E23" s="289" t="s">
        <v>25</v>
      </c>
      <c r="F23" s="119" t="s">
        <v>79</v>
      </c>
      <c r="G23" s="262">
        <v>8</v>
      </c>
      <c r="H23" s="173" t="s">
        <v>173</v>
      </c>
      <c r="I23" s="178">
        <v>8</v>
      </c>
      <c r="J23" s="122">
        <v>8</v>
      </c>
      <c r="K23" s="122">
        <v>8</v>
      </c>
      <c r="L23" s="122">
        <v>8</v>
      </c>
      <c r="M23" s="122">
        <v>8</v>
      </c>
      <c r="N23" s="122">
        <v>8</v>
      </c>
      <c r="O23" s="122">
        <v>8</v>
      </c>
      <c r="P23" s="122" t="s">
        <v>76</v>
      </c>
      <c r="Q23" s="122">
        <v>8</v>
      </c>
      <c r="R23" s="122">
        <v>8</v>
      </c>
      <c r="S23" s="122">
        <v>8</v>
      </c>
      <c r="T23" s="122">
        <v>8</v>
      </c>
      <c r="U23" s="122">
        <v>8</v>
      </c>
      <c r="V23" s="122">
        <v>8</v>
      </c>
      <c r="W23" s="122">
        <v>8</v>
      </c>
      <c r="X23" s="122" t="s">
        <v>76</v>
      </c>
      <c r="Y23" s="122">
        <v>8</v>
      </c>
      <c r="Z23" s="122">
        <v>8</v>
      </c>
      <c r="AA23" s="122">
        <v>8</v>
      </c>
      <c r="AB23" s="122">
        <v>8</v>
      </c>
      <c r="AC23" s="122">
        <v>8</v>
      </c>
      <c r="AD23" s="122">
        <v>8</v>
      </c>
      <c r="AE23" s="122" t="s">
        <v>76</v>
      </c>
      <c r="AF23" s="122">
        <v>8</v>
      </c>
      <c r="AG23" s="122">
        <v>8</v>
      </c>
      <c r="AH23" s="122">
        <v>8</v>
      </c>
      <c r="AI23" s="122">
        <v>8</v>
      </c>
      <c r="AJ23" s="122">
        <v>8</v>
      </c>
      <c r="AK23" s="122">
        <v>8</v>
      </c>
      <c r="AL23" s="122">
        <v>8</v>
      </c>
      <c r="AM23" s="290">
        <v>8</v>
      </c>
      <c r="AN23" s="456">
        <f>COUNT(I23:AM23)</f>
        <v>28</v>
      </c>
      <c r="AO23" s="269">
        <f>SUM(I23:AM23)</f>
        <v>224</v>
      </c>
      <c r="AP23" s="60">
        <f>COUNTIFS($I23:$AM23,"SH")+COUNTIFS($I23:$AM23,"NSH")</f>
        <v>3</v>
      </c>
      <c r="AQ23" s="61">
        <f>COUNTIFS($I23:$AM23,$AQ$6)</f>
        <v>0</v>
      </c>
      <c r="AR23" s="61">
        <f>COUNTIFS($I23:$AM23,$AR$6)</f>
        <v>0</v>
      </c>
      <c r="AS23" s="61">
        <f>COUNTIFS($I23:$AM23,$AS$6)</f>
        <v>0</v>
      </c>
      <c r="AT23" s="77">
        <f>COUNTIFS($I23:$AM23,$AT$6)</f>
        <v>0</v>
      </c>
      <c r="AU23" s="46" t="e">
        <f t="shared" si="12"/>
        <v>#REF!</v>
      </c>
      <c r="AV23" s="10">
        <f>COUNTIF(I23:AM23,"RD")</f>
        <v>0</v>
      </c>
      <c r="AW23" s="10" t="e">
        <f t="shared" si="13"/>
        <v>#REF!</v>
      </c>
      <c r="AX23" s="10">
        <f>COUNTIF(I23:AM23,"SH")</f>
        <v>0</v>
      </c>
      <c r="AY23" s="10">
        <f>COUNTIF(I23:AM23,"SL")</f>
        <v>0</v>
      </c>
      <c r="AZ23" s="10">
        <f>COUNTIF(I23:AM23,"np")</f>
        <v>0</v>
      </c>
      <c r="BA23" s="10">
        <f>COUNTIF(I23:AM23,"AL*")</f>
        <v>0</v>
      </c>
      <c r="BB23" s="10">
        <f>COUNTIF(I23:AM23,"NC*")</f>
        <v>0</v>
      </c>
      <c r="BC23" s="82"/>
    </row>
    <row r="24" spans="2:55" s="22" customFormat="1" ht="21.95" customHeight="1">
      <c r="B24" s="237" t="s">
        <v>64</v>
      </c>
      <c r="C24" s="240">
        <v>4975</v>
      </c>
      <c r="D24" s="240" t="s">
        <v>168</v>
      </c>
      <c r="E24" s="289" t="s">
        <v>25</v>
      </c>
      <c r="F24" s="119" t="s">
        <v>79</v>
      </c>
      <c r="G24" s="262">
        <v>8</v>
      </c>
      <c r="H24" s="173" t="s">
        <v>173</v>
      </c>
      <c r="I24" s="178">
        <v>8</v>
      </c>
      <c r="J24" s="122">
        <v>8</v>
      </c>
      <c r="K24" s="122" t="s">
        <v>76</v>
      </c>
      <c r="L24" s="122">
        <v>8</v>
      </c>
      <c r="M24" s="122">
        <v>8</v>
      </c>
      <c r="N24" s="122">
        <v>8</v>
      </c>
      <c r="O24" s="122">
        <v>8</v>
      </c>
      <c r="P24" s="122">
        <v>8</v>
      </c>
      <c r="Q24" s="122">
        <v>8</v>
      </c>
      <c r="R24" s="122" t="s">
        <v>76</v>
      </c>
      <c r="S24" s="122">
        <v>8</v>
      </c>
      <c r="T24" s="122">
        <v>8</v>
      </c>
      <c r="U24" s="122">
        <v>8</v>
      </c>
      <c r="V24" s="122">
        <v>8</v>
      </c>
      <c r="W24" s="122" t="s">
        <v>76</v>
      </c>
      <c r="X24" s="122">
        <v>8</v>
      </c>
      <c r="Y24" s="122">
        <v>8</v>
      </c>
      <c r="Z24" s="122">
        <v>8</v>
      </c>
      <c r="AA24" s="122">
        <v>8</v>
      </c>
      <c r="AB24" s="122">
        <v>8</v>
      </c>
      <c r="AC24" s="122" t="s">
        <v>41</v>
      </c>
      <c r="AD24" s="122">
        <v>8</v>
      </c>
      <c r="AE24" s="122">
        <v>8</v>
      </c>
      <c r="AF24" s="122">
        <v>8</v>
      </c>
      <c r="AG24" s="122">
        <v>8</v>
      </c>
      <c r="AH24" s="122">
        <v>8</v>
      </c>
      <c r="AI24" s="122">
        <v>8</v>
      </c>
      <c r="AJ24" s="122">
        <v>8</v>
      </c>
      <c r="AK24" s="122">
        <v>8</v>
      </c>
      <c r="AL24" s="122">
        <v>8</v>
      </c>
      <c r="AM24" s="290">
        <v>8</v>
      </c>
      <c r="AN24" s="456">
        <f>COUNT(I24:AM24)</f>
        <v>27</v>
      </c>
      <c r="AO24" s="269">
        <f>SUM(I24:AM24)</f>
        <v>216</v>
      </c>
      <c r="AP24" s="60">
        <f>COUNTIFS($I24:$AM24,"SH")+COUNTIFS($I24:$AM24,"NSH")</f>
        <v>3</v>
      </c>
      <c r="AQ24" s="61">
        <f>COUNTIFS($I24:$AM24,$AQ$6)</f>
        <v>1</v>
      </c>
      <c r="AR24" s="61">
        <f>COUNTIFS($I24:$AM24,$AR$6)</f>
        <v>0</v>
      </c>
      <c r="AS24" s="61">
        <f>COUNTIFS($I24:$AM24,$AS$6)</f>
        <v>0</v>
      </c>
      <c r="AT24" s="77">
        <f>COUNTIFS($I24:$AM24,$AT$6)</f>
        <v>0</v>
      </c>
      <c r="AU24" s="46" t="e">
        <f t="shared" si="12"/>
        <v>#REF!</v>
      </c>
      <c r="AV24" s="10">
        <f>COUNTIF(I24:AM24,"RD")</f>
        <v>1</v>
      </c>
      <c r="AW24" s="10" t="e">
        <f t="shared" si="13"/>
        <v>#REF!</v>
      </c>
      <c r="AX24" s="10">
        <f>COUNTIF(I24:AM24,"SH")</f>
        <v>0</v>
      </c>
      <c r="AY24" s="10">
        <f>COUNTIF(I24:AM24,"SL")</f>
        <v>0</v>
      </c>
      <c r="AZ24" s="10">
        <f>COUNTIF(I24:AM24,"np")</f>
        <v>0</v>
      </c>
      <c r="BA24" s="10">
        <f>COUNTIF(I24:AM24,"AL*")</f>
        <v>0</v>
      </c>
      <c r="BB24" s="10">
        <f>COUNTIF(I24:AM24,"NC*")</f>
        <v>0</v>
      </c>
      <c r="BC24" s="82"/>
    </row>
    <row r="25" spans="2:55" ht="21" customHeight="1">
      <c r="B25" s="237" t="s">
        <v>65</v>
      </c>
      <c r="C25" s="240">
        <v>4970</v>
      </c>
      <c r="D25" s="240" t="s">
        <v>169</v>
      </c>
      <c r="E25" s="289" t="s">
        <v>25</v>
      </c>
      <c r="F25" s="119" t="s">
        <v>79</v>
      </c>
      <c r="G25" s="262">
        <v>8</v>
      </c>
      <c r="H25" s="173" t="s">
        <v>173</v>
      </c>
      <c r="I25" s="178" t="s">
        <v>76</v>
      </c>
      <c r="J25" s="122">
        <v>8</v>
      </c>
      <c r="K25" s="122">
        <v>8</v>
      </c>
      <c r="L25" s="122">
        <v>8</v>
      </c>
      <c r="M25" s="122" t="s">
        <v>41</v>
      </c>
      <c r="N25" s="122" t="s">
        <v>41</v>
      </c>
      <c r="O25" s="122" t="s">
        <v>76</v>
      </c>
      <c r="P25" s="122" t="s">
        <v>76</v>
      </c>
      <c r="Q25" s="122">
        <v>8</v>
      </c>
      <c r="R25" s="122">
        <v>8</v>
      </c>
      <c r="S25" s="122">
        <v>8</v>
      </c>
      <c r="T25" s="122">
        <v>8</v>
      </c>
      <c r="U25" s="122">
        <v>8</v>
      </c>
      <c r="V25" s="122">
        <v>8</v>
      </c>
      <c r="W25" s="122">
        <v>8</v>
      </c>
      <c r="X25" s="122">
        <v>8</v>
      </c>
      <c r="Y25" s="122">
        <v>8</v>
      </c>
      <c r="Z25" s="122" t="s">
        <v>41</v>
      </c>
      <c r="AA25" s="122">
        <v>8</v>
      </c>
      <c r="AB25" s="122">
        <v>8</v>
      </c>
      <c r="AC25" s="122">
        <v>8</v>
      </c>
      <c r="AD25" s="122">
        <v>8</v>
      </c>
      <c r="AE25" s="122">
        <v>8</v>
      </c>
      <c r="AF25" s="122">
        <v>8</v>
      </c>
      <c r="AG25" s="122">
        <v>8</v>
      </c>
      <c r="AH25" s="122">
        <v>8</v>
      </c>
      <c r="AI25" s="122">
        <v>8</v>
      </c>
      <c r="AJ25" s="122">
        <v>8</v>
      </c>
      <c r="AK25" s="122">
        <v>8</v>
      </c>
      <c r="AL25" s="122">
        <v>8</v>
      </c>
      <c r="AM25" s="290">
        <v>8</v>
      </c>
      <c r="AN25" s="457">
        <f>COUNT(I25:AM25)</f>
        <v>25</v>
      </c>
      <c r="AO25" s="237">
        <f>SUM(I25:AM25)</f>
        <v>200</v>
      </c>
      <c r="AP25" s="60">
        <f>COUNTIFS($I25:$AM25,"SH")+COUNTIFS($I25:$AM25,"NSH")</f>
        <v>3</v>
      </c>
      <c r="AQ25" s="61">
        <f>COUNTIFS($I25:$AM25,$AQ$6)</f>
        <v>3</v>
      </c>
      <c r="AR25" s="61">
        <f>COUNTIFS($I25:$AM25,$AR$6)</f>
        <v>0</v>
      </c>
      <c r="AS25" s="61">
        <f>COUNTIFS($I25:$AM25,$AS$6)</f>
        <v>0</v>
      </c>
      <c r="AT25" s="77">
        <f>COUNTIFS($I25:$AM25,$AT$6)</f>
        <v>0</v>
      </c>
      <c r="AU25" s="46" t="e">
        <f t="shared" si="12"/>
        <v>#REF!</v>
      </c>
      <c r="AV25" s="10">
        <f>COUNTIF(I25:AM25,"RD")</f>
        <v>3</v>
      </c>
      <c r="AW25" s="10" t="e">
        <f t="shared" si="13"/>
        <v>#REF!</v>
      </c>
      <c r="AX25" s="10">
        <f>COUNTIF(I25:AM25,"SH")</f>
        <v>0</v>
      </c>
      <c r="AY25" s="10">
        <f>COUNTIF(I25:AM25,"SL")</f>
        <v>0</v>
      </c>
      <c r="AZ25" s="10">
        <f>COUNTIF(I25:AM25,"np")</f>
        <v>0</v>
      </c>
      <c r="BA25" s="10">
        <f>COUNTIF(I25:AM25,"AL*")</f>
        <v>0</v>
      </c>
      <c r="BB25" s="10">
        <f>COUNTIF(I25:AM25,"NC*")</f>
        <v>0</v>
      </c>
      <c r="BC25" s="82"/>
    </row>
    <row r="26" spans="2:55" s="22" customFormat="1" ht="21.95" customHeight="1">
      <c r="B26" s="237" t="s">
        <v>66</v>
      </c>
      <c r="C26" s="240">
        <v>4973</v>
      </c>
      <c r="D26" s="240" t="s">
        <v>170</v>
      </c>
      <c r="E26" s="289" t="s">
        <v>25</v>
      </c>
      <c r="F26" s="119" t="s">
        <v>79</v>
      </c>
      <c r="G26" s="262">
        <v>8</v>
      </c>
      <c r="H26" s="173" t="s">
        <v>173</v>
      </c>
      <c r="I26" s="178">
        <v>8</v>
      </c>
      <c r="J26" s="122">
        <v>8</v>
      </c>
      <c r="K26" s="122">
        <v>8</v>
      </c>
      <c r="L26" s="122">
        <v>8</v>
      </c>
      <c r="M26" s="122">
        <v>8</v>
      </c>
      <c r="N26" s="122">
        <v>8</v>
      </c>
      <c r="O26" s="122">
        <v>8</v>
      </c>
      <c r="P26" s="122">
        <v>8</v>
      </c>
      <c r="Q26" s="122">
        <v>8</v>
      </c>
      <c r="R26" s="122" t="s">
        <v>76</v>
      </c>
      <c r="S26" s="122" t="s">
        <v>76</v>
      </c>
      <c r="T26" s="122">
        <v>8</v>
      </c>
      <c r="U26" s="122">
        <v>8</v>
      </c>
      <c r="V26" s="122">
        <v>8</v>
      </c>
      <c r="W26" s="122">
        <v>8</v>
      </c>
      <c r="X26" s="122" t="s">
        <v>76</v>
      </c>
      <c r="Y26" s="122">
        <v>8</v>
      </c>
      <c r="Z26" s="122">
        <v>8</v>
      </c>
      <c r="AA26" s="122">
        <v>8</v>
      </c>
      <c r="AB26" s="122">
        <v>8</v>
      </c>
      <c r="AC26" s="122">
        <v>8</v>
      </c>
      <c r="AD26" s="122">
        <v>8</v>
      </c>
      <c r="AE26" s="122">
        <v>8</v>
      </c>
      <c r="AF26" s="122" t="s">
        <v>41</v>
      </c>
      <c r="AG26" s="122">
        <v>8</v>
      </c>
      <c r="AH26" s="122">
        <v>8</v>
      </c>
      <c r="AI26" s="122">
        <v>8</v>
      </c>
      <c r="AJ26" s="122">
        <v>8</v>
      </c>
      <c r="AK26" s="122">
        <v>8</v>
      </c>
      <c r="AL26" s="122">
        <v>8</v>
      </c>
      <c r="AM26" s="290">
        <v>8</v>
      </c>
      <c r="AN26" s="456">
        <f>COUNT(I26:AM26)</f>
        <v>27</v>
      </c>
      <c r="AO26" s="269">
        <f>SUM(I26:AM26)</f>
        <v>216</v>
      </c>
      <c r="AP26" s="60">
        <f>COUNTIFS($I26:$AM26,"SH")+COUNTIFS($I26:$AM26,"NSH")</f>
        <v>3</v>
      </c>
      <c r="AQ26" s="61">
        <f>COUNTIFS($I26:$AM26,$AQ$6)</f>
        <v>1</v>
      </c>
      <c r="AR26" s="61">
        <f>COUNTIFS($I26:$AM26,$AR$6)</f>
        <v>0</v>
      </c>
      <c r="AS26" s="61">
        <f>COUNTIFS($I26:$AM26,$AS$6)</f>
        <v>0</v>
      </c>
      <c r="AT26" s="77">
        <f>COUNTIFS($I26:$AM26,$AT$6)</f>
        <v>0</v>
      </c>
      <c r="AU26" s="46" t="e">
        <f t="shared" si="12"/>
        <v>#REF!</v>
      </c>
      <c r="AV26" s="10">
        <f>COUNTIF(I26:AM26,"RD")</f>
        <v>1</v>
      </c>
      <c r="AW26" s="10" t="e">
        <f t="shared" si="13"/>
        <v>#REF!</v>
      </c>
      <c r="AX26" s="10">
        <f>COUNTIF(I26:AM26,"SH")</f>
        <v>0</v>
      </c>
      <c r="AY26" s="10">
        <f>COUNTIF(I26:AM26,"SL")</f>
        <v>0</v>
      </c>
      <c r="AZ26" s="10">
        <f>COUNTIF(I26:AM26,"np")</f>
        <v>0</v>
      </c>
      <c r="BA26" s="10">
        <f>COUNTIF(I26:AM26,"AL*")</f>
        <v>0</v>
      </c>
      <c r="BB26" s="10">
        <f>COUNTIF(I26:AM26,"NC*")</f>
        <v>0</v>
      </c>
      <c r="BC26" s="82"/>
    </row>
    <row r="27" spans="2:55" s="22" customFormat="1" ht="21.95" customHeight="1">
      <c r="B27" s="237" t="s">
        <v>67</v>
      </c>
      <c r="C27" s="240">
        <v>4969</v>
      </c>
      <c r="D27" s="240" t="s">
        <v>171</v>
      </c>
      <c r="E27" s="289" t="s">
        <v>25</v>
      </c>
      <c r="F27" s="119" t="s">
        <v>79</v>
      </c>
      <c r="G27" s="262">
        <v>8</v>
      </c>
      <c r="H27" s="173" t="s">
        <v>173</v>
      </c>
      <c r="I27" s="178">
        <v>8</v>
      </c>
      <c r="J27" s="122" t="s">
        <v>76</v>
      </c>
      <c r="K27" s="122">
        <v>8</v>
      </c>
      <c r="L27" s="122">
        <v>8</v>
      </c>
      <c r="M27" s="122">
        <v>8</v>
      </c>
      <c r="N27" s="122">
        <v>8</v>
      </c>
      <c r="O27" s="122">
        <v>8</v>
      </c>
      <c r="P27" s="122">
        <v>8</v>
      </c>
      <c r="Q27" s="122" t="s">
        <v>76</v>
      </c>
      <c r="R27" s="122">
        <v>8</v>
      </c>
      <c r="S27" s="122">
        <v>8</v>
      </c>
      <c r="T27" s="122">
        <v>8</v>
      </c>
      <c r="U27" s="122">
        <v>8</v>
      </c>
      <c r="V27" s="122">
        <v>8</v>
      </c>
      <c r="W27" s="122" t="s">
        <v>76</v>
      </c>
      <c r="X27" s="122">
        <v>8</v>
      </c>
      <c r="Y27" s="122">
        <v>8</v>
      </c>
      <c r="Z27" s="122">
        <v>8</v>
      </c>
      <c r="AA27" s="122">
        <v>8</v>
      </c>
      <c r="AB27" s="122">
        <v>8</v>
      </c>
      <c r="AC27" s="122">
        <v>8</v>
      </c>
      <c r="AD27" s="122">
        <v>8</v>
      </c>
      <c r="AE27" s="122">
        <v>8</v>
      </c>
      <c r="AF27" s="122" t="s">
        <v>41</v>
      </c>
      <c r="AG27" s="122">
        <v>8</v>
      </c>
      <c r="AH27" s="122">
        <v>8</v>
      </c>
      <c r="AI27" s="122">
        <v>8</v>
      </c>
      <c r="AJ27" s="122">
        <v>8</v>
      </c>
      <c r="AK27" s="122">
        <v>8</v>
      </c>
      <c r="AL27" s="122">
        <v>8</v>
      </c>
      <c r="AM27" s="290">
        <v>8</v>
      </c>
      <c r="AN27" s="456">
        <f>COUNT(I27:AM27)</f>
        <v>27</v>
      </c>
      <c r="AO27" s="269">
        <f>SUM(I27:AM27)</f>
        <v>216</v>
      </c>
      <c r="AP27" s="60">
        <f>COUNTIFS($I27:$AM27,"SH")+COUNTIFS($I27:$AM27,"NSH")</f>
        <v>3</v>
      </c>
      <c r="AQ27" s="61">
        <f>COUNTIFS($I27:$AM27,$AQ$6)</f>
        <v>1</v>
      </c>
      <c r="AR27" s="61">
        <f>COUNTIFS($I27:$AM27,$AR$6)</f>
        <v>0</v>
      </c>
      <c r="AS27" s="61">
        <f>COUNTIFS($I27:$AM27,$AS$6)</f>
        <v>0</v>
      </c>
      <c r="AT27" s="77">
        <f>COUNTIFS($I27:$AM27,$AT$6)</f>
        <v>0</v>
      </c>
      <c r="AU27" s="46" t="e">
        <f t="shared" si="12"/>
        <v>#REF!</v>
      </c>
      <c r="AV27" s="10">
        <f>COUNTIF(I27:AM27,"RD")</f>
        <v>1</v>
      </c>
      <c r="AW27" s="10" t="e">
        <f t="shared" si="13"/>
        <v>#REF!</v>
      </c>
      <c r="AX27" s="10">
        <f>COUNTIF(I27:AM27,"SH")</f>
        <v>0</v>
      </c>
      <c r="AY27" s="10">
        <f>COUNTIF(I27:AM27,"SL")</f>
        <v>0</v>
      </c>
      <c r="AZ27" s="10">
        <f>COUNTIF(I27:AM27,"np")</f>
        <v>0</v>
      </c>
      <c r="BA27" s="10">
        <f>COUNTIF(I27:AM27,"AL*")</f>
        <v>0</v>
      </c>
      <c r="BB27" s="10">
        <f>COUNTIF(I27:AM27,"NC*")</f>
        <v>0</v>
      </c>
      <c r="BC27" s="82"/>
    </row>
    <row r="28" spans="2:55" ht="21.95" customHeight="1">
      <c r="B28" s="237" t="s">
        <v>68</v>
      </c>
      <c r="C28" s="240">
        <v>4964</v>
      </c>
      <c r="D28" s="240" t="s">
        <v>172</v>
      </c>
      <c r="E28" s="289" t="s">
        <v>25</v>
      </c>
      <c r="F28" s="119" t="s">
        <v>79</v>
      </c>
      <c r="G28" s="262">
        <v>8</v>
      </c>
      <c r="H28" s="173" t="s">
        <v>173</v>
      </c>
      <c r="I28" s="178">
        <v>8</v>
      </c>
      <c r="J28" s="122" t="s">
        <v>76</v>
      </c>
      <c r="K28" s="122">
        <v>8</v>
      </c>
      <c r="L28" s="122">
        <v>8</v>
      </c>
      <c r="M28" s="122">
        <v>8</v>
      </c>
      <c r="N28" s="122">
        <v>8</v>
      </c>
      <c r="O28" s="122">
        <v>8</v>
      </c>
      <c r="P28" s="122">
        <v>8</v>
      </c>
      <c r="Q28" s="122" t="s">
        <v>76</v>
      </c>
      <c r="R28" s="122">
        <v>8</v>
      </c>
      <c r="S28" s="122">
        <v>8</v>
      </c>
      <c r="T28" s="122">
        <v>8</v>
      </c>
      <c r="U28" s="122">
        <v>8</v>
      </c>
      <c r="V28" s="122">
        <v>8</v>
      </c>
      <c r="W28" s="122">
        <v>8</v>
      </c>
      <c r="X28" s="122">
        <v>8</v>
      </c>
      <c r="Y28" s="122" t="s">
        <v>76</v>
      </c>
      <c r="Z28" s="122">
        <v>8</v>
      </c>
      <c r="AA28" s="122">
        <v>8</v>
      </c>
      <c r="AB28" s="122">
        <v>8</v>
      </c>
      <c r="AC28" s="122">
        <v>8</v>
      </c>
      <c r="AD28" s="122" t="s">
        <v>41</v>
      </c>
      <c r="AE28" s="122">
        <v>8</v>
      </c>
      <c r="AF28" s="122">
        <v>8</v>
      </c>
      <c r="AG28" s="122">
        <v>8</v>
      </c>
      <c r="AH28" s="122">
        <v>8</v>
      </c>
      <c r="AI28" s="122">
        <v>8</v>
      </c>
      <c r="AJ28" s="122">
        <v>8</v>
      </c>
      <c r="AK28" s="122">
        <v>8</v>
      </c>
      <c r="AL28" s="122">
        <v>8</v>
      </c>
      <c r="AM28" s="290">
        <v>8</v>
      </c>
      <c r="AN28" s="457">
        <f>COUNT(I28:AM28)</f>
        <v>27</v>
      </c>
      <c r="AO28" s="237">
        <f>SUM(I28:AM28)</f>
        <v>216</v>
      </c>
      <c r="AP28" s="60">
        <f>COUNTIFS($I28:$AM28,"SH")+COUNTIFS($I28:$AM28,"NSH")</f>
        <v>3</v>
      </c>
      <c r="AQ28" s="61">
        <f>COUNTIFS($I28:$AM28,$AQ$6)</f>
        <v>1</v>
      </c>
      <c r="AR28" s="61">
        <f>COUNTIFS($I28:$AM28,$AR$6)</f>
        <v>0</v>
      </c>
      <c r="AS28" s="61">
        <f>COUNTIFS($I28:$AM28,$AS$6)</f>
        <v>0</v>
      </c>
      <c r="AT28" s="77">
        <f>COUNTIFS($I28:$AM28,$AT$6)</f>
        <v>0</v>
      </c>
      <c r="AU28" s="46" t="e">
        <f t="shared" si="12"/>
        <v>#REF!</v>
      </c>
      <c r="AV28" s="10">
        <f>COUNTIF(I28:AM28,"RD")</f>
        <v>1</v>
      </c>
      <c r="AW28" s="10" t="e">
        <f t="shared" si="13"/>
        <v>#REF!</v>
      </c>
      <c r="AX28" s="10">
        <f>COUNTIF(I28:AM28,"SH")</f>
        <v>0</v>
      </c>
      <c r="AY28" s="10">
        <f>COUNTIF(I28:AM28,"SL")</f>
        <v>0</v>
      </c>
      <c r="AZ28" s="10">
        <f>COUNTIF(I28:AM28,"np")</f>
        <v>0</v>
      </c>
      <c r="BA28" s="10">
        <f>COUNTIF(I28:AM28,"AL*")</f>
        <v>0</v>
      </c>
      <c r="BB28" s="10">
        <f>COUNTIF(I28:AM28,"NC*")</f>
        <v>0</v>
      </c>
      <c r="BC28" s="82"/>
    </row>
    <row r="29" spans="2:55" ht="21.95" customHeight="1">
      <c r="B29" s="237" t="s">
        <v>69</v>
      </c>
      <c r="C29" s="240">
        <v>4966</v>
      </c>
      <c r="D29" s="240" t="s">
        <v>174</v>
      </c>
      <c r="E29" s="289" t="s">
        <v>25</v>
      </c>
      <c r="F29" s="119" t="s">
        <v>79</v>
      </c>
      <c r="G29" s="262">
        <v>8</v>
      </c>
      <c r="H29" s="173" t="s">
        <v>173</v>
      </c>
      <c r="I29" s="178">
        <v>8</v>
      </c>
      <c r="J29" s="122">
        <v>8</v>
      </c>
      <c r="K29" s="122" t="s">
        <v>76</v>
      </c>
      <c r="L29" s="122" t="s">
        <v>76</v>
      </c>
      <c r="M29" s="122">
        <v>8</v>
      </c>
      <c r="N29" s="122">
        <v>8</v>
      </c>
      <c r="O29" s="122">
        <v>8</v>
      </c>
      <c r="P29" s="122">
        <v>8</v>
      </c>
      <c r="Q29" s="122">
        <v>8</v>
      </c>
      <c r="R29" s="122">
        <v>8</v>
      </c>
      <c r="S29" s="122" t="s">
        <v>76</v>
      </c>
      <c r="T29" s="122" t="s">
        <v>81</v>
      </c>
      <c r="U29" s="122">
        <v>8</v>
      </c>
      <c r="V29" s="122">
        <v>8</v>
      </c>
      <c r="W29" s="122">
        <v>8</v>
      </c>
      <c r="X29" s="122">
        <v>8</v>
      </c>
      <c r="Y29" s="122">
        <v>8</v>
      </c>
      <c r="Z29" s="122">
        <v>8</v>
      </c>
      <c r="AA29" s="122" t="s">
        <v>41</v>
      </c>
      <c r="AB29" s="122">
        <v>8</v>
      </c>
      <c r="AC29" s="122">
        <v>8</v>
      </c>
      <c r="AD29" s="122">
        <v>8</v>
      </c>
      <c r="AE29" s="122">
        <v>8</v>
      </c>
      <c r="AF29" s="122">
        <v>8</v>
      </c>
      <c r="AG29" s="122">
        <v>8</v>
      </c>
      <c r="AH29" s="122" t="s">
        <v>41</v>
      </c>
      <c r="AI29" s="122" t="s">
        <v>41</v>
      </c>
      <c r="AJ29" s="122">
        <v>8</v>
      </c>
      <c r="AK29" s="122" t="s">
        <v>41</v>
      </c>
      <c r="AL29" s="122" t="s">
        <v>41</v>
      </c>
      <c r="AM29" s="290" t="s">
        <v>41</v>
      </c>
      <c r="AN29" s="457">
        <f>COUNT(I29:AM29)</f>
        <v>21</v>
      </c>
      <c r="AO29" s="237">
        <f>SUM(I29:AM29)</f>
        <v>168</v>
      </c>
      <c r="AP29" s="60">
        <f>COUNTIFS($I29:$AM29,"SH")+COUNTIFS($I29:$AM29,"NSH")</f>
        <v>3</v>
      </c>
      <c r="AQ29" s="61">
        <f>COUNTIFS($I29:$AM29,$AQ$6)</f>
        <v>6</v>
      </c>
      <c r="AR29" s="61">
        <f>COUNTIFS($I29:$AM29,$AR$6)</f>
        <v>1</v>
      </c>
      <c r="AS29" s="61">
        <f>COUNTIFS($I29:$AM29,$AS$6)</f>
        <v>0</v>
      </c>
      <c r="AT29" s="77">
        <f>COUNTIFS($I29:$AM29,$AT$6)</f>
        <v>0</v>
      </c>
      <c r="AU29" s="46" t="e">
        <f t="shared" si="12"/>
        <v>#REF!</v>
      </c>
      <c r="AV29" s="10">
        <f>COUNTIF(I29:AM29,"RD")</f>
        <v>6</v>
      </c>
      <c r="AW29" s="10" t="e">
        <f t="shared" si="13"/>
        <v>#REF!</v>
      </c>
      <c r="AX29" s="10">
        <f>COUNTIF(I29:AM29,"SH")</f>
        <v>0</v>
      </c>
      <c r="AY29" s="10">
        <f>COUNTIF(I29:AM29,"SL")</f>
        <v>0</v>
      </c>
      <c r="AZ29" s="10">
        <f>COUNTIF(I29:AM29,"np")</f>
        <v>1</v>
      </c>
      <c r="BA29" s="10">
        <f>COUNTIF(I29:AM29,"AL*")</f>
        <v>0</v>
      </c>
      <c r="BB29" s="10">
        <f>COUNTIF(I29:AM29,"NC*")</f>
        <v>0</v>
      </c>
      <c r="BC29" s="82"/>
    </row>
    <row r="30" spans="2:55" ht="21.95" customHeight="1" thickBot="1">
      <c r="B30" s="228" t="s">
        <v>70</v>
      </c>
      <c r="C30" s="272">
        <v>5034</v>
      </c>
      <c r="D30" s="272" t="s">
        <v>84</v>
      </c>
      <c r="E30" s="281" t="s">
        <v>25</v>
      </c>
      <c r="F30" s="244" t="s">
        <v>79</v>
      </c>
      <c r="G30" s="245">
        <v>8</v>
      </c>
      <c r="H30" s="102" t="s">
        <v>173</v>
      </c>
      <c r="I30" s="181">
        <v>8</v>
      </c>
      <c r="J30" s="130">
        <v>8</v>
      </c>
      <c r="K30" s="130">
        <v>8</v>
      </c>
      <c r="L30" s="130">
        <v>8</v>
      </c>
      <c r="M30" s="130">
        <v>8</v>
      </c>
      <c r="N30" s="130">
        <v>8</v>
      </c>
      <c r="O30" s="130" t="s">
        <v>81</v>
      </c>
      <c r="P30" s="130">
        <v>8</v>
      </c>
      <c r="Q30" s="130">
        <v>8</v>
      </c>
      <c r="R30" s="130">
        <v>8</v>
      </c>
      <c r="S30" s="130">
        <v>8</v>
      </c>
      <c r="T30" s="130">
        <v>8</v>
      </c>
      <c r="U30" s="130" t="s">
        <v>81</v>
      </c>
      <c r="V30" s="130">
        <v>8</v>
      </c>
      <c r="W30" s="130">
        <v>8</v>
      </c>
      <c r="X30" s="130">
        <v>8</v>
      </c>
      <c r="Y30" s="130">
        <v>8</v>
      </c>
      <c r="Z30" s="130">
        <v>8</v>
      </c>
      <c r="AA30" s="130">
        <v>8</v>
      </c>
      <c r="AB30" s="130" t="s">
        <v>81</v>
      </c>
      <c r="AC30" s="130">
        <v>8</v>
      </c>
      <c r="AD30" s="130">
        <v>8</v>
      </c>
      <c r="AE30" s="130">
        <v>8</v>
      </c>
      <c r="AF30" s="130">
        <v>8</v>
      </c>
      <c r="AG30" s="130" t="s">
        <v>41</v>
      </c>
      <c r="AH30" s="130">
        <v>8</v>
      </c>
      <c r="AI30" s="130">
        <v>8</v>
      </c>
      <c r="AJ30" s="130" t="s">
        <v>41</v>
      </c>
      <c r="AK30" s="130">
        <v>8</v>
      </c>
      <c r="AL30" s="130">
        <v>8</v>
      </c>
      <c r="AM30" s="285">
        <v>8</v>
      </c>
      <c r="AN30" s="458">
        <f>COUNT(I30:AM30)</f>
        <v>26</v>
      </c>
      <c r="AO30" s="228">
        <f>SUM(I30:AM30)</f>
        <v>208</v>
      </c>
      <c r="AP30" s="66">
        <f>COUNTIFS($I30:$AM30,"SH")+COUNTIFS($I30:$AM30,"NSH")</f>
        <v>0</v>
      </c>
      <c r="AQ30" s="67">
        <f>COUNTIFS($I30:$AM30,$AQ$6)</f>
        <v>2</v>
      </c>
      <c r="AR30" s="67">
        <f>COUNTIFS($I30:$AM30,$AR$6)</f>
        <v>3</v>
      </c>
      <c r="AS30" s="67">
        <f>COUNTIFS($I30:$AM30,$AS$6)</f>
        <v>0</v>
      </c>
      <c r="AT30" s="78">
        <f>COUNTIFS($I30:$AM30,$AT$6)</f>
        <v>0</v>
      </c>
      <c r="AU30" s="75" t="e">
        <f t="shared" si="12"/>
        <v>#REF!</v>
      </c>
      <c r="AV30" s="68">
        <f>COUNTIF(I30:AM30,"RD")</f>
        <v>2</v>
      </c>
      <c r="AW30" s="68" t="e">
        <f t="shared" si="13"/>
        <v>#REF!</v>
      </c>
      <c r="AX30" s="68">
        <f>COUNTIF(I30:AM30,"SH")</f>
        <v>0</v>
      </c>
      <c r="AY30" s="68">
        <f>COUNTIF(I30:AM30,"SL")</f>
        <v>0</v>
      </c>
      <c r="AZ30" s="68">
        <f>COUNTIF(I30:AM30,"np")</f>
        <v>3</v>
      </c>
      <c r="BA30" s="68">
        <f>COUNTIF(I30:AM30,"AL*")</f>
        <v>0</v>
      </c>
      <c r="BB30" s="68">
        <f>COUNTIF(I30:AM30,"NC*")</f>
        <v>0</v>
      </c>
      <c r="BC30" s="84"/>
    </row>
    <row r="31" spans="2:55" ht="21.95" customHeight="1" thickBot="1">
      <c r="B31" s="391" t="s">
        <v>123</v>
      </c>
      <c r="C31" s="391"/>
      <c r="D31" s="423" t="s">
        <v>124</v>
      </c>
      <c r="E31" s="423"/>
      <c r="F31" s="423"/>
      <c r="G31" s="423"/>
      <c r="H31" s="423"/>
      <c r="I31" s="90">
        <f>COUNTIF(I20:I30,"8")</f>
        <v>9</v>
      </c>
      <c r="J31" s="90">
        <f>COUNTIF(J20:J30,"8")</f>
        <v>9</v>
      </c>
      <c r="K31" s="90">
        <f t="shared" ref="K31:AM31" si="14">COUNTIF(K20:K30,"8")</f>
        <v>9</v>
      </c>
      <c r="L31" s="90">
        <f t="shared" si="14"/>
        <v>9</v>
      </c>
      <c r="M31" s="90">
        <f t="shared" si="14"/>
        <v>9</v>
      </c>
      <c r="N31" s="90">
        <f t="shared" si="14"/>
        <v>9</v>
      </c>
      <c r="O31" s="90">
        <f t="shared" si="14"/>
        <v>9</v>
      </c>
      <c r="P31" s="90">
        <f t="shared" si="14"/>
        <v>9</v>
      </c>
      <c r="Q31" s="90">
        <f t="shared" si="14"/>
        <v>9</v>
      </c>
      <c r="R31" s="90">
        <f t="shared" si="14"/>
        <v>9</v>
      </c>
      <c r="S31" s="90">
        <f t="shared" si="14"/>
        <v>9</v>
      </c>
      <c r="T31" s="90">
        <f t="shared" si="14"/>
        <v>9</v>
      </c>
      <c r="U31" s="90">
        <f t="shared" si="14"/>
        <v>9</v>
      </c>
      <c r="V31" s="90">
        <f t="shared" si="14"/>
        <v>9</v>
      </c>
      <c r="W31" s="90">
        <f t="shared" si="14"/>
        <v>9</v>
      </c>
      <c r="X31" s="90">
        <f t="shared" si="14"/>
        <v>9</v>
      </c>
      <c r="Y31" s="90">
        <f t="shared" si="14"/>
        <v>9</v>
      </c>
      <c r="Z31" s="90">
        <f t="shared" si="14"/>
        <v>9</v>
      </c>
      <c r="AA31" s="90">
        <f t="shared" si="14"/>
        <v>9</v>
      </c>
      <c r="AB31" s="90">
        <f t="shared" si="14"/>
        <v>9</v>
      </c>
      <c r="AC31" s="90">
        <f t="shared" si="14"/>
        <v>9</v>
      </c>
      <c r="AD31" s="90">
        <f t="shared" si="14"/>
        <v>9</v>
      </c>
      <c r="AE31" s="90">
        <f t="shared" si="14"/>
        <v>9</v>
      </c>
      <c r="AF31" s="90">
        <f t="shared" si="14"/>
        <v>9</v>
      </c>
      <c r="AG31" s="90">
        <f t="shared" ref="AG31:AI31" si="15">COUNTIF(AG20:AG30,"8")</f>
        <v>9</v>
      </c>
      <c r="AH31" s="90">
        <f t="shared" si="15"/>
        <v>9</v>
      </c>
      <c r="AI31" s="90">
        <f t="shared" si="15"/>
        <v>9</v>
      </c>
      <c r="AJ31" s="90">
        <f t="shared" si="14"/>
        <v>9</v>
      </c>
      <c r="AK31" s="90">
        <f t="shared" si="14"/>
        <v>9</v>
      </c>
      <c r="AL31" s="90">
        <f t="shared" si="14"/>
        <v>9</v>
      </c>
      <c r="AM31" s="90">
        <f t="shared" si="14"/>
        <v>9</v>
      </c>
      <c r="AN31" s="291">
        <f>SUM(AN20:AN30)</f>
        <v>279</v>
      </c>
      <c r="AO31" s="250">
        <f>SUM(AO20:AO30)</f>
        <v>2232</v>
      </c>
    </row>
    <row r="32" spans="2:55" ht="21.95" customHeight="1" thickBot="1">
      <c r="B32" s="432"/>
      <c r="C32" s="432"/>
      <c r="D32" s="432"/>
      <c r="E32" s="208"/>
      <c r="F32" s="208"/>
      <c r="G32" s="208"/>
      <c r="H32" s="207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  <c r="AD32" s="208"/>
      <c r="AE32" s="208"/>
      <c r="AF32" s="208"/>
      <c r="AG32" s="208"/>
      <c r="AH32" s="208"/>
      <c r="AI32" s="208"/>
      <c r="AJ32" s="208"/>
      <c r="AK32" s="208"/>
      <c r="AL32" s="208"/>
      <c r="AM32" s="208"/>
      <c r="AN32" s="207"/>
      <c r="AO32" s="207"/>
    </row>
    <row r="33" spans="2:42" ht="21.95" customHeight="1" thickBot="1">
      <c r="B33" s="432"/>
      <c r="C33" s="432"/>
      <c r="D33" s="432"/>
      <c r="E33" s="208"/>
      <c r="F33" s="208"/>
      <c r="G33" s="208"/>
      <c r="H33" s="207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8"/>
      <c r="AI33" s="208"/>
      <c r="AJ33" s="208"/>
      <c r="AK33" s="208"/>
      <c r="AL33" s="208"/>
      <c r="AM33" s="208"/>
      <c r="AN33" s="250" t="s">
        <v>125</v>
      </c>
      <c r="AO33" s="286" t="s">
        <v>126</v>
      </c>
    </row>
    <row r="34" spans="2:42" ht="21.95" customHeight="1">
      <c r="B34" s="393" t="s">
        <v>127</v>
      </c>
      <c r="C34" s="394"/>
      <c r="D34" s="395"/>
      <c r="E34" s="139"/>
      <c r="F34" s="139"/>
      <c r="G34" s="139"/>
      <c r="H34" s="141" t="s">
        <v>38</v>
      </c>
      <c r="I34" s="142">
        <v>6</v>
      </c>
      <c r="J34" s="143">
        <v>6</v>
      </c>
      <c r="K34" s="143">
        <v>6</v>
      </c>
      <c r="L34" s="143">
        <v>6</v>
      </c>
      <c r="M34" s="143">
        <v>6</v>
      </c>
      <c r="N34" s="143">
        <v>6</v>
      </c>
      <c r="O34" s="143">
        <v>6</v>
      </c>
      <c r="P34" s="143">
        <v>6</v>
      </c>
      <c r="Q34" s="143">
        <v>6</v>
      </c>
      <c r="R34" s="143">
        <v>6</v>
      </c>
      <c r="S34" s="143">
        <v>6</v>
      </c>
      <c r="T34" s="143">
        <v>6</v>
      </c>
      <c r="U34" s="143">
        <v>6</v>
      </c>
      <c r="V34" s="143">
        <v>6</v>
      </c>
      <c r="W34" s="143">
        <v>6</v>
      </c>
      <c r="X34" s="143">
        <v>6</v>
      </c>
      <c r="Y34" s="143">
        <v>6</v>
      </c>
      <c r="Z34" s="143">
        <v>6</v>
      </c>
      <c r="AA34" s="143">
        <v>6</v>
      </c>
      <c r="AB34" s="143">
        <v>6</v>
      </c>
      <c r="AC34" s="143">
        <v>6</v>
      </c>
      <c r="AD34" s="143">
        <v>6</v>
      </c>
      <c r="AE34" s="143">
        <v>6</v>
      </c>
      <c r="AF34" s="143">
        <v>6</v>
      </c>
      <c r="AG34" s="143">
        <v>6</v>
      </c>
      <c r="AH34" s="143">
        <v>6</v>
      </c>
      <c r="AI34" s="143">
        <v>6</v>
      </c>
      <c r="AJ34" s="143">
        <v>6</v>
      </c>
      <c r="AK34" s="143">
        <v>6</v>
      </c>
      <c r="AL34" s="143">
        <v>6</v>
      </c>
      <c r="AM34" s="183">
        <v>6</v>
      </c>
      <c r="AN34" s="141">
        <f>SUM(I34:AM34)</f>
        <v>186</v>
      </c>
      <c r="AO34" s="141">
        <f>AN34*8</f>
        <v>1488</v>
      </c>
    </row>
    <row r="35" spans="2:42" ht="21.95" customHeight="1">
      <c r="B35" s="396" t="s">
        <v>128</v>
      </c>
      <c r="C35" s="397"/>
      <c r="D35" s="398"/>
      <c r="E35" s="147"/>
      <c r="F35" s="147"/>
      <c r="G35" s="147"/>
      <c r="H35" s="149"/>
      <c r="I35" s="150">
        <v>6</v>
      </c>
      <c r="J35" s="151">
        <v>6</v>
      </c>
      <c r="K35" s="151">
        <v>6</v>
      </c>
      <c r="L35" s="151">
        <v>6</v>
      </c>
      <c r="M35" s="151">
        <v>6</v>
      </c>
      <c r="N35" s="151">
        <v>6</v>
      </c>
      <c r="O35" s="151">
        <v>6</v>
      </c>
      <c r="P35" s="151">
        <v>6</v>
      </c>
      <c r="Q35" s="151">
        <v>6</v>
      </c>
      <c r="R35" s="151">
        <v>6</v>
      </c>
      <c r="S35" s="151">
        <v>6</v>
      </c>
      <c r="T35" s="151">
        <v>6</v>
      </c>
      <c r="U35" s="151">
        <v>6</v>
      </c>
      <c r="V35" s="151">
        <v>6</v>
      </c>
      <c r="W35" s="151">
        <v>6</v>
      </c>
      <c r="X35" s="151">
        <v>6</v>
      </c>
      <c r="Y35" s="151">
        <v>6</v>
      </c>
      <c r="Z35" s="151">
        <v>6</v>
      </c>
      <c r="AA35" s="151">
        <v>6</v>
      </c>
      <c r="AB35" s="151">
        <v>6</v>
      </c>
      <c r="AC35" s="151">
        <v>6</v>
      </c>
      <c r="AD35" s="151">
        <v>6</v>
      </c>
      <c r="AE35" s="151">
        <v>6</v>
      </c>
      <c r="AF35" s="151">
        <v>6</v>
      </c>
      <c r="AG35" s="151">
        <v>6</v>
      </c>
      <c r="AH35" s="151">
        <v>6</v>
      </c>
      <c r="AI35" s="151">
        <v>6</v>
      </c>
      <c r="AJ35" s="151">
        <v>6</v>
      </c>
      <c r="AK35" s="151">
        <v>6</v>
      </c>
      <c r="AL35" s="151">
        <v>6</v>
      </c>
      <c r="AM35" s="186">
        <v>6</v>
      </c>
      <c r="AN35" s="149">
        <f>SUM(I35:AM35)</f>
        <v>186</v>
      </c>
      <c r="AO35" s="149">
        <f>AN35*8</f>
        <v>1488</v>
      </c>
    </row>
    <row r="36" spans="2:42" ht="21.95" customHeight="1" thickBot="1">
      <c r="B36" s="402" t="s">
        <v>129</v>
      </c>
      <c r="C36" s="403"/>
      <c r="D36" s="404"/>
      <c r="E36" s="155"/>
      <c r="F36" s="155"/>
      <c r="G36" s="155"/>
      <c r="H36" s="157"/>
      <c r="I36" s="158">
        <f t="shared" ref="I36:J36" si="16">IF((I34-I35)&lt;0,I34-I35,0)</f>
        <v>0</v>
      </c>
      <c r="J36" s="159">
        <f t="shared" si="16"/>
        <v>0</v>
      </c>
      <c r="K36" s="159">
        <f t="shared" ref="K36" si="17">IF((K34-K35)&lt;0,K34-K35,0)</f>
        <v>0</v>
      </c>
      <c r="L36" s="159">
        <f t="shared" ref="L36" si="18">IF((L34-L35)&lt;0,L34-L35,0)</f>
        <v>0</v>
      </c>
      <c r="M36" s="159">
        <f t="shared" ref="M36" si="19">IF((M34-M35)&lt;0,M34-M35,0)</f>
        <v>0</v>
      </c>
      <c r="N36" s="159">
        <f t="shared" ref="N36" si="20">IF((N34-N35)&lt;0,N34-N35,0)</f>
        <v>0</v>
      </c>
      <c r="O36" s="159">
        <f t="shared" ref="O36" si="21">IF((O34-O35)&lt;0,O34-O35,0)</f>
        <v>0</v>
      </c>
      <c r="P36" s="159">
        <f t="shared" ref="P36" si="22">IF((P34-P35)&lt;0,P34-P35,0)</f>
        <v>0</v>
      </c>
      <c r="Q36" s="159">
        <f t="shared" ref="Q36" si="23">IF((Q34-Q35)&lt;0,Q34-Q35,0)</f>
        <v>0</v>
      </c>
      <c r="R36" s="159">
        <f t="shared" ref="R36" si="24">IF((R34-R35)&lt;0,R34-R35,0)</f>
        <v>0</v>
      </c>
      <c r="S36" s="159">
        <f t="shared" ref="S36" si="25">IF((S34-S35)&lt;0,S34-S35,0)</f>
        <v>0</v>
      </c>
      <c r="T36" s="159">
        <f t="shared" ref="T36" si="26">IF((T34-T35)&lt;0,T34-T35,0)</f>
        <v>0</v>
      </c>
      <c r="U36" s="159">
        <f t="shared" ref="U36" si="27">IF((U34-U35)&lt;0,U34-U35,0)</f>
        <v>0</v>
      </c>
      <c r="V36" s="159">
        <f t="shared" ref="V36" si="28">IF((V34-V35)&lt;0,V34-V35,0)</f>
        <v>0</v>
      </c>
      <c r="W36" s="159">
        <f t="shared" ref="W36" si="29">IF((W34-W35)&lt;0,W34-W35,0)</f>
        <v>0</v>
      </c>
      <c r="X36" s="159">
        <f t="shared" ref="X36" si="30">IF((X34-X35)&lt;0,X34-X35,0)</f>
        <v>0</v>
      </c>
      <c r="Y36" s="159">
        <f t="shared" ref="Y36" si="31">IF((Y34-Y35)&lt;0,Y34-Y35,0)</f>
        <v>0</v>
      </c>
      <c r="Z36" s="159">
        <f t="shared" ref="Z36" si="32">IF((Z34-Z35)&lt;0,Z34-Z35,0)</f>
        <v>0</v>
      </c>
      <c r="AA36" s="159">
        <f t="shared" ref="AA36" si="33">IF((AA34-AA35)&lt;0,AA34-AA35,0)</f>
        <v>0</v>
      </c>
      <c r="AB36" s="159">
        <f t="shared" ref="AB36" si="34">IF((AB34-AB35)&lt;0,AB34-AB35,0)</f>
        <v>0</v>
      </c>
      <c r="AC36" s="159">
        <f t="shared" ref="AC36" si="35">IF((AC34-AC35)&lt;0,AC34-AC35,0)</f>
        <v>0</v>
      </c>
      <c r="AD36" s="159">
        <f t="shared" ref="AD36" si="36">IF((AD34-AD35)&lt;0,AD34-AD35,0)</f>
        <v>0</v>
      </c>
      <c r="AE36" s="159">
        <f t="shared" ref="AE36" si="37">IF((AE34-AE35)&lt;0,AE34-AE35,0)</f>
        <v>0</v>
      </c>
      <c r="AF36" s="159">
        <f t="shared" ref="AF36:AI36" si="38">IF((AF34-AF35)&lt;0,AF34-AF35,0)</f>
        <v>0</v>
      </c>
      <c r="AG36" s="159">
        <f t="shared" si="38"/>
        <v>0</v>
      </c>
      <c r="AH36" s="159">
        <f t="shared" si="38"/>
        <v>0</v>
      </c>
      <c r="AI36" s="159">
        <f t="shared" si="38"/>
        <v>0</v>
      </c>
      <c r="AJ36" s="159">
        <f t="shared" ref="AJ36" si="39">IF((AJ34-AJ35)&lt;0,AJ34-AJ35,0)</f>
        <v>0</v>
      </c>
      <c r="AK36" s="159">
        <f t="shared" ref="AK36" si="40">IF((AK34-AK35)&lt;0,AK34-AK35,0)</f>
        <v>0</v>
      </c>
      <c r="AL36" s="159">
        <f t="shared" ref="AL36" si="41">IF((AL34-AL35)&lt;0,AL34-AL35,0)</f>
        <v>0</v>
      </c>
      <c r="AM36" s="187">
        <f t="shared" ref="AM36" si="42">IF((AM34-AM35)&lt;0,AM34-AM35,0)</f>
        <v>0</v>
      </c>
      <c r="AN36" s="205">
        <f>SUM(I36:AM36)</f>
        <v>0</v>
      </c>
      <c r="AO36" s="205">
        <f>AO34-AO35</f>
        <v>0</v>
      </c>
    </row>
    <row r="37" spans="2:42" ht="21.95" customHeight="1">
      <c r="B37" s="393" t="s">
        <v>130</v>
      </c>
      <c r="C37" s="394"/>
      <c r="D37" s="395"/>
      <c r="E37" s="139"/>
      <c r="F37" s="139"/>
      <c r="G37" s="139"/>
      <c r="H37" s="141" t="s">
        <v>39</v>
      </c>
      <c r="I37" s="304">
        <f t="shared" ref="I37" si="43">COUNT(I19:I30)-I34</f>
        <v>3</v>
      </c>
      <c r="J37" s="274">
        <f t="shared" ref="J37:AM37" si="44">COUNT(J19:J30)-J34</f>
        <v>3</v>
      </c>
      <c r="K37" s="274">
        <f t="shared" si="44"/>
        <v>3</v>
      </c>
      <c r="L37" s="274">
        <f t="shared" si="44"/>
        <v>3</v>
      </c>
      <c r="M37" s="274">
        <f t="shared" si="44"/>
        <v>3</v>
      </c>
      <c r="N37" s="274">
        <f t="shared" si="44"/>
        <v>3</v>
      </c>
      <c r="O37" s="274">
        <f t="shared" si="44"/>
        <v>3</v>
      </c>
      <c r="P37" s="274">
        <f t="shared" si="44"/>
        <v>3</v>
      </c>
      <c r="Q37" s="274">
        <f t="shared" si="44"/>
        <v>3</v>
      </c>
      <c r="R37" s="274">
        <f t="shared" si="44"/>
        <v>3</v>
      </c>
      <c r="S37" s="274">
        <f t="shared" si="44"/>
        <v>3</v>
      </c>
      <c r="T37" s="274">
        <f t="shared" si="44"/>
        <v>3</v>
      </c>
      <c r="U37" s="274">
        <f t="shared" si="44"/>
        <v>3</v>
      </c>
      <c r="V37" s="274">
        <f t="shared" si="44"/>
        <v>3</v>
      </c>
      <c r="W37" s="274">
        <f t="shared" si="44"/>
        <v>3</v>
      </c>
      <c r="X37" s="274">
        <f t="shared" si="44"/>
        <v>3</v>
      </c>
      <c r="Y37" s="274">
        <f t="shared" si="44"/>
        <v>3</v>
      </c>
      <c r="Z37" s="274">
        <f t="shared" si="44"/>
        <v>3</v>
      </c>
      <c r="AA37" s="274">
        <f t="shared" si="44"/>
        <v>3</v>
      </c>
      <c r="AB37" s="274">
        <f t="shared" si="44"/>
        <v>3</v>
      </c>
      <c r="AC37" s="274">
        <f t="shared" si="44"/>
        <v>3</v>
      </c>
      <c r="AD37" s="274">
        <f t="shared" si="44"/>
        <v>3</v>
      </c>
      <c r="AE37" s="274">
        <f t="shared" si="44"/>
        <v>3</v>
      </c>
      <c r="AF37" s="274">
        <f t="shared" si="44"/>
        <v>3</v>
      </c>
      <c r="AG37" s="274">
        <f t="shared" ref="AG37:AI37" si="45">COUNT(AG19:AG30)-AG34</f>
        <v>3</v>
      </c>
      <c r="AH37" s="274">
        <f t="shared" si="45"/>
        <v>3</v>
      </c>
      <c r="AI37" s="274">
        <f t="shared" si="45"/>
        <v>3</v>
      </c>
      <c r="AJ37" s="274">
        <f t="shared" si="44"/>
        <v>3</v>
      </c>
      <c r="AK37" s="274">
        <f t="shared" si="44"/>
        <v>3</v>
      </c>
      <c r="AL37" s="274">
        <f t="shared" si="44"/>
        <v>3</v>
      </c>
      <c r="AM37" s="306">
        <f t="shared" si="44"/>
        <v>3</v>
      </c>
      <c r="AN37" s="144">
        <f>SUM(I37:AM37)</f>
        <v>93</v>
      </c>
      <c r="AO37" s="141">
        <f>AN37*8</f>
        <v>744</v>
      </c>
      <c r="AP37" s="53"/>
    </row>
    <row r="38" spans="2:42" ht="21.95" customHeight="1">
      <c r="B38" s="396" t="s">
        <v>131</v>
      </c>
      <c r="C38" s="397"/>
      <c r="D38" s="398"/>
      <c r="E38" s="147"/>
      <c r="F38" s="147"/>
      <c r="G38" s="147"/>
      <c r="H38" s="149"/>
      <c r="I38" s="150">
        <v>3</v>
      </c>
      <c r="J38" s="151">
        <v>3</v>
      </c>
      <c r="K38" s="151">
        <v>3</v>
      </c>
      <c r="L38" s="151">
        <v>3</v>
      </c>
      <c r="M38" s="151">
        <v>3</v>
      </c>
      <c r="N38" s="151">
        <v>3</v>
      </c>
      <c r="O38" s="151">
        <v>3</v>
      </c>
      <c r="P38" s="151">
        <v>3</v>
      </c>
      <c r="Q38" s="151">
        <v>3</v>
      </c>
      <c r="R38" s="151">
        <v>3</v>
      </c>
      <c r="S38" s="151">
        <v>3</v>
      </c>
      <c r="T38" s="151">
        <v>3</v>
      </c>
      <c r="U38" s="151">
        <v>3</v>
      </c>
      <c r="V38" s="151">
        <v>3</v>
      </c>
      <c r="W38" s="151">
        <v>3</v>
      </c>
      <c r="X38" s="151">
        <v>3</v>
      </c>
      <c r="Y38" s="151">
        <v>3</v>
      </c>
      <c r="Z38" s="151">
        <v>3</v>
      </c>
      <c r="AA38" s="151">
        <v>3</v>
      </c>
      <c r="AB38" s="151">
        <v>3</v>
      </c>
      <c r="AC38" s="151">
        <v>3</v>
      </c>
      <c r="AD38" s="151">
        <v>3</v>
      </c>
      <c r="AE38" s="151">
        <v>3</v>
      </c>
      <c r="AF38" s="151">
        <v>3</v>
      </c>
      <c r="AG38" s="151">
        <v>3</v>
      </c>
      <c r="AH38" s="151">
        <v>3</v>
      </c>
      <c r="AI38" s="151">
        <v>3</v>
      </c>
      <c r="AJ38" s="151">
        <v>3</v>
      </c>
      <c r="AK38" s="151">
        <v>3</v>
      </c>
      <c r="AL38" s="151">
        <v>3</v>
      </c>
      <c r="AM38" s="186">
        <v>3</v>
      </c>
      <c r="AN38" s="149">
        <f>SUM(I38:AM38)</f>
        <v>93</v>
      </c>
      <c r="AO38" s="149">
        <f>AN38*8</f>
        <v>744</v>
      </c>
    </row>
    <row r="39" spans="2:42" ht="21.95" customHeight="1" thickBot="1">
      <c r="B39" s="433" t="s">
        <v>132</v>
      </c>
      <c r="C39" s="434"/>
      <c r="D39" s="435"/>
      <c r="E39" s="191"/>
      <c r="F39" s="191"/>
      <c r="G39" s="191"/>
      <c r="H39" s="192"/>
      <c r="I39" s="158">
        <f t="shared" ref="I39:J39" si="46">IF((I37-I38)&lt;0,I37-I38,0)</f>
        <v>0</v>
      </c>
      <c r="J39" s="159">
        <f t="shared" si="46"/>
        <v>0</v>
      </c>
      <c r="K39" s="159">
        <f t="shared" ref="K39" si="47">IF((K37-K38)&lt;0,K37-K38,0)</f>
        <v>0</v>
      </c>
      <c r="L39" s="159">
        <f t="shared" ref="L39" si="48">IF((L37-L38)&lt;0,L37-L38,0)</f>
        <v>0</v>
      </c>
      <c r="M39" s="159">
        <f t="shared" ref="M39" si="49">IF((M37-M38)&lt;0,M37-M38,0)</f>
        <v>0</v>
      </c>
      <c r="N39" s="159">
        <f t="shared" ref="N39" si="50">IF((N37-N38)&lt;0,N37-N38,0)</f>
        <v>0</v>
      </c>
      <c r="O39" s="159">
        <f t="shared" ref="O39" si="51">IF((O37-O38)&lt;0,O37-O38,0)</f>
        <v>0</v>
      </c>
      <c r="P39" s="159">
        <f t="shared" ref="P39" si="52">IF((P37-P38)&lt;0,P37-P38,0)</f>
        <v>0</v>
      </c>
      <c r="Q39" s="159">
        <f t="shared" ref="Q39" si="53">IF((Q37-Q38)&lt;0,Q37-Q38,0)</f>
        <v>0</v>
      </c>
      <c r="R39" s="159">
        <f t="shared" ref="R39" si="54">IF((R37-R38)&lt;0,R37-R38,0)</f>
        <v>0</v>
      </c>
      <c r="S39" s="159">
        <f t="shared" ref="S39" si="55">IF((S37-S38)&lt;0,S37-S38,0)</f>
        <v>0</v>
      </c>
      <c r="T39" s="159">
        <f t="shared" ref="T39" si="56">IF((T37-T38)&lt;0,T37-T38,0)</f>
        <v>0</v>
      </c>
      <c r="U39" s="159">
        <f t="shared" ref="U39" si="57">IF((U37-U38)&lt;0,U37-U38,0)</f>
        <v>0</v>
      </c>
      <c r="V39" s="159">
        <f t="shared" ref="V39" si="58">IF((V37-V38)&lt;0,V37-V38,0)</f>
        <v>0</v>
      </c>
      <c r="W39" s="159">
        <f t="shared" ref="W39" si="59">IF((W37-W38)&lt;0,W37-W38,0)</f>
        <v>0</v>
      </c>
      <c r="X39" s="159">
        <f t="shared" ref="X39" si="60">IF((X37-X38)&lt;0,X37-X38,0)</f>
        <v>0</v>
      </c>
      <c r="Y39" s="159">
        <f t="shared" ref="Y39" si="61">IF((Y37-Y38)&lt;0,Y37-Y38,0)</f>
        <v>0</v>
      </c>
      <c r="Z39" s="159">
        <f t="shared" ref="Z39" si="62">IF((Z37-Z38)&lt;0,Z37-Z38,0)</f>
        <v>0</v>
      </c>
      <c r="AA39" s="159">
        <f t="shared" ref="AA39" si="63">IF((AA37-AA38)&lt;0,AA37-AA38,0)</f>
        <v>0</v>
      </c>
      <c r="AB39" s="159">
        <f t="shared" ref="AB39" si="64">IF((AB37-AB38)&lt;0,AB37-AB38,0)</f>
        <v>0</v>
      </c>
      <c r="AC39" s="159">
        <f t="shared" ref="AC39" si="65">IF((AC37-AC38)&lt;0,AC37-AC38,0)</f>
        <v>0</v>
      </c>
      <c r="AD39" s="159">
        <f t="shared" ref="AD39" si="66">IF((AD37-AD38)&lt;0,AD37-AD38,0)</f>
        <v>0</v>
      </c>
      <c r="AE39" s="159">
        <f t="shared" ref="AE39" si="67">IF((AE37-AE38)&lt;0,AE37-AE38,0)</f>
        <v>0</v>
      </c>
      <c r="AF39" s="159">
        <f t="shared" ref="AF39:AI39" si="68">IF((AF37-AF38)&lt;0,AF37-AF38,0)</f>
        <v>0</v>
      </c>
      <c r="AG39" s="159">
        <f t="shared" si="68"/>
        <v>0</v>
      </c>
      <c r="AH39" s="159">
        <f t="shared" si="68"/>
        <v>0</v>
      </c>
      <c r="AI39" s="159">
        <f t="shared" si="68"/>
        <v>0</v>
      </c>
      <c r="AJ39" s="159">
        <f t="shared" ref="AJ39" si="69">IF((AJ37-AJ38)&lt;0,AJ37-AJ38,0)</f>
        <v>0</v>
      </c>
      <c r="AK39" s="159">
        <f t="shared" ref="AK39" si="70">IF((AK37-AK38)&lt;0,AK37-AK38,0)</f>
        <v>0</v>
      </c>
      <c r="AL39" s="159">
        <f t="shared" ref="AL39" si="71">IF((AL37-AL38)&lt;0,AL37-AL38,0)</f>
        <v>0</v>
      </c>
      <c r="AM39" s="187">
        <f t="shared" ref="AM39" si="72">IF((AM37-AM38)&lt;0,AM37-AM38,0)</f>
        <v>0</v>
      </c>
      <c r="AN39" s="193">
        <f>SUM(I39:AM39)</f>
        <v>0</v>
      </c>
      <c r="AO39" s="193">
        <f>AO37-AO38</f>
        <v>0</v>
      </c>
    </row>
    <row r="40" spans="2:42" ht="21.95" customHeight="1">
      <c r="B40" s="436" t="s">
        <v>133</v>
      </c>
      <c r="C40" s="437"/>
      <c r="D40" s="438"/>
      <c r="E40" s="292"/>
      <c r="F40" s="292"/>
      <c r="G40" s="292"/>
      <c r="H40" s="305"/>
      <c r="I40" s="319">
        <f>SUM(I15+I34+I37)</f>
        <v>11</v>
      </c>
      <c r="J40" s="198">
        <f t="shared" ref="J40:AM40" si="73">SUM(J15+J34+J37)</f>
        <v>11</v>
      </c>
      <c r="K40" s="198">
        <f t="shared" si="73"/>
        <v>11</v>
      </c>
      <c r="L40" s="198">
        <f t="shared" si="73"/>
        <v>11</v>
      </c>
      <c r="M40" s="198">
        <f t="shared" si="73"/>
        <v>11</v>
      </c>
      <c r="N40" s="198">
        <f t="shared" si="73"/>
        <v>11</v>
      </c>
      <c r="O40" s="198">
        <f t="shared" si="73"/>
        <v>11</v>
      </c>
      <c r="P40" s="198">
        <f t="shared" si="73"/>
        <v>11</v>
      </c>
      <c r="Q40" s="198">
        <f t="shared" si="73"/>
        <v>11</v>
      </c>
      <c r="R40" s="198">
        <f t="shared" si="73"/>
        <v>11</v>
      </c>
      <c r="S40" s="198">
        <f t="shared" si="73"/>
        <v>11</v>
      </c>
      <c r="T40" s="198">
        <f t="shared" si="73"/>
        <v>11</v>
      </c>
      <c r="U40" s="198">
        <f t="shared" si="73"/>
        <v>11</v>
      </c>
      <c r="V40" s="198">
        <f t="shared" si="73"/>
        <v>11</v>
      </c>
      <c r="W40" s="198">
        <f t="shared" si="73"/>
        <v>11</v>
      </c>
      <c r="X40" s="198">
        <f t="shared" si="73"/>
        <v>11</v>
      </c>
      <c r="Y40" s="198">
        <f t="shared" si="73"/>
        <v>11</v>
      </c>
      <c r="Z40" s="198">
        <f t="shared" si="73"/>
        <v>11</v>
      </c>
      <c r="AA40" s="198">
        <f t="shared" si="73"/>
        <v>11</v>
      </c>
      <c r="AB40" s="198">
        <f t="shared" si="73"/>
        <v>11</v>
      </c>
      <c r="AC40" s="198">
        <f t="shared" si="73"/>
        <v>11</v>
      </c>
      <c r="AD40" s="198">
        <f t="shared" si="73"/>
        <v>11</v>
      </c>
      <c r="AE40" s="198">
        <f t="shared" si="73"/>
        <v>11</v>
      </c>
      <c r="AF40" s="198">
        <f t="shared" si="73"/>
        <v>11</v>
      </c>
      <c r="AG40" s="198">
        <f t="shared" ref="AG40:AI40" si="74">SUM(AG15+AG34+AG37)</f>
        <v>11</v>
      </c>
      <c r="AH40" s="198">
        <f t="shared" si="74"/>
        <v>11</v>
      </c>
      <c r="AI40" s="198">
        <f t="shared" si="74"/>
        <v>11</v>
      </c>
      <c r="AJ40" s="198">
        <f t="shared" si="73"/>
        <v>11</v>
      </c>
      <c r="AK40" s="198">
        <f t="shared" si="73"/>
        <v>11</v>
      </c>
      <c r="AL40" s="198">
        <f t="shared" si="73"/>
        <v>11</v>
      </c>
      <c r="AM40" s="199">
        <f t="shared" si="73"/>
        <v>11</v>
      </c>
      <c r="AN40" s="307">
        <f>SUM(I40:AM40)</f>
        <v>341</v>
      </c>
      <c r="AO40" s="293">
        <f>SUM(AO12+AO31)</f>
        <v>2728</v>
      </c>
    </row>
    <row r="41" spans="2:42" ht="21.95" customHeight="1">
      <c r="B41" s="396" t="s">
        <v>134</v>
      </c>
      <c r="C41" s="397"/>
      <c r="D41" s="398"/>
      <c r="E41" s="147"/>
      <c r="F41" s="147"/>
      <c r="G41" s="147"/>
      <c r="H41" s="149"/>
      <c r="I41" s="150">
        <f>SUM(I16+I35+I38)</f>
        <v>11</v>
      </c>
      <c r="J41" s="151">
        <f t="shared" ref="J41:AM41" si="75">SUM(J16+J35+J38)</f>
        <v>11</v>
      </c>
      <c r="K41" s="151">
        <f t="shared" si="75"/>
        <v>11</v>
      </c>
      <c r="L41" s="151">
        <f t="shared" si="75"/>
        <v>11</v>
      </c>
      <c r="M41" s="151">
        <f t="shared" si="75"/>
        <v>11</v>
      </c>
      <c r="N41" s="151">
        <f t="shared" si="75"/>
        <v>11</v>
      </c>
      <c r="O41" s="151">
        <f t="shared" si="75"/>
        <v>11</v>
      </c>
      <c r="P41" s="151">
        <f t="shared" si="75"/>
        <v>11</v>
      </c>
      <c r="Q41" s="151">
        <f t="shared" si="75"/>
        <v>11</v>
      </c>
      <c r="R41" s="151">
        <f t="shared" si="75"/>
        <v>11</v>
      </c>
      <c r="S41" s="151">
        <f t="shared" si="75"/>
        <v>11</v>
      </c>
      <c r="T41" s="151">
        <f t="shared" si="75"/>
        <v>11</v>
      </c>
      <c r="U41" s="151">
        <f t="shared" si="75"/>
        <v>11</v>
      </c>
      <c r="V41" s="151">
        <f t="shared" si="75"/>
        <v>11</v>
      </c>
      <c r="W41" s="151">
        <f t="shared" si="75"/>
        <v>11</v>
      </c>
      <c r="X41" s="151">
        <f t="shared" si="75"/>
        <v>11</v>
      </c>
      <c r="Y41" s="151">
        <f t="shared" si="75"/>
        <v>11</v>
      </c>
      <c r="Z41" s="151">
        <f t="shared" si="75"/>
        <v>11</v>
      </c>
      <c r="AA41" s="151">
        <f t="shared" si="75"/>
        <v>11</v>
      </c>
      <c r="AB41" s="151">
        <f t="shared" si="75"/>
        <v>11</v>
      </c>
      <c r="AC41" s="151">
        <f t="shared" si="75"/>
        <v>11</v>
      </c>
      <c r="AD41" s="151">
        <f t="shared" si="75"/>
        <v>11</v>
      </c>
      <c r="AE41" s="151">
        <f t="shared" si="75"/>
        <v>11</v>
      </c>
      <c r="AF41" s="151">
        <f t="shared" si="75"/>
        <v>11</v>
      </c>
      <c r="AG41" s="151">
        <f t="shared" ref="AG41:AI41" si="76">SUM(AG16+AG35+AG38)</f>
        <v>11</v>
      </c>
      <c r="AH41" s="151">
        <f t="shared" si="76"/>
        <v>11</v>
      </c>
      <c r="AI41" s="151">
        <f t="shared" si="76"/>
        <v>11</v>
      </c>
      <c r="AJ41" s="151">
        <f t="shared" si="75"/>
        <v>11</v>
      </c>
      <c r="AK41" s="151">
        <f t="shared" si="75"/>
        <v>11</v>
      </c>
      <c r="AL41" s="151">
        <f t="shared" si="75"/>
        <v>11</v>
      </c>
      <c r="AM41" s="186">
        <f t="shared" si="75"/>
        <v>11</v>
      </c>
      <c r="AN41" s="294">
        <f>SUM(I41:AM41)</f>
        <v>341</v>
      </c>
      <c r="AO41" s="294">
        <f>SUM(AO16+AO35+AO38)</f>
        <v>2728</v>
      </c>
    </row>
    <row r="42" spans="2:42" s="14" customFormat="1" ht="21.95" customHeight="1" thickBot="1">
      <c r="B42" s="405" t="s">
        <v>135</v>
      </c>
      <c r="C42" s="406"/>
      <c r="D42" s="407"/>
      <c r="E42" s="295"/>
      <c r="F42" s="295"/>
      <c r="G42" s="295"/>
      <c r="H42" s="201"/>
      <c r="I42" s="202">
        <f t="shared" ref="I42" si="77">SUM(I40-I41)</f>
        <v>0</v>
      </c>
      <c r="J42" s="203">
        <f t="shared" ref="J42:AM42" si="78">SUM(J40-J41)</f>
        <v>0</v>
      </c>
      <c r="K42" s="203">
        <f t="shared" si="78"/>
        <v>0</v>
      </c>
      <c r="L42" s="203">
        <f t="shared" si="78"/>
        <v>0</v>
      </c>
      <c r="M42" s="203">
        <f t="shared" si="78"/>
        <v>0</v>
      </c>
      <c r="N42" s="203">
        <f t="shared" si="78"/>
        <v>0</v>
      </c>
      <c r="O42" s="203">
        <f t="shared" si="78"/>
        <v>0</v>
      </c>
      <c r="P42" s="203">
        <f t="shared" si="78"/>
        <v>0</v>
      </c>
      <c r="Q42" s="203">
        <f t="shared" si="78"/>
        <v>0</v>
      </c>
      <c r="R42" s="203">
        <f t="shared" si="78"/>
        <v>0</v>
      </c>
      <c r="S42" s="203">
        <f t="shared" si="78"/>
        <v>0</v>
      </c>
      <c r="T42" s="203">
        <f t="shared" si="78"/>
        <v>0</v>
      </c>
      <c r="U42" s="203">
        <f t="shared" si="78"/>
        <v>0</v>
      </c>
      <c r="V42" s="203">
        <f t="shared" si="78"/>
        <v>0</v>
      </c>
      <c r="W42" s="203">
        <f t="shared" si="78"/>
        <v>0</v>
      </c>
      <c r="X42" s="203">
        <f t="shared" si="78"/>
        <v>0</v>
      </c>
      <c r="Y42" s="203">
        <f t="shared" si="78"/>
        <v>0</v>
      </c>
      <c r="Z42" s="203">
        <f t="shared" si="78"/>
        <v>0</v>
      </c>
      <c r="AA42" s="203">
        <f t="shared" si="78"/>
        <v>0</v>
      </c>
      <c r="AB42" s="203">
        <f t="shared" si="78"/>
        <v>0</v>
      </c>
      <c r="AC42" s="203">
        <f t="shared" si="78"/>
        <v>0</v>
      </c>
      <c r="AD42" s="203">
        <f t="shared" si="78"/>
        <v>0</v>
      </c>
      <c r="AE42" s="203">
        <f t="shared" si="78"/>
        <v>0</v>
      </c>
      <c r="AF42" s="203">
        <f t="shared" si="78"/>
        <v>0</v>
      </c>
      <c r="AG42" s="203">
        <f t="shared" ref="AG42:AI42" si="79">SUM(AG40-AG41)</f>
        <v>0</v>
      </c>
      <c r="AH42" s="203">
        <f t="shared" si="79"/>
        <v>0</v>
      </c>
      <c r="AI42" s="203">
        <f t="shared" si="79"/>
        <v>0</v>
      </c>
      <c r="AJ42" s="203">
        <f t="shared" si="78"/>
        <v>0</v>
      </c>
      <c r="AK42" s="203">
        <f t="shared" si="78"/>
        <v>0</v>
      </c>
      <c r="AL42" s="203">
        <f t="shared" si="78"/>
        <v>0</v>
      </c>
      <c r="AM42" s="204">
        <f t="shared" si="78"/>
        <v>0</v>
      </c>
      <c r="AN42" s="206">
        <f>SUM(I42:AM42)</f>
        <v>0</v>
      </c>
      <c r="AO42" s="206">
        <f t="shared" ref="AO42" si="80">AO40-AO41</f>
        <v>0</v>
      </c>
    </row>
    <row r="43" spans="2:42" ht="21.95" customHeight="1">
      <c r="B43" s="207"/>
      <c r="C43" s="208"/>
      <c r="D43" s="208"/>
      <c r="E43" s="208"/>
      <c r="F43" s="208"/>
      <c r="G43" s="208"/>
      <c r="H43" s="207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  <c r="AD43" s="208"/>
      <c r="AE43" s="208"/>
      <c r="AF43" s="208"/>
      <c r="AG43" s="208"/>
      <c r="AH43" s="208"/>
      <c r="AI43" s="208"/>
      <c r="AJ43" s="208"/>
      <c r="AK43" s="208"/>
      <c r="AL43" s="208"/>
      <c r="AM43" s="208"/>
      <c r="AN43" s="208"/>
      <c r="AO43" s="208"/>
    </row>
    <row r="44" spans="2:42" ht="22.5" customHeight="1">
      <c r="B44" s="207"/>
      <c r="C44" s="208"/>
      <c r="D44" s="208"/>
      <c r="E44" s="208"/>
      <c r="F44" s="208"/>
      <c r="G44" s="208"/>
      <c r="H44" s="209" t="s">
        <v>136</v>
      </c>
      <c r="I44" s="210" t="s">
        <v>40</v>
      </c>
      <c r="J44" s="211"/>
      <c r="K44" s="211"/>
      <c r="L44" s="211"/>
      <c r="M44" s="211"/>
      <c r="N44" s="211"/>
      <c r="O44" s="211"/>
      <c r="P44" s="211"/>
      <c r="Q44" s="211"/>
      <c r="R44" s="90"/>
      <c r="S44" s="90"/>
      <c r="T44" s="90"/>
      <c r="U44" s="90"/>
      <c r="V44" s="90"/>
      <c r="W44" s="90"/>
      <c r="X44" s="90"/>
      <c r="Y44" s="90"/>
      <c r="Z44" s="208"/>
      <c r="AA44" s="419" t="s">
        <v>80</v>
      </c>
      <c r="AB44" s="420"/>
      <c r="AC44" s="212" t="s">
        <v>41</v>
      </c>
      <c r="AD44" s="213" t="s">
        <v>8</v>
      </c>
      <c r="AE44" s="214" t="s">
        <v>5</v>
      </c>
      <c r="AF44" s="215" t="s">
        <v>6</v>
      </c>
      <c r="AG44" s="216" t="s">
        <v>42</v>
      </c>
      <c r="AH44" s="208"/>
      <c r="AI44" s="208"/>
      <c r="AJ44" s="208"/>
      <c r="AK44" s="207"/>
      <c r="AL44" s="207"/>
      <c r="AM44" s="13"/>
      <c r="AN44" s="13"/>
      <c r="AO44" s="13"/>
    </row>
    <row r="45" spans="2:42" ht="21.95" customHeight="1">
      <c r="B45" s="207"/>
      <c r="C45" s="208"/>
      <c r="D45" s="208"/>
      <c r="E45" s="208"/>
      <c r="F45" s="208"/>
      <c r="G45" s="208"/>
      <c r="H45" s="91"/>
      <c r="I45" s="210" t="s">
        <v>137</v>
      </c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208"/>
      <c r="AA45" s="208"/>
      <c r="AB45" s="208"/>
      <c r="AC45" s="208"/>
      <c r="AD45" s="208"/>
      <c r="AE45" s="208"/>
      <c r="AF45" s="208"/>
      <c r="AG45" s="208"/>
      <c r="AH45" s="208"/>
      <c r="AI45" s="208"/>
      <c r="AJ45" s="208"/>
      <c r="AK45" s="208"/>
      <c r="AL45" s="208"/>
      <c r="AM45" s="208"/>
      <c r="AN45" s="208"/>
      <c r="AO45" s="208"/>
    </row>
    <row r="46" spans="2:42" ht="21.95" customHeight="1">
      <c r="B46" s="296"/>
      <c r="C46" s="297"/>
      <c r="D46" s="298"/>
      <c r="E46" s="208"/>
      <c r="F46" s="208"/>
      <c r="G46" s="208"/>
      <c r="H46" s="207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</row>
    <row r="47" spans="2:42" s="12" customFormat="1" ht="21.95" customHeight="1">
      <c r="B47" s="296"/>
      <c r="C47" s="431"/>
      <c r="D47" s="431"/>
      <c r="E47" s="90"/>
      <c r="F47" s="299"/>
      <c r="G47" s="300"/>
      <c r="H47" s="91"/>
      <c r="I47" s="91"/>
      <c r="J47" s="91"/>
      <c r="K47" s="91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1"/>
      <c r="AO47" s="91"/>
    </row>
    <row r="48" spans="2:42" s="12" customFormat="1" ht="21.95" customHeight="1">
      <c r="B48" s="31"/>
      <c r="C48" s="32"/>
      <c r="D48" s="31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</row>
    <row r="49" spans="4:41" ht="21.95" customHeight="1">
      <c r="D49" s="39"/>
      <c r="H49" s="40"/>
      <c r="AK49" s="32"/>
      <c r="AN49" s="39"/>
      <c r="AO49" s="39"/>
    </row>
    <row r="50" spans="4:41" ht="21.95" customHeight="1">
      <c r="AN50" s="39"/>
      <c r="AO50" s="39"/>
    </row>
    <row r="51" spans="4:41" ht="21.95" customHeight="1"/>
    <row r="52" spans="4:41" ht="21.95" customHeight="1"/>
    <row r="53" spans="4:41" ht="21.95" customHeight="1">
      <c r="AK53" s="32"/>
      <c r="AL53" s="41"/>
      <c r="AN53" s="39"/>
      <c r="AO53" s="39"/>
    </row>
    <row r="54" spans="4:41" ht="21.95" customHeight="1">
      <c r="T54" s="40" t="s">
        <v>30</v>
      </c>
    </row>
    <row r="55" spans="4:41" ht="21.95" customHeight="1"/>
    <row r="56" spans="4:41" ht="21.95" customHeight="1"/>
    <row r="57" spans="4:41" ht="21.95" customHeight="1"/>
    <row r="58" spans="4:41" ht="21.95" customHeight="1"/>
    <row r="59" spans="4:41" ht="21.95" customHeight="1"/>
    <row r="60" spans="4:41" ht="21.95" customHeight="1"/>
    <row r="61" spans="4:41" ht="21.95" customHeight="1"/>
    <row r="62" spans="4:41" ht="21.95" customHeight="1"/>
    <row r="63" spans="4:41" ht="21.95" customHeight="1"/>
    <row r="64" spans="4:41" ht="21.95" customHeight="1"/>
    <row r="65" ht="21.95" customHeight="1"/>
    <row r="66" ht="21.95" customHeight="1"/>
    <row r="67" ht="21.95" customHeight="1"/>
    <row r="68" ht="21.95" customHeight="1"/>
    <row r="69" ht="21.95" customHeight="1"/>
    <row r="70" ht="21.95" customHeight="1"/>
    <row r="71" ht="21.95" customHeight="1"/>
    <row r="72" ht="21.95" customHeight="1"/>
    <row r="73" ht="21.95" customHeight="1"/>
    <row r="74" ht="21.95" customHeight="1"/>
    <row r="75" ht="21.95" customHeight="1"/>
    <row r="76" ht="21.95" customHeight="1"/>
    <row r="77" ht="21.95" customHeight="1"/>
    <row r="78" ht="21.95" customHeight="1"/>
    <row r="79" ht="21.95" customHeight="1"/>
    <row r="80" ht="21.95" customHeight="1"/>
    <row r="81" ht="21.95" customHeight="1"/>
    <row r="82" ht="21.95" customHeight="1"/>
    <row r="83" ht="21.95" customHeight="1"/>
    <row r="84" ht="21.95" customHeight="1"/>
    <row r="85" ht="21.95" customHeight="1"/>
    <row r="86" ht="21.95" customHeight="1"/>
    <row r="87" ht="21.95" customHeight="1"/>
    <row r="88" ht="21.95" customHeight="1"/>
    <row r="89" ht="21.95" customHeight="1"/>
    <row r="90" ht="21.95" customHeight="1"/>
    <row r="91" ht="21.95" customHeight="1"/>
    <row r="92" ht="21.95" customHeight="1"/>
    <row r="93" ht="21.95" customHeight="1"/>
    <row r="94" ht="21.95" customHeight="1"/>
    <row r="95" ht="21.95" customHeight="1"/>
    <row r="96" ht="21.95" customHeight="1"/>
    <row r="97" ht="21.95" customHeight="1"/>
  </sheetData>
  <autoFilter ref="D8:D31" xr:uid="{E54FC62F-5CB1-4B9A-A53F-AE9C653C44DC}"/>
  <mergeCells count="22">
    <mergeCell ref="BC6:BC8"/>
    <mergeCell ref="AO6:AO8"/>
    <mergeCell ref="B3:AO3"/>
    <mergeCell ref="B2:AO2"/>
    <mergeCell ref="B1:AO1"/>
    <mergeCell ref="O4:Z4"/>
    <mergeCell ref="C47:D47"/>
    <mergeCell ref="B31:C31"/>
    <mergeCell ref="D31:H31"/>
    <mergeCell ref="AN6:AN8"/>
    <mergeCell ref="B37:D37"/>
    <mergeCell ref="B32:D32"/>
    <mergeCell ref="B33:D33"/>
    <mergeCell ref="B34:D34"/>
    <mergeCell ref="B35:D35"/>
    <mergeCell ref="B36:D36"/>
    <mergeCell ref="AA44:AB44"/>
    <mergeCell ref="B42:D42"/>
    <mergeCell ref="B38:D38"/>
    <mergeCell ref="B39:D39"/>
    <mergeCell ref="B40:D40"/>
    <mergeCell ref="B41:D41"/>
  </mergeCells>
  <phoneticPr fontId="1" type="noConversion"/>
  <conditionalFormatting sqref="B1:B2">
    <cfRule type="cellIs" dxfId="229" priority="136" operator="equal">
      <formula>"NC"</formula>
    </cfRule>
    <cfRule type="cellIs" dxfId="228" priority="137" operator="equal">
      <formula>"R"</formula>
    </cfRule>
    <cfRule type="cellIs" dxfId="227" priority="138" stopIfTrue="1" operator="equal">
      <formula>"RD"</formula>
    </cfRule>
    <cfRule type="cellIs" dxfId="226" priority="399" operator="equal">
      <formula>"NP"</formula>
    </cfRule>
    <cfRule type="cellIs" dxfId="225" priority="400" operator="equal">
      <formula>"NC"</formula>
    </cfRule>
    <cfRule type="cellIs" dxfId="224" priority="404" stopIfTrue="1" operator="equal">
      <formula>"NP"</formula>
    </cfRule>
  </conditionalFormatting>
  <conditionalFormatting sqref="C4">
    <cfRule type="cellIs" dxfId="223" priority="394" operator="equal">
      <formula>"NC"</formula>
    </cfRule>
    <cfRule type="cellIs" dxfId="222" priority="395" stopIfTrue="1" operator="equal">
      <formula>"NP"</formula>
    </cfRule>
    <cfRule type="cellIs" dxfId="221" priority="396" stopIfTrue="1" operator="equal">
      <formula>"RD"</formula>
    </cfRule>
    <cfRule type="cellIs" dxfId="220" priority="397" operator="equal">
      <formula>"NC"</formula>
    </cfRule>
    <cfRule type="cellIs" dxfId="219" priority="398" operator="equal">
      <formula>"R"</formula>
    </cfRule>
  </conditionalFormatting>
  <conditionalFormatting sqref="I6:I7 AG6:AM7">
    <cfRule type="expression" dxfId="218" priority="57">
      <formula>(WEEKDAY($I1048524,5)&gt;1)</formula>
    </cfRule>
    <cfRule type="expression" dxfId="217" priority="58">
      <formula>LEFT(#REF!,1)="H"</formula>
    </cfRule>
    <cfRule type="expression" dxfId="216" priority="59">
      <formula>WEEKDAY(I$6,2)&gt;6</formula>
    </cfRule>
  </conditionalFormatting>
  <conditionalFormatting sqref="I11 K11 M11:P11 R11:T11 V11 AA11:AB11 AJ11:AM11">
    <cfRule type="containsText" dxfId="215" priority="374" operator="containsText" text="AL">
      <formula>NOT(ISERROR(SEARCH("AL",I11)))</formula>
    </cfRule>
  </conditionalFormatting>
  <conditionalFormatting sqref="I11 K11 M11:P11 R11:T11 AA11:AB11 AJ11:AM11 V11">
    <cfRule type="cellIs" dxfId="214" priority="372" operator="equal">
      <formula>"SR"</formula>
    </cfRule>
    <cfRule type="cellIs" dxfId="213" priority="373" operator="equal">
      <formula>"SG"</formula>
    </cfRule>
  </conditionalFormatting>
  <conditionalFormatting sqref="I11">
    <cfRule type="cellIs" dxfId="212" priority="366" operator="equal">
      <formula>"CL"</formula>
    </cfRule>
    <cfRule type="cellIs" dxfId="211" priority="367" operator="equal">
      <formula>"GS"</formula>
    </cfRule>
    <cfRule type="containsText" dxfId="210" priority="368" operator="containsText" text="SL">
      <formula>NOT(ISERROR(SEARCH("SL",I11)))</formula>
    </cfRule>
    <cfRule type="containsText" dxfId="209" priority="369" operator="containsText" text="NP">
      <formula>NOT(ISERROR(SEARCH("NP",I11)))</formula>
    </cfRule>
    <cfRule type="containsText" dxfId="208" priority="370" operator="containsText" text="SH">
      <formula>NOT(ISERROR(SEARCH("SH",I11)))</formula>
    </cfRule>
    <cfRule type="containsText" dxfId="207" priority="371" operator="containsText" text="RD">
      <formula>NOT(ISERROR(SEARCH("RD",I11)))</formula>
    </cfRule>
  </conditionalFormatting>
  <conditionalFormatting sqref="I20">
    <cfRule type="cellIs" dxfId="206" priority="290" operator="equal">
      <formula>"SR"</formula>
    </cfRule>
    <cfRule type="cellIs" dxfId="205" priority="291" operator="equal">
      <formula>"SG"</formula>
    </cfRule>
    <cfRule type="containsText" dxfId="204" priority="292" operator="containsText" text="AL">
      <formula>NOT(ISERROR(SEARCH("AL",I20)))</formula>
    </cfRule>
    <cfRule type="containsText" dxfId="203" priority="294" operator="containsText" text="SL">
      <formula>NOT(ISERROR(SEARCH("SL",I20)))</formula>
    </cfRule>
    <cfRule type="containsText" dxfId="202" priority="295" operator="containsText" text="NP">
      <formula>NOT(ISERROR(SEARCH("NP",I20)))</formula>
    </cfRule>
    <cfRule type="containsText" dxfId="201" priority="296" operator="containsText" text="SH">
      <formula>NOT(ISERROR(SEARCH("SH",I20)))</formula>
    </cfRule>
    <cfRule type="containsText" dxfId="200" priority="297" operator="containsText" text="RD">
      <formula>NOT(ISERROR(SEARCH("RD",I20)))</formula>
    </cfRule>
  </conditionalFormatting>
  <conditionalFormatting sqref="I21 K21:AF21 I22:AF30 AJ21:AM30">
    <cfRule type="containsText" dxfId="199" priority="308" operator="containsText" text="SL">
      <formula>NOT(ISERROR(SEARCH("SL",I21)))</formula>
    </cfRule>
    <cfRule type="containsText" dxfId="198" priority="309" operator="containsText" text="NP">
      <formula>NOT(ISERROR(SEARCH("NP",I21)))</formula>
    </cfRule>
    <cfRule type="containsText" dxfId="197" priority="310" operator="containsText" text="SH">
      <formula>NOT(ISERROR(SEARCH("SH",I21)))</formula>
    </cfRule>
    <cfRule type="containsText" dxfId="196" priority="311" operator="containsText" text="RD">
      <formula>NOT(ISERROR(SEARCH("RD",I21)))</formula>
    </cfRule>
  </conditionalFormatting>
  <conditionalFormatting sqref="I6:AF8 AJ6:AM8">
    <cfRule type="expression" dxfId="195" priority="60">
      <formula>LEFT(I$7,1)="H"</formula>
    </cfRule>
    <cfRule type="expression" dxfId="194" priority="61">
      <formula>WEEKDAY(I$7,2)&gt;6</formula>
    </cfRule>
  </conditionalFormatting>
  <conditionalFormatting sqref="I8:AM8">
    <cfRule type="expression" dxfId="193" priority="65">
      <formula>(WEEKDAY($I1048525,5)&gt;1)</formula>
    </cfRule>
    <cfRule type="expression" dxfId="192" priority="66">
      <formula>LEFT(#REF!,1)="H"</formula>
    </cfRule>
    <cfRule type="expression" dxfId="191" priority="67">
      <formula>WEEKDAY(I$6,2)&gt;6</formula>
    </cfRule>
  </conditionalFormatting>
  <conditionalFormatting sqref="I9:AF10 AJ9:AM10">
    <cfRule type="cellIs" dxfId="190" priority="312" operator="equal">
      <formula>"SR"</formula>
    </cfRule>
    <cfRule type="cellIs" dxfId="189" priority="313" operator="equal">
      <formula>"SG"</formula>
    </cfRule>
    <cfRule type="containsText" dxfId="188" priority="314" operator="containsText" text="AL">
      <formula>NOT(ISERROR(SEARCH("AL",I9)))</formula>
    </cfRule>
    <cfRule type="containsText" dxfId="187" priority="316" operator="containsText" text="SL">
      <formula>NOT(ISERROR(SEARCH("SL",I9)))</formula>
    </cfRule>
    <cfRule type="containsText" dxfId="186" priority="317" operator="containsText" text="NP">
      <formula>NOT(ISERROR(SEARCH("NP",I9)))</formula>
    </cfRule>
    <cfRule type="containsText" dxfId="185" priority="318" operator="containsText" text="SH">
      <formula>NOT(ISERROR(SEARCH("SH",I9)))</formula>
    </cfRule>
    <cfRule type="containsText" dxfId="184" priority="319" operator="containsText" text="RD">
      <formula>NOT(ISERROR(SEARCH("RD",I9)))</formula>
    </cfRule>
  </conditionalFormatting>
  <conditionalFormatting sqref="I12:AF13 I19:AF19 AJ19:AM19 AJ12:AM13">
    <cfRule type="containsText" dxfId="183" priority="459" operator="containsText" text="SL">
      <formula>NOT(ISERROR(SEARCH("SL",I12)))</formula>
    </cfRule>
    <cfRule type="containsText" dxfId="182" priority="460" operator="containsText" text="NP">
      <formula>NOT(ISERROR(SEARCH("NP",I12)))</formula>
    </cfRule>
    <cfRule type="containsText" dxfId="181" priority="461" operator="containsText" text="SH">
      <formula>NOT(ISERROR(SEARCH("SH",I12)))</formula>
    </cfRule>
    <cfRule type="containsText" dxfId="180" priority="462" operator="containsText" text="RD">
      <formula>NOT(ISERROR(SEARCH("RD",I12)))</formula>
    </cfRule>
  </conditionalFormatting>
  <conditionalFormatting sqref="I12:AF19 AJ12:AM19">
    <cfRule type="cellIs" dxfId="179" priority="408" operator="equal">
      <formula>"SR"</formula>
    </cfRule>
    <cfRule type="cellIs" dxfId="178" priority="426" operator="equal">
      <formula>"SG"</formula>
    </cfRule>
    <cfRule type="containsText" dxfId="177" priority="439" operator="containsText" text="AL">
      <formula>NOT(ISERROR(SEARCH("AL",I12)))</formula>
    </cfRule>
  </conditionalFormatting>
  <conditionalFormatting sqref="I34:AF34 AJ34:AM34">
    <cfRule type="cellIs" dxfId="176" priority="274" operator="greaterThan">
      <formula>8</formula>
    </cfRule>
  </conditionalFormatting>
  <conditionalFormatting sqref="I34:AF39 AJ34:AM39">
    <cfRule type="cellIs" dxfId="175" priority="275" operator="equal">
      <formula>"GS"</formula>
    </cfRule>
    <cfRule type="cellIs" dxfId="174" priority="276" operator="equal">
      <formula>"SG"</formula>
    </cfRule>
  </conditionalFormatting>
  <conditionalFormatting sqref="I41:AF41 AJ41:AM41">
    <cfRule type="cellIs" dxfId="173" priority="158" operator="equal">
      <formula>"GS"</formula>
    </cfRule>
    <cfRule type="cellIs" dxfId="172" priority="159" operator="equal">
      <formula>"SG"</formula>
    </cfRule>
  </conditionalFormatting>
  <conditionalFormatting sqref="J21">
    <cfRule type="cellIs" dxfId="171" priority="282" operator="equal">
      <formula>"SR"</formula>
    </cfRule>
    <cfRule type="cellIs" dxfId="170" priority="283" operator="equal">
      <formula>"SG"</formula>
    </cfRule>
    <cfRule type="containsText" dxfId="169" priority="284" operator="containsText" text="AL">
      <formula>NOT(ISERROR(SEARCH("AL",J21)))</formula>
    </cfRule>
    <cfRule type="containsText" dxfId="168" priority="286" operator="containsText" text="SL">
      <formula>NOT(ISERROR(SEARCH("SL",J21)))</formula>
    </cfRule>
    <cfRule type="containsText" dxfId="167" priority="287" operator="containsText" text="NP">
      <formula>NOT(ISERROR(SEARCH("NP",J21)))</formula>
    </cfRule>
    <cfRule type="containsText" dxfId="166" priority="288" operator="containsText" text="SH">
      <formula>NOT(ISERROR(SEARCH("SH",J21)))</formula>
    </cfRule>
    <cfRule type="containsText" dxfId="165" priority="289" operator="containsText" text="RD">
      <formula>NOT(ISERROR(SEARCH("RD",J21)))</formula>
    </cfRule>
  </conditionalFormatting>
  <conditionalFormatting sqref="J11:K11 M11:S11">
    <cfRule type="containsText" dxfId="164" priority="270" operator="containsText" text="SL">
      <formula>NOT(ISERROR(SEARCH("SL",J11)))</formula>
    </cfRule>
    <cfRule type="containsText" dxfId="163" priority="271" operator="containsText" text="NP">
      <formula>NOT(ISERROR(SEARCH("NP",J11)))</formula>
    </cfRule>
    <cfRule type="containsText" dxfId="162" priority="272" operator="containsText" text="SH">
      <formula>NOT(ISERROR(SEARCH("SH",J11)))</formula>
    </cfRule>
    <cfRule type="containsText" dxfId="161" priority="273" operator="containsText" text="RD">
      <formula>NOT(ISERROR(SEARCH("RD",J11)))</formula>
    </cfRule>
  </conditionalFormatting>
  <conditionalFormatting sqref="J11:L11">
    <cfRule type="cellIs" dxfId="160" priority="102" operator="equal">
      <formula>"SR"</formula>
    </cfRule>
    <cfRule type="cellIs" dxfId="159" priority="103" operator="equal">
      <formula>"SG"</formula>
    </cfRule>
    <cfRule type="containsText" dxfId="158" priority="104" operator="containsText" text="AL">
      <formula>NOT(ISERROR(SEARCH("AL",J11)))</formula>
    </cfRule>
  </conditionalFormatting>
  <conditionalFormatting sqref="J6:AF7">
    <cfRule type="expression" dxfId="157" priority="62">
      <formula>(WEEKDAY($I1048524,5)&gt;1)</formula>
    </cfRule>
    <cfRule type="expression" dxfId="156" priority="63">
      <formula>LEFT(#REF!,1)="H"</formula>
    </cfRule>
    <cfRule type="expression" dxfId="155" priority="64">
      <formula>WEEKDAY(J$6,2)&gt;6</formula>
    </cfRule>
  </conditionalFormatting>
  <conditionalFormatting sqref="J20:AF20 I21 K21:AF21 I22:AF30 AJ20:AM30">
    <cfRule type="cellIs" dxfId="154" priority="298" operator="equal">
      <formula>"CL"</formula>
    </cfRule>
    <cfRule type="cellIs" dxfId="153" priority="299" operator="equal">
      <formula>"GS"</formula>
    </cfRule>
    <cfRule type="containsText" dxfId="152" priority="300" operator="containsText" text="SL">
      <formula>NOT(ISERROR(SEARCH("SL",I20)))</formula>
    </cfRule>
    <cfRule type="containsText" dxfId="151" priority="301" operator="containsText" text="NP">
      <formula>NOT(ISERROR(SEARCH("NP",I20)))</formula>
    </cfRule>
    <cfRule type="containsText" dxfId="150" priority="302" operator="containsText" text="SH">
      <formula>NOT(ISERROR(SEARCH("SH",I20)))</formula>
    </cfRule>
    <cfRule type="containsText" dxfId="149" priority="303" operator="containsText" text="RD">
      <formula>NOT(ISERROR(SEARCH("RD",I20)))</formula>
    </cfRule>
    <cfRule type="cellIs" dxfId="148" priority="304" operator="equal">
      <formula>"SR"</formula>
    </cfRule>
    <cfRule type="cellIs" dxfId="147" priority="305" operator="equal">
      <formula>"SG"</formula>
    </cfRule>
    <cfRule type="containsText" dxfId="146" priority="306" operator="containsText" text="AL">
      <formula>NOT(ISERROR(SEARCH("AL",I20)))</formula>
    </cfRule>
  </conditionalFormatting>
  <conditionalFormatting sqref="K11:V11">
    <cfRule type="cellIs" dxfId="145" priority="82" operator="equal">
      <formula>"CL"</formula>
    </cfRule>
    <cfRule type="cellIs" dxfId="144" priority="83" operator="equal">
      <formula>"GS"</formula>
    </cfRule>
  </conditionalFormatting>
  <conditionalFormatting sqref="L11">
    <cfRule type="containsText" dxfId="143" priority="98" operator="containsText" text="SL">
      <formula>NOT(ISERROR(SEARCH("SL",L11)))</formula>
    </cfRule>
    <cfRule type="containsText" dxfId="142" priority="99" operator="containsText" text="NP">
      <formula>NOT(ISERROR(SEARCH("NP",L11)))</formula>
    </cfRule>
    <cfRule type="containsText" dxfId="141" priority="100" operator="containsText" text="SH">
      <formula>NOT(ISERROR(SEARCH("SH",L11)))</formula>
    </cfRule>
    <cfRule type="containsText" dxfId="140" priority="101" operator="containsText" text="RD">
      <formula>NOT(ISERROR(SEARCH("RD",L11)))</formula>
    </cfRule>
    <cfRule type="containsText" dxfId="139" priority="106" operator="containsText" text="SL">
      <formula>NOT(ISERROR(SEARCH("SL",L11)))</formula>
    </cfRule>
    <cfRule type="containsText" dxfId="138" priority="107" operator="containsText" text="NP">
      <formula>NOT(ISERROR(SEARCH("NP",L11)))</formula>
    </cfRule>
    <cfRule type="containsText" dxfId="137" priority="108" operator="containsText" text="SH">
      <formula>NOT(ISERROR(SEARCH("SH",L11)))</formula>
    </cfRule>
    <cfRule type="containsText" dxfId="136" priority="109" operator="containsText" text="RD">
      <formula>NOT(ISERROR(SEARCH("RD",L11)))</formula>
    </cfRule>
  </conditionalFormatting>
  <conditionalFormatting sqref="M11:S11">
    <cfRule type="cellIs" dxfId="135" priority="266" operator="equal">
      <formula>"SR"</formula>
    </cfRule>
    <cfRule type="cellIs" dxfId="134" priority="267" operator="equal">
      <formula>"SG"</formula>
    </cfRule>
    <cfRule type="containsText" dxfId="133" priority="268" operator="containsText" text="AL">
      <formula>NOT(ISERROR(SEARCH("AL",M11)))</formula>
    </cfRule>
  </conditionalFormatting>
  <conditionalFormatting sqref="Q11">
    <cfRule type="containsText" dxfId="132" priority="246" operator="containsText" text="SL">
      <formula>NOT(ISERROR(SEARCH("SL",Q11)))</formula>
    </cfRule>
    <cfRule type="containsText" dxfId="131" priority="247" operator="containsText" text="NP">
      <formula>NOT(ISERROR(SEARCH("NP",Q11)))</formula>
    </cfRule>
    <cfRule type="containsText" dxfId="130" priority="248" operator="containsText" text="SH">
      <formula>NOT(ISERROR(SEARCH("SH",Q11)))</formula>
    </cfRule>
    <cfRule type="containsText" dxfId="129" priority="249" operator="containsText" text="RD">
      <formula>NOT(ISERROR(SEARCH("RD",Q11)))</formula>
    </cfRule>
    <cfRule type="cellIs" dxfId="128" priority="250" operator="equal">
      <formula>"SR"</formula>
    </cfRule>
    <cfRule type="cellIs" dxfId="127" priority="251" operator="equal">
      <formula>"SG"</formula>
    </cfRule>
    <cfRule type="containsText" dxfId="126" priority="252" operator="containsText" text="AL">
      <formula>NOT(ISERROR(SEARCH("AL",Q11)))</formula>
    </cfRule>
  </conditionalFormatting>
  <conditionalFormatting sqref="Q11:T11">
    <cfRule type="containsText" dxfId="125" priority="254" operator="containsText" text="SL">
      <formula>NOT(ISERROR(SEARCH("SL",Q11)))</formula>
    </cfRule>
    <cfRule type="containsText" dxfId="124" priority="255" operator="containsText" text="NP">
      <formula>NOT(ISERROR(SEARCH("NP",Q11)))</formula>
    </cfRule>
    <cfRule type="containsText" dxfId="123" priority="256" operator="containsText" text="SH">
      <formula>NOT(ISERROR(SEARCH("SH",Q11)))</formula>
    </cfRule>
    <cfRule type="containsText" dxfId="122" priority="257" operator="containsText" text="RD">
      <formula>NOT(ISERROR(SEARCH("RD",Q11)))</formula>
    </cfRule>
  </conditionalFormatting>
  <conditionalFormatting sqref="U11">
    <cfRule type="containsText" dxfId="121" priority="84" operator="containsText" text="SL">
      <formula>NOT(ISERROR(SEARCH("SL",U11)))</formula>
    </cfRule>
    <cfRule type="containsText" dxfId="120" priority="85" operator="containsText" text="NP">
      <formula>NOT(ISERROR(SEARCH("NP",U11)))</formula>
    </cfRule>
    <cfRule type="containsText" dxfId="119" priority="86" operator="containsText" text="SH">
      <formula>NOT(ISERROR(SEARCH("SH",U11)))</formula>
    </cfRule>
    <cfRule type="containsText" dxfId="118" priority="87" operator="containsText" text="RD">
      <formula>NOT(ISERROR(SEARCH("RD",U11)))</formula>
    </cfRule>
    <cfRule type="cellIs" dxfId="117" priority="88" operator="equal">
      <formula>"SR"</formula>
    </cfRule>
    <cfRule type="cellIs" dxfId="116" priority="89" operator="equal">
      <formula>"SG"</formula>
    </cfRule>
    <cfRule type="containsText" dxfId="115" priority="90" operator="containsText" text="AL">
      <formula>NOT(ISERROR(SEARCH("AL",U11)))</formula>
    </cfRule>
    <cfRule type="containsText" dxfId="114" priority="92" operator="containsText" text="SL">
      <formula>NOT(ISERROR(SEARCH("SL",U11)))</formula>
    </cfRule>
    <cfRule type="containsText" dxfId="113" priority="93" operator="containsText" text="NP">
      <formula>NOT(ISERROR(SEARCH("NP",U11)))</formula>
    </cfRule>
    <cfRule type="containsText" dxfId="112" priority="94" operator="containsText" text="SH">
      <formula>NOT(ISERROR(SEARCH("SH",U11)))</formula>
    </cfRule>
    <cfRule type="containsText" dxfId="111" priority="95" operator="containsText" text="RD">
      <formula>NOT(ISERROR(SEARCH("RD",U11)))</formula>
    </cfRule>
  </conditionalFormatting>
  <conditionalFormatting sqref="V11:Z11">
    <cfRule type="containsText" dxfId="110" priority="122" operator="containsText" text="SL">
      <formula>NOT(ISERROR(SEARCH("SL",V11)))</formula>
    </cfRule>
    <cfRule type="containsText" dxfId="109" priority="123" operator="containsText" text="NP">
      <formula>NOT(ISERROR(SEARCH("NP",V11)))</formula>
    </cfRule>
    <cfRule type="containsText" dxfId="108" priority="124" operator="containsText" text="SH">
      <formula>NOT(ISERROR(SEARCH("SH",V11)))</formula>
    </cfRule>
    <cfRule type="containsText" dxfId="107" priority="125" operator="containsText" text="RD">
      <formula>NOT(ISERROR(SEARCH("RD",V11)))</formula>
    </cfRule>
  </conditionalFormatting>
  <conditionalFormatting sqref="W11:Z11">
    <cfRule type="cellIs" dxfId="106" priority="118" operator="equal">
      <formula>"SR"</formula>
    </cfRule>
    <cfRule type="cellIs" dxfId="105" priority="119" operator="equal">
      <formula>"SG"</formula>
    </cfRule>
    <cfRule type="containsText" dxfId="104" priority="120" operator="containsText" text="AL">
      <formula>NOT(ISERROR(SEARCH("AL",W11)))</formula>
    </cfRule>
  </conditionalFormatting>
  <conditionalFormatting sqref="AA11:AB11 AJ11:AM11">
    <cfRule type="cellIs" dxfId="103" priority="202" operator="equal">
      <formula>"CL"</formula>
    </cfRule>
    <cfRule type="cellIs" dxfId="102" priority="203" operator="equal">
      <formula>"GS"</formula>
    </cfRule>
  </conditionalFormatting>
  <conditionalFormatting sqref="AA11:AB11">
    <cfRule type="containsText" dxfId="101" priority="240" operator="containsText" text="SL">
      <formula>NOT(ISERROR(SEARCH("SL",AA11)))</formula>
    </cfRule>
    <cfRule type="containsText" dxfId="100" priority="241" operator="containsText" text="NP">
      <formula>NOT(ISERROR(SEARCH("NP",AA11)))</formula>
    </cfRule>
    <cfRule type="containsText" dxfId="99" priority="242" operator="containsText" text="SH">
      <formula>NOT(ISERROR(SEARCH("SH",AA11)))</formula>
    </cfRule>
    <cfRule type="containsText" dxfId="98" priority="243" operator="containsText" text="RD">
      <formula>NOT(ISERROR(SEARCH("RD",AA11)))</formula>
    </cfRule>
  </conditionalFormatting>
  <conditionalFormatting sqref="AC11 AE11:AF11">
    <cfRule type="containsText" dxfId="97" priority="114" operator="containsText" text="SL">
      <formula>NOT(ISERROR(SEARCH("SL",AC11)))</formula>
    </cfRule>
    <cfRule type="containsText" dxfId="96" priority="115" operator="containsText" text="NP">
      <formula>NOT(ISERROR(SEARCH("NP",AC11)))</formula>
    </cfRule>
    <cfRule type="containsText" dxfId="95" priority="116" operator="containsText" text="SH">
      <formula>NOT(ISERROR(SEARCH("SH",AC11)))</formula>
    </cfRule>
    <cfRule type="containsText" dxfId="94" priority="117" operator="containsText" text="RD">
      <formula>NOT(ISERROR(SEARCH("RD",AC11)))</formula>
    </cfRule>
  </conditionalFormatting>
  <conditionalFormatting sqref="AC11:AF11">
    <cfRule type="cellIs" dxfId="93" priority="74" operator="equal">
      <formula>"SR"</formula>
    </cfRule>
    <cfRule type="cellIs" dxfId="92" priority="75" operator="equal">
      <formula>"SG"</formula>
    </cfRule>
    <cfRule type="containsText" dxfId="91" priority="76" operator="containsText" text="AL">
      <formula>NOT(ISERROR(SEARCH("AL",AC11)))</formula>
    </cfRule>
  </conditionalFormatting>
  <conditionalFormatting sqref="AD11">
    <cfRule type="cellIs" dxfId="90" priority="68" operator="equal">
      <formula>"CL"</formula>
    </cfRule>
    <cfRule type="cellIs" dxfId="89" priority="69" operator="equal">
      <formula>"GS"</formula>
    </cfRule>
    <cfRule type="containsText" dxfId="88" priority="70" operator="containsText" text="SL">
      <formula>NOT(ISERROR(SEARCH("SL",AD11)))</formula>
    </cfRule>
    <cfRule type="containsText" dxfId="87" priority="71" operator="containsText" text="NP">
      <formula>NOT(ISERROR(SEARCH("NP",AD11)))</formula>
    </cfRule>
    <cfRule type="containsText" dxfId="86" priority="72" operator="containsText" text="SH">
      <formula>NOT(ISERROR(SEARCH("SH",AD11)))</formula>
    </cfRule>
    <cfRule type="containsText" dxfId="85" priority="73" operator="containsText" text="RD">
      <formula>NOT(ISERROR(SEARCH("RD",AD11)))</formula>
    </cfRule>
    <cfRule type="containsText" dxfId="84" priority="78" operator="containsText" text="SL">
      <formula>NOT(ISERROR(SEARCH("SL",AD11)))</formula>
    </cfRule>
    <cfRule type="containsText" dxfId="83" priority="79" operator="containsText" text="NP">
      <formula>NOT(ISERROR(SEARCH("NP",AD11)))</formula>
    </cfRule>
    <cfRule type="containsText" dxfId="82" priority="80" operator="containsText" text="SH">
      <formula>NOT(ISERROR(SEARCH("SH",AD11)))</formula>
    </cfRule>
    <cfRule type="containsText" dxfId="81" priority="81" operator="containsText" text="RD">
      <formula>NOT(ISERROR(SEARCH("RD",AD11)))</formula>
    </cfRule>
  </conditionalFormatting>
  <conditionalFormatting sqref="AG44">
    <cfRule type="cellIs" dxfId="80" priority="143" operator="equal">
      <formula>"CL"</formula>
    </cfRule>
    <cfRule type="cellIs" dxfId="79" priority="144" operator="equal">
      <formula>"GS"</formula>
    </cfRule>
    <cfRule type="containsText" dxfId="78" priority="145" operator="containsText" text="SL">
      <formula>NOT(ISERROR(SEARCH("SL",AG44)))</formula>
    </cfRule>
    <cfRule type="containsText" dxfId="77" priority="146" operator="containsText" text="NP">
      <formula>NOT(ISERROR(SEARCH("NP",AG44)))</formula>
    </cfRule>
    <cfRule type="containsText" dxfId="76" priority="147" operator="containsText" text="SH">
      <formula>NOT(ISERROR(SEARCH("SH",AG44)))</formula>
    </cfRule>
    <cfRule type="containsText" dxfId="75" priority="148" operator="containsText" text="RD">
      <formula>NOT(ISERROR(SEARCH("RD",AG44)))</formula>
    </cfRule>
    <cfRule type="cellIs" dxfId="74" priority="149" operator="equal">
      <formula>"OTN"</formula>
    </cfRule>
    <cfRule type="cellIs" dxfId="73" priority="150" operator="equal">
      <formula>"SR"</formula>
    </cfRule>
    <cfRule type="cellIs" dxfId="72" priority="151" operator="equal">
      <formula>"SG"</formula>
    </cfRule>
    <cfRule type="containsText" dxfId="71" priority="152" operator="containsText" text="AL">
      <formula>NOT(ISERROR(SEARCH("AL",AG44)))</formula>
    </cfRule>
    <cfRule type="containsText" dxfId="70" priority="154" operator="containsText" text="SL">
      <formula>NOT(ISERROR(SEARCH("SL",AG44)))</formula>
    </cfRule>
    <cfRule type="containsText" dxfId="69" priority="155" operator="containsText" text="NP">
      <formula>NOT(ISERROR(SEARCH("NP",AG44)))</formula>
    </cfRule>
    <cfRule type="containsText" dxfId="68" priority="156" operator="containsText" text="SH">
      <formula>NOT(ISERROR(SEARCH("SH",AG44)))</formula>
    </cfRule>
    <cfRule type="containsText" dxfId="67" priority="157" operator="containsText" text="RD">
      <formula>NOT(ISERROR(SEARCH("RD",AG44)))</formula>
    </cfRule>
  </conditionalFormatting>
  <conditionalFormatting sqref="AJ11:AM11">
    <cfRule type="containsText" dxfId="66" priority="226" operator="containsText" text="SL">
      <formula>NOT(ISERROR(SEARCH("SL",AJ11)))</formula>
    </cfRule>
    <cfRule type="containsText" dxfId="65" priority="227" operator="containsText" text="NP">
      <formula>NOT(ISERROR(SEARCH("NP",AJ11)))</formula>
    </cfRule>
    <cfRule type="containsText" dxfId="64" priority="228" operator="containsText" text="SH">
      <formula>NOT(ISERROR(SEARCH("SH",AJ11)))</formula>
    </cfRule>
    <cfRule type="containsText" dxfId="63" priority="229" operator="containsText" text="RD">
      <formula>NOT(ISERROR(SEARCH("RD",AJ11)))</formula>
    </cfRule>
  </conditionalFormatting>
  <conditionalFormatting sqref="AV9:BB11">
    <cfRule type="cellIs" dxfId="62" priority="54" operator="equal">
      <formula>0</formula>
    </cfRule>
  </conditionalFormatting>
  <conditionalFormatting sqref="AV20:BB30">
    <cfRule type="cellIs" dxfId="61" priority="53" operator="equal">
      <formula>0</formula>
    </cfRule>
  </conditionalFormatting>
  <conditionalFormatting sqref="AV6:BC8">
    <cfRule type="cellIs" dxfId="60" priority="55" operator="equal">
      <formula>0</formula>
    </cfRule>
  </conditionalFormatting>
  <conditionalFormatting sqref="AY8">
    <cfRule type="cellIs" dxfId="59" priority="56" operator="equal">
      <formula>0</formula>
    </cfRule>
  </conditionalFormatting>
  <conditionalFormatting sqref="AG11:AI11">
    <cfRule type="containsText" dxfId="45" priority="44" operator="containsText" text="AL">
      <formula>NOT(ISERROR(SEARCH("AL",AG11)))</formula>
    </cfRule>
  </conditionalFormatting>
  <conditionalFormatting sqref="AG11:AI11">
    <cfRule type="cellIs" dxfId="44" priority="42" operator="equal">
      <formula>"SR"</formula>
    </cfRule>
    <cfRule type="cellIs" dxfId="43" priority="43" operator="equal">
      <formula>"SG"</formula>
    </cfRule>
  </conditionalFormatting>
  <conditionalFormatting sqref="AG21:AI30">
    <cfRule type="containsText" dxfId="42" priority="30" operator="containsText" text="SL">
      <formula>NOT(ISERROR(SEARCH("SL",AG21)))</formula>
    </cfRule>
    <cfRule type="containsText" dxfId="41" priority="31" operator="containsText" text="NP">
      <formula>NOT(ISERROR(SEARCH("NP",AG21)))</formula>
    </cfRule>
    <cfRule type="containsText" dxfId="40" priority="32" operator="containsText" text="SH">
      <formula>NOT(ISERROR(SEARCH("SH",AG21)))</formula>
    </cfRule>
    <cfRule type="containsText" dxfId="39" priority="33" operator="containsText" text="RD">
      <formula>NOT(ISERROR(SEARCH("RD",AG21)))</formula>
    </cfRule>
  </conditionalFormatting>
  <conditionalFormatting sqref="AG6:AI8">
    <cfRule type="expression" dxfId="38" priority="1">
      <formula>LEFT(AG$7,1)="H"</formula>
    </cfRule>
    <cfRule type="expression" dxfId="37" priority="2">
      <formula>WEEKDAY(AG$7,2)&gt;6</formula>
    </cfRule>
  </conditionalFormatting>
  <conditionalFormatting sqref="AG9:AI10">
    <cfRule type="cellIs" dxfId="36" priority="34" operator="equal">
      <formula>"SR"</formula>
    </cfRule>
    <cfRule type="cellIs" dxfId="35" priority="35" operator="equal">
      <formula>"SG"</formula>
    </cfRule>
    <cfRule type="containsText" dxfId="34" priority="36" operator="containsText" text="AL">
      <formula>NOT(ISERROR(SEARCH("AL",AG9)))</formula>
    </cfRule>
    <cfRule type="containsText" dxfId="33" priority="38" operator="containsText" text="SL">
      <formula>NOT(ISERROR(SEARCH("SL",AG9)))</formula>
    </cfRule>
    <cfRule type="containsText" dxfId="32" priority="39" operator="containsText" text="NP">
      <formula>NOT(ISERROR(SEARCH("NP",AG9)))</formula>
    </cfRule>
    <cfRule type="containsText" dxfId="31" priority="40" operator="containsText" text="SH">
      <formula>NOT(ISERROR(SEARCH("SH",AG9)))</formula>
    </cfRule>
    <cfRule type="containsText" dxfId="30" priority="41" operator="containsText" text="RD">
      <formula>NOT(ISERROR(SEARCH("RD",AG9)))</formula>
    </cfRule>
  </conditionalFormatting>
  <conditionalFormatting sqref="AG12:AI13 AG19:AI19">
    <cfRule type="containsText" dxfId="29" priority="49" operator="containsText" text="SL">
      <formula>NOT(ISERROR(SEARCH("SL",AG12)))</formula>
    </cfRule>
    <cfRule type="containsText" dxfId="28" priority="50" operator="containsText" text="NP">
      <formula>NOT(ISERROR(SEARCH("NP",AG12)))</formula>
    </cfRule>
    <cfRule type="containsText" dxfId="27" priority="51" operator="containsText" text="SH">
      <formula>NOT(ISERROR(SEARCH("SH",AG12)))</formula>
    </cfRule>
    <cfRule type="containsText" dxfId="26" priority="52" operator="containsText" text="RD">
      <formula>NOT(ISERROR(SEARCH("RD",AG12)))</formula>
    </cfRule>
  </conditionalFormatting>
  <conditionalFormatting sqref="AG12:AI19">
    <cfRule type="cellIs" dxfId="25" priority="45" operator="equal">
      <formula>"SR"</formula>
    </cfRule>
    <cfRule type="cellIs" dxfId="24" priority="46" operator="equal">
      <formula>"SG"</formula>
    </cfRule>
    <cfRule type="containsText" dxfId="23" priority="47" operator="containsText" text="AL">
      <formula>NOT(ISERROR(SEARCH("AL",AG12)))</formula>
    </cfRule>
  </conditionalFormatting>
  <conditionalFormatting sqref="AG34:AI34">
    <cfRule type="cellIs" dxfId="22" priority="17" operator="greaterThan">
      <formula>8</formula>
    </cfRule>
  </conditionalFormatting>
  <conditionalFormatting sqref="AG34:AI39">
    <cfRule type="cellIs" dxfId="21" priority="18" operator="equal">
      <formula>"GS"</formula>
    </cfRule>
    <cfRule type="cellIs" dxfId="20" priority="19" operator="equal">
      <formula>"SG"</formula>
    </cfRule>
  </conditionalFormatting>
  <conditionalFormatting sqref="AG41:AI41">
    <cfRule type="cellIs" dxfId="19" priority="9" operator="equal">
      <formula>"GS"</formula>
    </cfRule>
    <cfRule type="cellIs" dxfId="18" priority="10" operator="equal">
      <formula>"SG"</formula>
    </cfRule>
  </conditionalFormatting>
  <conditionalFormatting sqref="AG20:AI30">
    <cfRule type="cellIs" dxfId="17" priority="20" operator="equal">
      <formula>"CL"</formula>
    </cfRule>
    <cfRule type="cellIs" dxfId="16" priority="21" operator="equal">
      <formula>"GS"</formula>
    </cfRule>
    <cfRule type="containsText" dxfId="15" priority="22" operator="containsText" text="SL">
      <formula>NOT(ISERROR(SEARCH("SL",AG20)))</formula>
    </cfRule>
    <cfRule type="containsText" dxfId="14" priority="23" operator="containsText" text="NP">
      <formula>NOT(ISERROR(SEARCH("NP",AG20)))</formula>
    </cfRule>
    <cfRule type="containsText" dxfId="13" priority="24" operator="containsText" text="SH">
      <formula>NOT(ISERROR(SEARCH("SH",AG20)))</formula>
    </cfRule>
    <cfRule type="containsText" dxfId="12" priority="25" operator="containsText" text="RD">
      <formula>NOT(ISERROR(SEARCH("RD",AG20)))</formula>
    </cfRule>
    <cfRule type="cellIs" dxfId="11" priority="26" operator="equal">
      <formula>"SR"</formula>
    </cfRule>
    <cfRule type="cellIs" dxfId="10" priority="27" operator="equal">
      <formula>"SG"</formula>
    </cfRule>
    <cfRule type="containsText" dxfId="9" priority="28" operator="containsText" text="AL">
      <formula>NOT(ISERROR(SEARCH("AL",AG20)))</formula>
    </cfRule>
  </conditionalFormatting>
  <conditionalFormatting sqref="AG11:AI11">
    <cfRule type="cellIs" dxfId="8" priority="11" operator="equal">
      <formula>"CL"</formula>
    </cfRule>
    <cfRule type="cellIs" dxfId="7" priority="12" operator="equal">
      <formula>"GS"</formula>
    </cfRule>
  </conditionalFormatting>
  <conditionalFormatting sqref="AG11:AI11">
    <cfRule type="containsText" dxfId="6" priority="13" operator="containsText" text="SL">
      <formula>NOT(ISERROR(SEARCH("SL",AG11)))</formula>
    </cfRule>
    <cfRule type="containsText" dxfId="5" priority="14" operator="containsText" text="NP">
      <formula>NOT(ISERROR(SEARCH("NP",AG11)))</formula>
    </cfRule>
    <cfRule type="containsText" dxfId="4" priority="15" operator="containsText" text="SH">
      <formula>NOT(ISERROR(SEARCH("SH",AG11)))</formula>
    </cfRule>
    <cfRule type="containsText" dxfId="3" priority="16" operator="containsText" text="RD">
      <formula>NOT(ISERROR(SEARCH("RD",AG11)))</formula>
    </cfRule>
  </conditionalFormatting>
  <printOptions horizontalCentered="1"/>
  <pageMargins left="0.23622047244094491" right="0.23622047244094491" top="0.74803149606299213" bottom="0.55118110236220474" header="0.31496062992125984" footer="0.31496062992125984"/>
  <pageSetup paperSize="9" scale="43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93" operator="containsText" id="{A30FEAD7-3021-4676-B2E0-FB93637957B6}">
            <xm:f>NOT(ISERROR(SEARCH("NC",I20)))</xm:f>
            <xm:f>"NC"</xm:f>
            <x14:dxf>
              <fill>
                <patternFill>
                  <bgColor theme="2" tint="-9.9948118533890809E-2"/>
                </patternFill>
              </fill>
            </x14:dxf>
          </x14:cfRule>
          <xm:sqref>I20</xm:sqref>
        </x14:conditionalFormatting>
        <x14:conditionalFormatting xmlns:xm="http://schemas.microsoft.com/office/excel/2006/main">
          <x14:cfRule type="containsText" priority="307" operator="containsText" id="{D648D4CD-3226-4C6B-9FF6-0D3B1DB776FD}">
            <xm:f>NOT(ISERROR(SEARCH("NC",I21)))</xm:f>
            <xm:f>"NC"</xm:f>
            <x14:dxf>
              <fill>
                <patternFill>
                  <bgColor theme="0" tint="-0.14996795556505021"/>
                </patternFill>
              </fill>
            </x14:dxf>
          </x14:cfRule>
          <xm:sqref>I21 K21:AF21 I22:AF30 AJ21:AM30</xm:sqref>
        </x14:conditionalFormatting>
        <x14:conditionalFormatting xmlns:xm="http://schemas.microsoft.com/office/excel/2006/main">
          <x14:cfRule type="containsText" priority="315" operator="containsText" id="{78C7C396-4D1B-4609-84F3-514F924BBFBE}">
            <xm:f>NOT(ISERROR(SEARCH("NC",I9)))</xm:f>
            <xm:f>"NC"</xm:f>
            <x14:dxf>
              <fill>
                <patternFill>
                  <bgColor theme="2" tint="-9.9948118533890809E-2"/>
                </patternFill>
              </fill>
            </x14:dxf>
          </x14:cfRule>
          <xm:sqref>I9:AF10 AJ9:AM10</xm:sqref>
        </x14:conditionalFormatting>
        <x14:conditionalFormatting xmlns:xm="http://schemas.microsoft.com/office/excel/2006/main">
          <x14:cfRule type="containsText" priority="458" operator="containsText" id="{A0F88CD7-5FB7-42FD-9A86-46D84395E2D8}">
            <xm:f>NOT(ISERROR(SEARCH("NC",I12)))</xm:f>
            <xm:f>"NC"</xm:f>
            <x14:dxf>
              <fill>
                <patternFill>
                  <bgColor rgb="FFFFFF99"/>
                </patternFill>
              </fill>
            </x14:dxf>
          </x14:cfRule>
          <xm:sqref>I12:AF13 I19:AF19 AJ19:AM19 AJ12:AM13</xm:sqref>
        </x14:conditionalFormatting>
        <x14:conditionalFormatting xmlns:xm="http://schemas.microsoft.com/office/excel/2006/main">
          <x14:cfRule type="containsText" priority="285" operator="containsText" id="{8F76E69F-9185-441D-A44A-47E9236FB59A}">
            <xm:f>NOT(ISERROR(SEARCH("NC",J21)))</xm:f>
            <xm:f>"NC"</xm:f>
            <x14:dxf>
              <fill>
                <patternFill>
                  <bgColor theme="2" tint="-9.9948118533890809E-2"/>
                </patternFill>
              </fill>
            </x14:dxf>
          </x14:cfRule>
          <xm:sqref>J21</xm:sqref>
        </x14:conditionalFormatting>
        <x14:conditionalFormatting xmlns:xm="http://schemas.microsoft.com/office/excel/2006/main">
          <x14:cfRule type="containsText" priority="105" operator="containsText" id="{84A0DEE1-F346-4EE0-91CF-B5F5E6B2603C}">
            <xm:f>NOT(ISERROR(SEARCH("NC",L11)))</xm:f>
            <xm:f>"NC"</xm:f>
            <x14:dxf>
              <fill>
                <patternFill>
                  <bgColor theme="0" tint="-0.14996795556505021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containsText" priority="269" operator="containsText" id="{8B0A629B-075B-4765-B30A-F74E2C1081AA}">
            <xm:f>NOT(ISERROR(SEARCH("NC",J11)))</xm:f>
            <xm:f>"NC"</xm:f>
            <x14:dxf>
              <fill>
                <patternFill>
                  <bgColor theme="2" tint="-9.9948118533890809E-2"/>
                </patternFill>
              </fill>
            </x14:dxf>
          </x14:cfRule>
          <xm:sqref>M11:S11 J11:K11</xm:sqref>
        </x14:conditionalFormatting>
        <x14:conditionalFormatting xmlns:xm="http://schemas.microsoft.com/office/excel/2006/main">
          <x14:cfRule type="containsText" priority="253" operator="containsText" id="{A1B98BD6-F70F-4F7D-8CEC-B33BF7914D8F}">
            <xm:f>NOT(ISERROR(SEARCH("NC",Q11)))</xm:f>
            <xm:f>"NC"</xm:f>
            <x14:dxf>
              <fill>
                <patternFill>
                  <bgColor theme="0" tint="-0.14996795556505021"/>
                </patternFill>
              </fill>
            </x14:dxf>
          </x14:cfRule>
          <xm:sqref>Q11</xm:sqref>
        </x14:conditionalFormatting>
        <x14:conditionalFormatting xmlns:xm="http://schemas.microsoft.com/office/excel/2006/main">
          <x14:cfRule type="containsText" priority="91" operator="containsText" id="{8FC32FC4-FDD9-461E-9D90-57A6D61F0D87}">
            <xm:f>NOT(ISERROR(SEARCH("NC",U11)))</xm:f>
            <xm:f>"NC"</xm:f>
            <x14:dxf>
              <fill>
                <patternFill>
                  <bgColor theme="0" tint="-0.14996795556505021"/>
                </patternFill>
              </fill>
            </x14:dxf>
          </x14:cfRule>
          <xm:sqref>U11</xm:sqref>
        </x14:conditionalFormatting>
        <x14:conditionalFormatting xmlns:xm="http://schemas.microsoft.com/office/excel/2006/main">
          <x14:cfRule type="containsText" priority="121" operator="containsText" id="{F9158BE4-C772-4D8A-A98E-E5195621FD67}">
            <xm:f>NOT(ISERROR(SEARCH("NC",W11)))</xm:f>
            <xm:f>"NC"</xm:f>
            <x14:dxf>
              <fill>
                <patternFill>
                  <bgColor theme="2" tint="-9.9948118533890809E-2"/>
                </patternFill>
              </fill>
            </x14:dxf>
          </x14:cfRule>
          <xm:sqref>W11:Z11</xm:sqref>
        </x14:conditionalFormatting>
        <x14:conditionalFormatting xmlns:xm="http://schemas.microsoft.com/office/excel/2006/main">
          <x14:cfRule type="containsText" priority="113" operator="containsText" id="{10768417-52E6-4A78-BC7E-9DD127632D2E}">
            <xm:f>NOT(ISERROR(SEARCH("NC",AC11)))</xm:f>
            <xm:f>"NC"</xm:f>
            <x14:dxf>
              <fill>
                <patternFill>
                  <bgColor theme="2" tint="-9.9948118533890809E-2"/>
                </patternFill>
              </fill>
            </x14:dxf>
          </x14:cfRule>
          <xm:sqref>AC11 AE11:AF11</xm:sqref>
        </x14:conditionalFormatting>
        <x14:conditionalFormatting xmlns:xm="http://schemas.microsoft.com/office/excel/2006/main">
          <x14:cfRule type="containsText" priority="77" operator="containsText" id="{FCF8FF3C-9D90-4C20-9D96-BB26022369D8}">
            <xm:f>NOT(ISERROR(SEARCH("NC",AD11)))</xm:f>
            <xm:f>"NC"</xm:f>
            <x14:dxf>
              <fill>
                <patternFill>
                  <bgColor theme="0" tint="-0.14996795556505021"/>
                </patternFill>
              </fill>
            </x14:dxf>
          </x14:cfRule>
          <xm:sqref>AD11</xm:sqref>
        </x14:conditionalFormatting>
        <x14:conditionalFormatting xmlns:xm="http://schemas.microsoft.com/office/excel/2006/main">
          <x14:cfRule type="containsText" priority="153" operator="containsText" id="{2ABCE798-3D8B-4D8F-9F5D-28033B3790D2}">
            <xm:f>NOT(ISERROR(SEARCH("NC",AG44)))</xm:f>
            <xm:f>"NC"</xm:f>
            <x14:dxf>
              <fill>
                <patternFill>
                  <bgColor theme="0" tint="-0.14996795556505021"/>
                </patternFill>
              </fill>
            </x14:dxf>
          </x14:cfRule>
          <xm:sqref>AG44</xm:sqref>
        </x14:conditionalFormatting>
        <x14:conditionalFormatting xmlns:xm="http://schemas.microsoft.com/office/excel/2006/main">
          <x14:cfRule type="containsText" priority="29" operator="containsText" id="{4DB87833-0AA7-45FE-95F7-7BC5E377586A}">
            <xm:f>NOT(ISERROR(SEARCH("NC",AG21)))</xm:f>
            <xm:f>"NC"</xm:f>
            <x14:dxf>
              <fill>
                <patternFill>
                  <bgColor theme="0" tint="-0.14996795556505021"/>
                </patternFill>
              </fill>
            </x14:dxf>
          </x14:cfRule>
          <xm:sqref>AG21:AI30</xm:sqref>
        </x14:conditionalFormatting>
        <x14:conditionalFormatting xmlns:xm="http://schemas.microsoft.com/office/excel/2006/main">
          <x14:cfRule type="containsText" priority="37" operator="containsText" id="{9573A02E-83E1-40EB-9462-FB346A140D93}">
            <xm:f>NOT(ISERROR(SEARCH("NC",AG9)))</xm:f>
            <xm:f>"NC"</xm:f>
            <x14:dxf>
              <fill>
                <patternFill>
                  <bgColor theme="2" tint="-9.9948118533890809E-2"/>
                </patternFill>
              </fill>
            </x14:dxf>
          </x14:cfRule>
          <xm:sqref>AG9:AI10</xm:sqref>
        </x14:conditionalFormatting>
        <x14:conditionalFormatting xmlns:xm="http://schemas.microsoft.com/office/excel/2006/main">
          <x14:cfRule type="containsText" priority="48" operator="containsText" id="{98021CE3-0DA2-42B9-8EF9-46BA4707E73B}">
            <xm:f>NOT(ISERROR(SEARCH("NC",AG12)))</xm:f>
            <xm:f>"NC"</xm:f>
            <x14:dxf>
              <fill>
                <patternFill>
                  <bgColor rgb="FFFFFF99"/>
                </patternFill>
              </fill>
            </x14:dxf>
          </x14:cfRule>
          <xm:sqref>AG12:AI13 AG19:AI19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90BA5729C5A34EA4FE80FBA33162CB" ma:contentTypeVersion="9" ma:contentTypeDescription="Create a new document." ma:contentTypeScope="" ma:versionID="a4a16bcc7bb7faac7796dc97d88a9fa7">
  <xsd:schema xmlns:xsd="http://www.w3.org/2001/XMLSchema" xmlns:xs="http://www.w3.org/2001/XMLSchema" xmlns:p="http://schemas.microsoft.com/office/2006/metadata/properties" xmlns:ns2="c3c593e2-a7d1-4ab9-848b-6b006c6509cd" targetNamespace="http://schemas.microsoft.com/office/2006/metadata/properties" ma:root="true" ma:fieldsID="96f618a56dadf6ba1793da76976fa92e" ns2:_="">
    <xsd:import namespace="c3c593e2-a7d1-4ab9-848b-6b006c6509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c593e2-a7d1-4ab9-848b-6b006c6509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3DA52F-FC88-48CA-92EB-2AA44E1DE2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7D06AE-F01B-4395-AEF1-308FABF651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c593e2-a7d1-4ab9-848b-6b006c6509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F2DDDF-8EEB-49E3-8C1E-AB4D7987616D}">
  <ds:schemaRefs>
    <ds:schemaRef ds:uri="http://purl.org/dc/dcmitype/"/>
    <ds:schemaRef ds:uri="4f538b32-06c5-43a0-848a-5f51d4484390"/>
    <ds:schemaRef ds:uri="b582a10e-23ff-4b63-aa4f-d0dc4b81a2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早</vt:lpstr>
      <vt:lpstr>中</vt:lpstr>
      <vt:lpstr>夜</vt:lpstr>
      <vt:lpstr>夜!Print_Area</vt:lpstr>
      <vt:lpstr>早!Print_Area</vt:lpstr>
      <vt:lpstr>中!Print_Area</vt:lpstr>
      <vt:lpstr>夜!Print_Titles</vt:lpstr>
      <vt:lpstr>早!Print_Titles</vt:lpstr>
      <vt:lpstr>中!Print_Titles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Olivia Hui Ying</dc:creator>
  <cp:keywords/>
  <dc:description/>
  <cp:lastModifiedBy>Qing</cp:lastModifiedBy>
  <cp:revision/>
  <cp:lastPrinted>2026-05-15T08:41:14Z</cp:lastPrinted>
  <dcterms:created xsi:type="dcterms:W3CDTF">2024-11-15T04:23:11Z</dcterms:created>
  <dcterms:modified xsi:type="dcterms:W3CDTF">2026-06-04T09:41:09Z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0x0101007D90BA5729C5A34EA4FE80FBA33162CB</vt:lpwstr>
  </property>
  <property fmtid="{D5CDD505-2E9C-101B-9397-08002B2CF9AE}" pid="4" name="_ExtendedDescription">
    <vt:lpwstr/>
  </property>
</Properties>
</file>